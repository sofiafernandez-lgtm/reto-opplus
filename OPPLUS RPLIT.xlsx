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fía\Downloads\"/>
    </mc:Choice>
  </mc:AlternateContent>
  <xr:revisionPtr revIDLastSave="0" documentId="8_{9131D70F-B62B-4662-B0C6-15A668F537A5}" xr6:coauthVersionLast="47" xr6:coauthVersionMax="47" xr10:uidLastSave="{00000000-0000-0000-0000-000000000000}"/>
  <bookViews>
    <workbookView xWindow="20" yWindow="20" windowWidth="19180" windowHeight="10060" firstSheet="1" activeTab="1" xr2:uid="{A093B264-4293-4691-88C0-9CC88ADD2FAC}"/>
  </bookViews>
  <sheets>
    <sheet name="Datos" sheetId="1" r:id="rId1"/>
    <sheet name="Modelo" sheetId="2" r:id="rId2"/>
    <sheet name="Hoja2" sheetId="4" r:id="rId3"/>
    <sheet name="Hoja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83" i="2" l="1"/>
  <c r="F418" i="2"/>
  <c r="F92" i="2"/>
  <c r="F669" i="2"/>
  <c r="F488" i="2"/>
  <c r="F731" i="2"/>
  <c r="F626" i="2"/>
  <c r="F887" i="2"/>
  <c r="F797" i="2"/>
  <c r="F657" i="2"/>
  <c r="F581" i="2"/>
  <c r="F316" i="2"/>
  <c r="F396" i="2"/>
  <c r="F698" i="2"/>
  <c r="F18" i="2"/>
  <c r="F629" i="2"/>
  <c r="F51" i="2"/>
  <c r="F873" i="2"/>
  <c r="F575" i="2"/>
  <c r="F774" i="2"/>
  <c r="F976" i="2"/>
  <c r="F891" i="2"/>
  <c r="F463" i="2"/>
  <c r="F116" i="2"/>
  <c r="F66" i="2"/>
  <c r="F705" i="2"/>
  <c r="F93" i="2"/>
  <c r="F275" i="2"/>
  <c r="F990" i="2"/>
  <c r="F243" i="2"/>
  <c r="F454" i="2"/>
  <c r="F214" i="2"/>
  <c r="F738" i="2"/>
  <c r="F208" i="2"/>
  <c r="F55" i="2"/>
  <c r="F567" i="2"/>
  <c r="F829" i="2"/>
  <c r="F252" i="2"/>
  <c r="F469" i="2"/>
  <c r="F900" i="2"/>
  <c r="F190" i="2"/>
  <c r="F510" i="2"/>
  <c r="F749" i="2"/>
  <c r="F147" i="2"/>
  <c r="F234" i="2"/>
  <c r="F773" i="2"/>
  <c r="F8" i="2"/>
  <c r="F913" i="2"/>
  <c r="F211" i="2"/>
  <c r="F475" i="2"/>
  <c r="F29" i="2"/>
  <c r="F4" i="2"/>
  <c r="F14" i="2"/>
  <c r="F679" i="2"/>
  <c r="F607" i="2"/>
  <c r="F815" i="2"/>
  <c r="F149" i="2"/>
  <c r="F39" i="2"/>
  <c r="F108" i="2"/>
  <c r="F310" i="2"/>
  <c r="F194" i="2"/>
  <c r="F102" i="2"/>
  <c r="F969" i="2"/>
  <c r="F570" i="2"/>
  <c r="F895" i="2"/>
  <c r="F401" i="2"/>
  <c r="F594" i="2"/>
  <c r="F446" i="2"/>
  <c r="F406" i="2"/>
  <c r="F412" i="2"/>
  <c r="F566" i="2"/>
  <c r="F155" i="2"/>
  <c r="F616" i="2"/>
  <c r="F303" i="2"/>
  <c r="F754" i="2"/>
  <c r="F497" i="2"/>
  <c r="F287" i="2"/>
  <c r="F87" i="2"/>
  <c r="F215" i="2"/>
  <c r="F492" i="2"/>
  <c r="F122" i="2"/>
  <c r="F764" i="2"/>
  <c r="F219" i="2"/>
  <c r="F265" i="2"/>
  <c r="F922" i="2"/>
  <c r="F166" i="2"/>
  <c r="F733" i="2"/>
  <c r="F260" i="2"/>
  <c r="F112" i="2"/>
  <c r="F693" i="2"/>
  <c r="F507" i="2"/>
  <c r="F688" i="2"/>
  <c r="F778" i="2"/>
  <c r="F11" i="2"/>
  <c r="F962" i="2"/>
  <c r="F700" i="2"/>
  <c r="F85" i="2"/>
  <c r="F798" i="2"/>
  <c r="F199" i="2"/>
  <c r="F344" i="2"/>
  <c r="F137" i="2"/>
  <c r="F135" i="2"/>
  <c r="F413" i="2"/>
  <c r="F156" i="2"/>
  <c r="F236" i="2"/>
  <c r="F419" i="2"/>
  <c r="F658" i="2"/>
  <c r="F526" i="2"/>
  <c r="F280" i="2"/>
  <c r="F88" i="2"/>
  <c r="F213" i="2"/>
  <c r="F936" i="2"/>
  <c r="F550" i="2"/>
  <c r="F111" i="2"/>
  <c r="F5" i="2"/>
  <c r="F255" i="2"/>
  <c r="F785" i="2"/>
  <c r="F186" i="2"/>
  <c r="F551" i="2"/>
  <c r="F851" i="2"/>
  <c r="F819" i="2"/>
  <c r="F633" i="2"/>
  <c r="F784" i="2"/>
  <c r="F706" i="2"/>
  <c r="F807" i="2"/>
  <c r="F718" i="2"/>
  <c r="F589" i="2"/>
  <c r="F947" i="2"/>
  <c r="F117" i="2"/>
  <c r="F765" i="2"/>
  <c r="F415" i="2"/>
  <c r="F361" i="2"/>
  <c r="F681" i="2"/>
  <c r="F250" i="2"/>
  <c r="F329" i="2"/>
  <c r="F972" i="2"/>
  <c r="F670" i="2"/>
  <c r="F314" i="2"/>
  <c r="F174" i="2"/>
  <c r="F333" i="2"/>
  <c r="F907" i="2"/>
  <c r="F699" i="2"/>
  <c r="F929" i="2"/>
  <c r="F752" i="2"/>
  <c r="F141" i="2"/>
  <c r="F544" i="2"/>
  <c r="F284" i="2"/>
  <c r="F960" i="2"/>
  <c r="F210" i="2"/>
  <c r="F926" i="2"/>
  <c r="F823" i="2"/>
  <c r="F298" i="2"/>
  <c r="F197" i="2"/>
  <c r="F832" i="2"/>
  <c r="F843" i="2"/>
  <c r="F232" i="2"/>
  <c r="F26" i="2"/>
  <c r="F3" i="2"/>
  <c r="F21" i="2"/>
  <c r="F879" i="2"/>
  <c r="F372" i="2"/>
  <c r="F923" i="2"/>
  <c r="F691" i="2"/>
  <c r="F315" i="2"/>
  <c r="F185" i="2"/>
  <c r="F533" i="2"/>
  <c r="F195" i="2"/>
  <c r="F452" i="2"/>
  <c r="F296" i="2"/>
  <c r="F338" i="2"/>
  <c r="F31" i="2"/>
  <c r="F563" i="2"/>
  <c r="F414" i="2"/>
  <c r="F973" i="2"/>
  <c r="F505" i="2"/>
  <c r="F888" i="2"/>
  <c r="F848" i="2"/>
  <c r="F151" i="2"/>
  <c r="F719" i="2"/>
  <c r="F568" i="2"/>
  <c r="F729" i="2"/>
  <c r="F140" i="2"/>
  <c r="F458" i="2"/>
  <c r="F826" i="2"/>
  <c r="F6" i="2"/>
  <c r="F978" i="2"/>
  <c r="F435" i="2"/>
  <c r="F769" i="2"/>
  <c r="F624" i="2"/>
  <c r="F988" i="2"/>
  <c r="F762" i="2"/>
  <c r="F545" i="2"/>
  <c r="F937" i="2"/>
  <c r="F821" i="2"/>
  <c r="F272" i="2"/>
  <c r="F62" i="2"/>
  <c r="F979" i="2"/>
  <c r="F118" i="2"/>
  <c r="F216" i="2"/>
  <c r="F322" i="2"/>
  <c r="F229" i="2"/>
  <c r="F989" i="2"/>
  <c r="F884" i="2"/>
  <c r="F328" i="2"/>
  <c r="F958" i="2"/>
  <c r="F383" i="2"/>
  <c r="F724" i="2"/>
  <c r="F694" i="2"/>
  <c r="F432" i="2"/>
  <c r="F781" i="2"/>
  <c r="F892" i="2"/>
  <c r="F293" i="2"/>
  <c r="F171" i="2"/>
  <c r="F124" i="2"/>
  <c r="F491" i="2"/>
  <c r="F758" i="2"/>
  <c r="F983" i="2"/>
  <c r="F956" i="2"/>
  <c r="F398" i="2"/>
  <c r="F971" i="2"/>
  <c r="F101" i="2"/>
  <c r="F649" i="2"/>
  <c r="F268" i="2"/>
  <c r="F722" i="2"/>
  <c r="F86" i="2"/>
  <c r="F479" i="2"/>
  <c r="F501" i="2"/>
  <c r="F238" i="2"/>
  <c r="F1000" i="2"/>
  <c r="F643" i="2"/>
  <c r="F158" i="2"/>
  <c r="F650" i="2"/>
  <c r="F221" i="2"/>
  <c r="F483" i="2"/>
  <c r="F562" i="2"/>
  <c r="F437" i="2"/>
  <c r="F621" i="2"/>
  <c r="F444" i="2"/>
  <c r="F113" i="2"/>
  <c r="F792" i="2"/>
  <c r="F191" i="2"/>
  <c r="F918" i="2"/>
  <c r="F517" i="2"/>
  <c r="F217" i="2"/>
  <c r="F707" i="2"/>
  <c r="F256" i="2"/>
  <c r="F493" i="2"/>
  <c r="F179" i="2"/>
  <c r="F852" i="2"/>
  <c r="F524" i="2"/>
  <c r="F67" i="2"/>
  <c r="F521" i="2"/>
  <c r="F585" i="2"/>
  <c r="F842" i="2"/>
  <c r="F599" i="2"/>
  <c r="F99" i="2"/>
  <c r="F441" i="2"/>
  <c r="F365" i="2"/>
  <c r="F455" i="2"/>
  <c r="F371" i="2"/>
  <c r="F683" i="2"/>
  <c r="F162" i="2"/>
  <c r="F449" i="2"/>
  <c r="F530" i="2"/>
  <c r="F251" i="2"/>
  <c r="F23" i="2"/>
  <c r="F661" i="2"/>
  <c r="F617" i="2"/>
  <c r="F48" i="2"/>
  <c r="F673" i="2"/>
  <c r="F504" i="2"/>
  <c r="F642" i="2"/>
  <c r="F327" i="2"/>
  <c r="F318" i="2"/>
  <c r="F739" i="2"/>
  <c r="F81" i="2"/>
  <c r="F19" i="2"/>
  <c r="F17" i="2"/>
  <c r="F995" i="2"/>
  <c r="F609" i="2"/>
  <c r="F95" i="2"/>
  <c r="F878" i="2"/>
  <c r="F436" i="2"/>
  <c r="F370" i="2"/>
  <c r="F381" i="2"/>
  <c r="F83" i="2"/>
  <c r="F915" i="2"/>
  <c r="F299" i="2"/>
  <c r="F916" i="2"/>
  <c r="F772" i="2"/>
  <c r="F775" i="2"/>
  <c r="F734" i="2"/>
  <c r="F115" i="2"/>
  <c r="F360" i="2"/>
  <c r="F473" i="2"/>
  <c r="F654" i="2"/>
  <c r="F519" i="2"/>
  <c r="F555" i="2"/>
  <c r="F872" i="2"/>
  <c r="F680" i="2"/>
  <c r="F634" i="2"/>
  <c r="F332" i="2"/>
  <c r="F279" i="2"/>
  <c r="F747" i="2"/>
  <c r="F438" i="2"/>
  <c r="F490" i="2"/>
  <c r="F776" i="2"/>
  <c r="F965" i="2"/>
  <c r="F100" i="2"/>
  <c r="F218" i="2"/>
  <c r="F411" i="2"/>
  <c r="F70" i="2"/>
  <c r="F576" i="2"/>
  <c r="F9" i="2"/>
  <c r="F339" i="2"/>
  <c r="F748" i="2"/>
  <c r="F833" i="2"/>
  <c r="F623" i="2"/>
  <c r="F612" i="2"/>
  <c r="F448" i="2"/>
  <c r="F312" i="2"/>
  <c r="F970" i="2"/>
  <c r="F98" i="2"/>
  <c r="F89" i="2"/>
  <c r="F509" i="2"/>
  <c r="F932" i="2"/>
  <c r="F144" i="2"/>
  <c r="F356" i="2"/>
  <c r="F49" i="2"/>
  <c r="F184" i="2"/>
  <c r="F921" i="2"/>
  <c r="F824" i="2"/>
  <c r="F809" i="2"/>
  <c r="F553" i="2"/>
  <c r="F306" i="2"/>
  <c r="F464" i="2"/>
  <c r="F388" i="2"/>
  <c r="F997" i="2"/>
  <c r="F382" i="2"/>
  <c r="F535" i="2"/>
  <c r="F246" i="2"/>
  <c r="F953" i="2"/>
  <c r="F263" i="2"/>
  <c r="F373" i="2"/>
  <c r="F28" i="2"/>
  <c r="F402" i="2"/>
  <c r="F595" i="2"/>
  <c r="F270" i="2"/>
  <c r="F427" i="2"/>
  <c r="F828" i="2"/>
  <c r="F860" i="2"/>
  <c r="F511" i="2"/>
  <c r="F374" i="2"/>
  <c r="F150" i="2"/>
  <c r="F899" i="2"/>
  <c r="F109" i="2"/>
  <c r="F771" i="2"/>
  <c r="F689" i="2"/>
  <c r="F615" i="2"/>
  <c r="F226" i="2"/>
  <c r="F686" i="2"/>
  <c r="F675" i="2"/>
  <c r="F665" i="2"/>
  <c r="F163" i="2"/>
  <c r="F518" i="2"/>
  <c r="F266" i="2"/>
  <c r="F331" i="2"/>
  <c r="F480" i="2"/>
  <c r="F855" i="2"/>
  <c r="F257" i="2"/>
  <c r="F136" i="2"/>
  <c r="F295" i="2"/>
  <c r="F76" i="2"/>
  <c r="F596" i="2"/>
  <c r="F702" i="2"/>
  <c r="F529" i="2"/>
  <c r="F614" i="2"/>
  <c r="F72" i="2"/>
  <c r="F968" i="2"/>
  <c r="F42" i="2"/>
  <c r="F63" i="2"/>
  <c r="F928" i="2"/>
  <c r="F164" i="2"/>
  <c r="F351" i="2"/>
  <c r="F672" i="2"/>
  <c r="F949" i="2"/>
  <c r="F790" i="2"/>
  <c r="F759" i="2"/>
  <c r="F750" i="2"/>
  <c r="F96" i="2"/>
  <c r="F919" i="2"/>
  <c r="F309" i="2"/>
  <c r="F687" i="2"/>
  <c r="F434" i="2"/>
  <c r="F905" i="2"/>
  <c r="F598" i="2"/>
  <c r="F12" i="2"/>
  <c r="F646" i="2"/>
  <c r="F15" i="2"/>
  <c r="F207" i="2"/>
  <c r="F861" i="2"/>
  <c r="F482" i="2"/>
  <c r="F984" i="2"/>
  <c r="F168" i="2"/>
  <c r="F811" i="2"/>
  <c r="F660" i="2"/>
  <c r="F368" i="2"/>
  <c r="F244" i="2"/>
  <c r="F50" i="2"/>
  <c r="F547" i="2"/>
  <c r="F814" i="2"/>
  <c r="F579" i="2"/>
  <c r="F648" i="2"/>
  <c r="F541" i="2"/>
  <c r="F993" i="2"/>
  <c r="F532" i="2"/>
  <c r="F886" i="2"/>
  <c r="F106" i="2"/>
  <c r="F644" i="2"/>
  <c r="F107" i="2"/>
  <c r="F552" i="2"/>
  <c r="F154" i="2"/>
  <c r="F342" i="2"/>
  <c r="F433" i="2"/>
  <c r="F267" i="2"/>
  <c r="F44" i="2"/>
  <c r="F597" i="2"/>
  <c r="F523" i="2"/>
  <c r="F954" i="2"/>
  <c r="F169" i="2"/>
  <c r="F564" i="2"/>
  <c r="F426" i="2"/>
  <c r="F981" i="2"/>
  <c r="F522" i="2"/>
  <c r="F395" i="2"/>
  <c r="F580" i="2"/>
  <c r="F408" i="2"/>
  <c r="F54" i="2"/>
  <c r="F794" i="2"/>
  <c r="F822" i="2"/>
  <c r="F516" i="2"/>
  <c r="F827" i="2"/>
  <c r="F846" i="2"/>
  <c r="F904" i="2"/>
  <c r="F543" i="2"/>
  <c r="F514" i="2"/>
  <c r="F871" i="2"/>
  <c r="F708" i="2"/>
  <c r="F653" i="2"/>
  <c r="F75" i="2"/>
  <c r="F889" i="2"/>
  <c r="F187" i="2"/>
  <c r="F704" i="2"/>
  <c r="F27" i="2"/>
  <c r="F911" i="2"/>
  <c r="F985" i="2"/>
  <c r="F212" i="2"/>
  <c r="F390" i="2"/>
  <c r="F90" i="2"/>
  <c r="F777" i="2"/>
  <c r="F714" i="2"/>
  <c r="F379" i="2"/>
  <c r="F132" i="2"/>
  <c r="F841" i="2"/>
  <c r="F868" i="2"/>
  <c r="F176" i="2"/>
  <c r="F73" i="2"/>
  <c r="F273" i="2"/>
  <c r="F403" i="2"/>
  <c r="F486" i="2"/>
  <c r="F711" i="2"/>
  <c r="F994" i="2"/>
  <c r="F966" i="2"/>
  <c r="F882" i="2"/>
  <c r="F898" i="2"/>
  <c r="F656" i="2"/>
  <c r="F666" i="2"/>
  <c r="F247" i="2"/>
  <c r="F863" i="2"/>
  <c r="F200" i="2"/>
  <c r="F812" i="2"/>
  <c r="F583" i="2"/>
  <c r="F902" i="2"/>
  <c r="F917" i="2"/>
  <c r="F288" i="2"/>
  <c r="F763" i="2"/>
  <c r="F498" i="2"/>
  <c r="F741" i="2"/>
  <c r="F810" i="2"/>
  <c r="F495" i="2"/>
  <c r="F955" i="2"/>
  <c r="F160" i="2"/>
  <c r="F423" i="2"/>
  <c r="F618" i="2"/>
  <c r="F120" i="2"/>
  <c r="F716" i="2"/>
  <c r="F925" i="2"/>
  <c r="F74" i="2"/>
  <c r="F399" i="2"/>
  <c r="F525" i="2"/>
  <c r="F690" i="2"/>
  <c r="F779" i="2"/>
  <c r="F465" i="2"/>
  <c r="F222" i="2"/>
  <c r="F835" i="2"/>
  <c r="F36" i="2"/>
  <c r="F352" i="2"/>
  <c r="F345" i="2"/>
  <c r="F119" i="2"/>
  <c r="F782" i="2"/>
  <c r="F938" i="2"/>
  <c r="F721" i="2"/>
  <c r="F173" i="2"/>
  <c r="F362" i="2"/>
  <c r="F485" i="2"/>
  <c r="F204" i="2"/>
  <c r="F77" i="2"/>
  <c r="F924" i="2"/>
  <c r="F302" i="2"/>
  <c r="F743" i="2"/>
  <c r="F645" i="2"/>
  <c r="F856" i="2"/>
  <c r="F627" i="2"/>
  <c r="F242" i="2"/>
  <c r="F277" i="2"/>
  <c r="F53" i="2"/>
  <c r="F422" i="2"/>
  <c r="F319" i="2"/>
  <c r="F813" i="2"/>
  <c r="F91" i="2"/>
  <c r="F944" i="2"/>
  <c r="F880" i="2"/>
  <c r="F224" i="2"/>
  <c r="F957" i="2"/>
  <c r="F831" i="2"/>
  <c r="F289" i="2"/>
  <c r="F639" i="2"/>
  <c r="F133" i="2"/>
  <c r="F346" i="2"/>
  <c r="F192" i="2"/>
  <c r="F450" i="2"/>
  <c r="F61" i="2"/>
  <c r="F582" i="2"/>
  <c r="F389" i="2"/>
  <c r="F573" i="2"/>
  <c r="F751" i="2"/>
  <c r="F153" i="2"/>
  <c r="F282" i="2"/>
  <c r="F343" i="2"/>
  <c r="F235" i="2"/>
  <c r="F254" i="2"/>
  <c r="F181" i="2"/>
  <c r="F416" i="2"/>
  <c r="F291" i="2"/>
  <c r="F584" i="2"/>
  <c r="F145" i="2"/>
  <c r="F684" i="2"/>
  <c r="F611" i="2"/>
  <c r="F605" i="2"/>
  <c r="F712" i="2"/>
  <c r="F349" i="2"/>
  <c r="F934" i="2"/>
  <c r="F223" i="2"/>
  <c r="F574" i="2"/>
  <c r="F975" i="2"/>
  <c r="F378" i="2"/>
  <c r="F838" i="2"/>
  <c r="F671" i="2"/>
  <c r="F80" i="2"/>
  <c r="F770" i="2"/>
  <c r="F104" i="2"/>
  <c r="F38" i="2"/>
  <c r="F805" i="2"/>
  <c r="F134" i="2"/>
  <c r="F420" i="2"/>
  <c r="F534" i="2"/>
  <c r="F820" i="2"/>
  <c r="F674" i="2"/>
  <c r="F539" i="2"/>
  <c r="F527" i="2"/>
  <c r="F335" i="2"/>
  <c r="F471" i="2"/>
  <c r="F682" i="2"/>
  <c r="F43" i="2"/>
  <c r="F528" i="2"/>
  <c r="F728" i="2"/>
  <c r="F180" i="2"/>
  <c r="F697" i="2"/>
  <c r="F78" i="2"/>
  <c r="F659" i="2"/>
  <c r="F142" i="2"/>
  <c r="F206" i="2"/>
  <c r="F25" i="2"/>
  <c r="F839" i="2"/>
  <c r="F239" i="2"/>
  <c r="F16" i="2"/>
  <c r="F477" i="2"/>
  <c r="F461" i="2"/>
  <c r="F998" i="2"/>
  <c r="F866" i="2"/>
  <c r="F715" i="2"/>
  <c r="F65" i="2"/>
  <c r="F375" i="2"/>
  <c r="F7" i="2"/>
  <c r="F951" i="2"/>
  <c r="F625" i="2"/>
  <c r="F237" i="2"/>
  <c r="F647" i="2"/>
  <c r="F470" i="2"/>
  <c r="F845" i="2"/>
  <c r="F57" i="2"/>
  <c r="F837" i="2"/>
  <c r="F460" i="2"/>
  <c r="F431" i="2"/>
  <c r="F725" i="2"/>
  <c r="F456" i="2"/>
  <c r="F341" i="2"/>
  <c r="F963" i="2"/>
  <c r="F830" i="2"/>
  <c r="F366" i="2"/>
  <c r="F744" i="2"/>
  <c r="F676" i="2"/>
  <c r="F803" i="2"/>
  <c r="F606" i="2"/>
  <c r="F430" i="2"/>
  <c r="F494" i="2"/>
  <c r="F387" i="2"/>
  <c r="F874" i="2"/>
  <c r="F320" i="2"/>
  <c r="F392" i="2"/>
  <c r="F723" i="2"/>
  <c r="F536" i="2"/>
  <c r="F285" i="2"/>
  <c r="F105" i="2"/>
  <c r="F540" i="2"/>
  <c r="F30" i="2"/>
  <c r="F780" i="2"/>
  <c r="F557" i="2"/>
  <c r="F632" i="2"/>
  <c r="F736" i="2"/>
  <c r="F278" i="2"/>
  <c r="F472" i="2"/>
  <c r="F258" i="2"/>
  <c r="F561" i="2"/>
  <c r="F227" i="2"/>
  <c r="F840" i="2"/>
  <c r="F737" i="2"/>
  <c r="F241" i="2"/>
  <c r="F161" i="2"/>
  <c r="F148" i="2"/>
  <c r="F468" i="2"/>
  <c r="F82" i="2"/>
  <c r="F292" i="2"/>
  <c r="F802" i="2"/>
  <c r="F817" i="2"/>
  <c r="F205" i="2"/>
  <c r="F359" i="2"/>
  <c r="F240" i="2"/>
  <c r="F950" i="2"/>
  <c r="F948" i="2"/>
  <c r="F808" i="2"/>
  <c r="F865" i="2"/>
  <c r="F565" i="2"/>
  <c r="F996" i="2"/>
  <c r="F307" i="2"/>
  <c r="F931" i="2"/>
  <c r="F588" i="2"/>
  <c r="F608" i="2"/>
  <c r="F439" i="2"/>
  <c r="F941" i="2"/>
  <c r="F128" i="2"/>
  <c r="F385" i="2"/>
  <c r="F167" i="2"/>
  <c r="F308" i="2"/>
  <c r="F859" i="2"/>
  <c r="F367" i="2"/>
  <c r="F305" i="2"/>
  <c r="F459" i="2"/>
  <c r="F457" i="2"/>
  <c r="F45" i="2"/>
  <c r="F271" i="2"/>
  <c r="F131" i="2"/>
  <c r="F720" i="2"/>
  <c r="F139" i="2"/>
  <c r="F301" i="2"/>
  <c r="F110" i="2"/>
  <c r="F549" i="2"/>
  <c r="F496" i="2"/>
  <c r="F97" i="2"/>
  <c r="F893" i="2"/>
  <c r="F336" i="2"/>
  <c r="F867" i="2"/>
  <c r="F249" i="2"/>
  <c r="F967" i="2"/>
  <c r="F613" i="2"/>
  <c r="F853" i="2"/>
  <c r="F264" i="2"/>
  <c r="F69" i="2"/>
  <c r="F2" i="2"/>
  <c r="F927" i="2"/>
  <c r="F881" i="2"/>
  <c r="F484" i="2"/>
  <c r="F796" i="2"/>
  <c r="F24" i="2"/>
  <c r="F325" i="2"/>
  <c r="F125" i="2"/>
  <c r="F189" i="2"/>
  <c r="F556" i="2"/>
  <c r="F877" i="2"/>
  <c r="F864" i="2"/>
  <c r="F876" i="2"/>
  <c r="F590" i="2"/>
  <c r="F159" i="2"/>
  <c r="F407" i="2"/>
  <c r="F294" i="2"/>
  <c r="F68" i="2"/>
  <c r="F47" i="2"/>
  <c r="F59" i="2"/>
  <c r="F130" i="2"/>
  <c r="F651" i="2"/>
  <c r="F202" i="2"/>
  <c r="F245" i="2"/>
  <c r="F13" i="2"/>
  <c r="F652" i="2"/>
  <c r="F46" i="2"/>
  <c r="F766" i="2"/>
  <c r="F508" i="2"/>
  <c r="F261" i="2"/>
  <c r="F695" i="2"/>
  <c r="F60" i="2"/>
  <c r="F709" i="2"/>
  <c r="F703" i="2"/>
  <c r="F591" i="2"/>
  <c r="F760" i="2"/>
  <c r="F768" i="2"/>
  <c r="F850" i="2"/>
  <c r="F228" i="2"/>
  <c r="F622" i="2"/>
  <c r="F364" i="2"/>
  <c r="F914" i="2"/>
  <c r="F177" i="2"/>
  <c r="F170" i="2"/>
  <c r="F467" i="2"/>
  <c r="F537" i="2"/>
  <c r="F354" i="2"/>
  <c r="F870" i="2"/>
  <c r="F991" i="2"/>
  <c r="F146" i="2"/>
  <c r="F531" i="2"/>
  <c r="F640" i="2"/>
  <c r="F604" i="2"/>
  <c r="F193" i="2"/>
  <c r="F610" i="2"/>
  <c r="F662" i="2"/>
  <c r="F825" i="2"/>
  <c r="F209" i="2"/>
  <c r="F761" i="2"/>
  <c r="F503" i="2"/>
  <c r="F630" i="2"/>
  <c r="F512" i="2"/>
  <c r="F620" i="2"/>
  <c r="F663" i="2"/>
  <c r="F542" i="2"/>
  <c r="F397" i="2"/>
  <c r="F986" i="2"/>
  <c r="F172" i="2"/>
  <c r="F726" i="2"/>
  <c r="F869" i="2"/>
  <c r="F685" i="2"/>
  <c r="F478" i="2"/>
  <c r="F799" i="2"/>
  <c r="F323" i="2"/>
  <c r="F324" i="2"/>
  <c r="F559" i="2"/>
  <c r="F816" i="2"/>
  <c r="F586" i="2"/>
  <c r="F52" i="2"/>
  <c r="F793" i="2"/>
  <c r="F930" i="2"/>
  <c r="F600" i="2"/>
  <c r="F710" i="2"/>
  <c r="F126" i="2"/>
  <c r="F502" i="2"/>
  <c r="F668" i="2"/>
  <c r="F601" i="2"/>
  <c r="F890" i="2"/>
  <c r="F862" i="2"/>
  <c r="F317" i="2"/>
  <c r="F692" i="2"/>
  <c r="F231" i="2"/>
  <c r="F795" i="2"/>
  <c r="F946" i="2"/>
  <c r="F391" i="2"/>
  <c r="F121" i="2"/>
  <c r="F182" i="2"/>
  <c r="F394" i="2"/>
  <c r="F138" i="2"/>
  <c r="F801" i="2"/>
  <c r="F380" i="2"/>
  <c r="F440" i="2"/>
  <c r="F405" i="2"/>
  <c r="F735" i="2"/>
  <c r="F358" i="2"/>
  <c r="F253" i="2"/>
  <c r="F740" i="2"/>
  <c r="F854" i="2"/>
  <c r="F71" i="2"/>
  <c r="F409" i="2"/>
  <c r="F297" i="2"/>
  <c r="F428" i="2"/>
  <c r="F638" i="2"/>
  <c r="F476" i="2"/>
  <c r="F321" i="2"/>
  <c r="F353" i="2"/>
  <c r="F572" i="2"/>
  <c r="F858" i="2"/>
  <c r="F400" i="2"/>
  <c r="F451" i="2"/>
  <c r="F520" i="2"/>
  <c r="F977" i="2"/>
  <c r="F129" i="2"/>
  <c r="F421" i="2"/>
  <c r="F274" i="2"/>
  <c r="F233" i="2"/>
  <c r="F203" i="2"/>
  <c r="F667" i="2"/>
  <c r="F992" i="2"/>
  <c r="F377" i="2"/>
  <c r="F513" i="2"/>
  <c r="F885" i="2"/>
  <c r="F641" i="2"/>
  <c r="F94" i="2"/>
  <c r="F340" i="2"/>
  <c r="F281" i="2"/>
  <c r="F462" i="2"/>
  <c r="F269" i="2"/>
  <c r="F908" i="2"/>
  <c r="F753" i="2"/>
  <c r="F538" i="2"/>
  <c r="F903" i="2"/>
  <c r="F800" i="2"/>
  <c r="F767" i="2"/>
  <c r="F178" i="2"/>
  <c r="F701" i="2"/>
  <c r="F558" i="2"/>
  <c r="F32" i="2"/>
  <c r="F569" i="2"/>
  <c r="F64" i="2"/>
  <c r="F248" i="2"/>
  <c r="F982" i="2"/>
  <c r="F35" i="2"/>
  <c r="F20" i="2"/>
  <c r="F58" i="2"/>
  <c r="F500" i="2"/>
  <c r="F259" i="2"/>
  <c r="F10" i="2"/>
  <c r="F188" i="2"/>
  <c r="F560" i="2"/>
  <c r="F56" i="2"/>
  <c r="F348" i="2"/>
  <c r="F806" i="2"/>
  <c r="F696" i="2"/>
  <c r="F894" i="2"/>
  <c r="F474" i="2"/>
  <c r="F554" i="2"/>
  <c r="F952" i="2"/>
  <c r="F230" i="2"/>
  <c r="F410" i="2"/>
  <c r="F834" i="2"/>
  <c r="F789" i="2"/>
  <c r="F103" i="2"/>
  <c r="F425" i="2"/>
  <c r="F678" i="2"/>
  <c r="F912" i="2"/>
  <c r="F300" i="2"/>
  <c r="F363" i="2"/>
  <c r="F587" i="2"/>
  <c r="F603" i="2"/>
  <c r="F578" i="2"/>
  <c r="F943" i="2"/>
  <c r="F745" i="2"/>
  <c r="F791" i="2"/>
  <c r="F424" i="2"/>
  <c r="F22" i="2"/>
  <c r="F940" i="2"/>
  <c r="F198" i="2"/>
  <c r="F165" i="2"/>
  <c r="F755" i="2"/>
  <c r="F786" i="2"/>
  <c r="F442" i="2"/>
  <c r="F175" i="2"/>
  <c r="F818" i="2"/>
  <c r="F445" i="2"/>
  <c r="F787" i="2"/>
  <c r="F499" i="2"/>
  <c r="F910" i="2"/>
  <c r="F220" i="2"/>
  <c r="F717" i="2"/>
  <c r="F939" i="2"/>
  <c r="F920" i="2"/>
  <c r="F347" i="2"/>
  <c r="F999" i="2"/>
  <c r="F727" i="2"/>
  <c r="F757" i="2"/>
  <c r="F631" i="2"/>
  <c r="F447" i="2"/>
  <c r="F196" i="2"/>
  <c r="F286" i="2"/>
  <c r="F980" i="2"/>
  <c r="F713" i="2"/>
  <c r="F804" i="2"/>
  <c r="F628" i="2"/>
  <c r="F635" i="2"/>
  <c r="F37" i="2"/>
  <c r="F201" i="2"/>
  <c r="F546" i="2"/>
  <c r="F453" i="2"/>
  <c r="F974" i="2"/>
  <c r="F369" i="2"/>
  <c r="F896" i="2"/>
  <c r="F783" i="2"/>
  <c r="F515" i="2"/>
  <c r="F730" i="2"/>
  <c r="F746" i="2"/>
  <c r="F127" i="2"/>
  <c r="F489" i="2"/>
  <c r="F393" i="2"/>
  <c r="F443" i="2"/>
  <c r="F350" i="2"/>
  <c r="F466" i="2"/>
  <c r="F836" i="2"/>
  <c r="F901" i="2"/>
  <c r="F742" i="2"/>
  <c r="F506" i="2"/>
  <c r="F875" i="2"/>
  <c r="F906" i="2"/>
  <c r="F114" i="2"/>
  <c r="F619" i="2"/>
  <c r="F386" i="2"/>
  <c r="F844" i="2"/>
  <c r="F84" i="2"/>
  <c r="F847" i="2"/>
  <c r="F33" i="2"/>
  <c r="F849" i="2"/>
  <c r="F376" i="2"/>
  <c r="F577" i="2"/>
  <c r="F276" i="2"/>
  <c r="F355" i="2"/>
  <c r="F487" i="2"/>
  <c r="F593" i="2"/>
  <c r="F41" i="2"/>
  <c r="F313" i="2"/>
  <c r="F571" i="2"/>
  <c r="F326" i="2"/>
  <c r="F945" i="2"/>
  <c r="F304" i="2"/>
  <c r="F964" i="2"/>
  <c r="F79" i="2"/>
  <c r="F330" i="2"/>
  <c r="F417" i="2"/>
  <c r="F987" i="2"/>
  <c r="F334" i="2"/>
  <c r="F548" i="2"/>
  <c r="F290" i="2"/>
  <c r="F602" i="2"/>
  <c r="F384" i="2"/>
  <c r="F592" i="2"/>
  <c r="F961" i="2"/>
  <c r="F756" i="2"/>
  <c r="F357" i="2"/>
  <c r="F677" i="2"/>
  <c r="F636" i="2"/>
  <c r="F40" i="2"/>
  <c r="F157" i="2"/>
  <c r="F225" i="2"/>
  <c r="F311" i="2"/>
  <c r="F897" i="2"/>
  <c r="F143" i="2"/>
  <c r="F34" i="2"/>
  <c r="F152" i="2"/>
  <c r="F935" i="2"/>
  <c r="F655" i="2"/>
  <c r="F481" i="2"/>
  <c r="F429" i="2"/>
  <c r="F664" i="2"/>
  <c r="F123" i="2"/>
  <c r="F909" i="2"/>
  <c r="F857" i="2"/>
  <c r="F942" i="2"/>
  <c r="F337" i="2"/>
  <c r="F404" i="2"/>
  <c r="F732" i="2"/>
  <c r="F183" i="2"/>
  <c r="F933" i="2"/>
  <c r="F262" i="2"/>
  <c r="F637" i="2"/>
  <c r="F283" i="2"/>
  <c r="F788" i="2"/>
  <c r="F959" i="2"/>
  <c r="G883" i="2"/>
  <c r="G418" i="2"/>
  <c r="G92" i="2"/>
  <c r="G669" i="2"/>
  <c r="G488" i="2"/>
  <c r="G731" i="2"/>
  <c r="G626" i="2"/>
  <c r="G887" i="2"/>
  <c r="G797" i="2"/>
  <c r="G657" i="2"/>
  <c r="G581" i="2"/>
  <c r="G316" i="2"/>
  <c r="G396" i="2"/>
  <c r="G698" i="2"/>
  <c r="G18" i="2"/>
  <c r="G629" i="2"/>
  <c r="G51" i="2"/>
  <c r="G873" i="2"/>
  <c r="G575" i="2"/>
  <c r="G774" i="2"/>
  <c r="G976" i="2"/>
  <c r="G891" i="2"/>
  <c r="G463" i="2"/>
  <c r="G116" i="2"/>
  <c r="G66" i="2"/>
  <c r="G705" i="2"/>
  <c r="G93" i="2"/>
  <c r="G275" i="2"/>
  <c r="G990" i="2"/>
  <c r="G243" i="2"/>
  <c r="G454" i="2"/>
  <c r="G214" i="2"/>
  <c r="G738" i="2"/>
  <c r="G208" i="2"/>
  <c r="G55" i="2"/>
  <c r="G567" i="2"/>
  <c r="G829" i="2"/>
  <c r="G252" i="2"/>
  <c r="G469" i="2"/>
  <c r="G900" i="2"/>
  <c r="G190" i="2"/>
  <c r="G510" i="2"/>
  <c r="G749" i="2"/>
  <c r="G147" i="2"/>
  <c r="G234" i="2"/>
  <c r="G773" i="2"/>
  <c r="G8" i="2"/>
  <c r="G913" i="2"/>
  <c r="G211" i="2"/>
  <c r="G475" i="2"/>
  <c r="G29" i="2"/>
  <c r="G4" i="2"/>
  <c r="G14" i="2"/>
  <c r="G679" i="2"/>
  <c r="G607" i="2"/>
  <c r="G815" i="2"/>
  <c r="G149" i="2"/>
  <c r="G39" i="2"/>
  <c r="G108" i="2"/>
  <c r="G310" i="2"/>
  <c r="G194" i="2"/>
  <c r="G102" i="2"/>
  <c r="G969" i="2"/>
  <c r="G570" i="2"/>
  <c r="G895" i="2"/>
  <c r="G401" i="2"/>
  <c r="G594" i="2"/>
  <c r="G446" i="2"/>
  <c r="G406" i="2"/>
  <c r="G412" i="2"/>
  <c r="G566" i="2"/>
  <c r="G155" i="2"/>
  <c r="G616" i="2"/>
  <c r="G303" i="2"/>
  <c r="G754" i="2"/>
  <c r="G497" i="2"/>
  <c r="G287" i="2"/>
  <c r="G87" i="2"/>
  <c r="G215" i="2"/>
  <c r="G492" i="2"/>
  <c r="G122" i="2"/>
  <c r="G764" i="2"/>
  <c r="G219" i="2"/>
  <c r="G265" i="2"/>
  <c r="G922" i="2"/>
  <c r="G166" i="2"/>
  <c r="G733" i="2"/>
  <c r="G260" i="2"/>
  <c r="G112" i="2"/>
  <c r="G693" i="2"/>
  <c r="G507" i="2"/>
  <c r="G688" i="2"/>
  <c r="G778" i="2"/>
  <c r="G11" i="2"/>
  <c r="G962" i="2"/>
  <c r="G700" i="2"/>
  <c r="G85" i="2"/>
  <c r="G798" i="2"/>
  <c r="G199" i="2"/>
  <c r="G344" i="2"/>
  <c r="G137" i="2"/>
  <c r="G135" i="2"/>
  <c r="G413" i="2"/>
  <c r="G156" i="2"/>
  <c r="G236" i="2"/>
  <c r="G419" i="2"/>
  <c r="G658" i="2"/>
  <c r="G526" i="2"/>
  <c r="G280" i="2"/>
  <c r="G88" i="2"/>
  <c r="G213" i="2"/>
  <c r="G936" i="2"/>
  <c r="G550" i="2"/>
  <c r="G111" i="2"/>
  <c r="G5" i="2"/>
  <c r="G255" i="2"/>
  <c r="G785" i="2"/>
  <c r="G186" i="2"/>
  <c r="G551" i="2"/>
  <c r="G851" i="2"/>
  <c r="G819" i="2"/>
  <c r="G633" i="2"/>
  <c r="G784" i="2"/>
  <c r="G706" i="2"/>
  <c r="G807" i="2"/>
  <c r="G718" i="2"/>
  <c r="G589" i="2"/>
  <c r="G947" i="2"/>
  <c r="G117" i="2"/>
  <c r="G765" i="2"/>
  <c r="G415" i="2"/>
  <c r="G361" i="2"/>
  <c r="G681" i="2"/>
  <c r="G250" i="2"/>
  <c r="G329" i="2"/>
  <c r="G972" i="2"/>
  <c r="G670" i="2"/>
  <c r="G314" i="2"/>
  <c r="G174" i="2"/>
  <c r="G333" i="2"/>
  <c r="G907" i="2"/>
  <c r="G699" i="2"/>
  <c r="G929" i="2"/>
  <c r="G752" i="2"/>
  <c r="G141" i="2"/>
  <c r="G544" i="2"/>
  <c r="G284" i="2"/>
  <c r="G960" i="2"/>
  <c r="G210" i="2"/>
  <c r="G926" i="2"/>
  <c r="G823" i="2"/>
  <c r="G298" i="2"/>
  <c r="G197" i="2"/>
  <c r="G832" i="2"/>
  <c r="G843" i="2"/>
  <c r="G232" i="2"/>
  <c r="G26" i="2"/>
  <c r="G3" i="2"/>
  <c r="G21" i="2"/>
  <c r="G879" i="2"/>
  <c r="G372" i="2"/>
  <c r="G923" i="2"/>
  <c r="G691" i="2"/>
  <c r="G315" i="2"/>
  <c r="G185" i="2"/>
  <c r="G533" i="2"/>
  <c r="G195" i="2"/>
  <c r="G452" i="2"/>
  <c r="G296" i="2"/>
  <c r="G338" i="2"/>
  <c r="G31" i="2"/>
  <c r="G563" i="2"/>
  <c r="G414" i="2"/>
  <c r="G973" i="2"/>
  <c r="G505" i="2"/>
  <c r="G888" i="2"/>
  <c r="G848" i="2"/>
  <c r="G151" i="2"/>
  <c r="G719" i="2"/>
  <c r="G568" i="2"/>
  <c r="G729" i="2"/>
  <c r="G140" i="2"/>
  <c r="G458" i="2"/>
  <c r="G826" i="2"/>
  <c r="G6" i="2"/>
  <c r="G978" i="2"/>
  <c r="G435" i="2"/>
  <c r="G769" i="2"/>
  <c r="G624" i="2"/>
  <c r="G988" i="2"/>
  <c r="G762" i="2"/>
  <c r="G545" i="2"/>
  <c r="G937" i="2"/>
  <c r="G821" i="2"/>
  <c r="G272" i="2"/>
  <c r="G62" i="2"/>
  <c r="G979" i="2"/>
  <c r="G118" i="2"/>
  <c r="G216" i="2"/>
  <c r="G322" i="2"/>
  <c r="G229" i="2"/>
  <c r="G989" i="2"/>
  <c r="G884" i="2"/>
  <c r="G328" i="2"/>
  <c r="G958" i="2"/>
  <c r="G383" i="2"/>
  <c r="G724" i="2"/>
  <c r="G694" i="2"/>
  <c r="G432" i="2"/>
  <c r="G781" i="2"/>
  <c r="G892" i="2"/>
  <c r="G293" i="2"/>
  <c r="G171" i="2"/>
  <c r="G124" i="2"/>
  <c r="G491" i="2"/>
  <c r="G758" i="2"/>
  <c r="G983" i="2"/>
  <c r="G956" i="2"/>
  <c r="G398" i="2"/>
  <c r="G971" i="2"/>
  <c r="G101" i="2"/>
  <c r="G649" i="2"/>
  <c r="G268" i="2"/>
  <c r="G722" i="2"/>
  <c r="G86" i="2"/>
  <c r="G479" i="2"/>
  <c r="G501" i="2"/>
  <c r="G238" i="2"/>
  <c r="G1000" i="2"/>
  <c r="G643" i="2"/>
  <c r="G158" i="2"/>
  <c r="G650" i="2"/>
  <c r="G221" i="2"/>
  <c r="G483" i="2"/>
  <c r="G562" i="2"/>
  <c r="G437" i="2"/>
  <c r="G621" i="2"/>
  <c r="G444" i="2"/>
  <c r="G113" i="2"/>
  <c r="G792" i="2"/>
  <c r="G191" i="2"/>
  <c r="G918" i="2"/>
  <c r="G517" i="2"/>
  <c r="G217" i="2"/>
  <c r="G707" i="2"/>
  <c r="G256" i="2"/>
  <c r="G493" i="2"/>
  <c r="G179" i="2"/>
  <c r="G852" i="2"/>
  <c r="G524" i="2"/>
  <c r="G67" i="2"/>
  <c r="G521" i="2"/>
  <c r="G585" i="2"/>
  <c r="G842" i="2"/>
  <c r="G599" i="2"/>
  <c r="G99" i="2"/>
  <c r="G441" i="2"/>
  <c r="G365" i="2"/>
  <c r="G455" i="2"/>
  <c r="G371" i="2"/>
  <c r="G683" i="2"/>
  <c r="G162" i="2"/>
  <c r="G449" i="2"/>
  <c r="G530" i="2"/>
  <c r="G251" i="2"/>
  <c r="G23" i="2"/>
  <c r="G661" i="2"/>
  <c r="G617" i="2"/>
  <c r="G48" i="2"/>
  <c r="G673" i="2"/>
  <c r="G504" i="2"/>
  <c r="G642" i="2"/>
  <c r="G327" i="2"/>
  <c r="G318" i="2"/>
  <c r="G739" i="2"/>
  <c r="G81" i="2"/>
  <c r="G19" i="2"/>
  <c r="G17" i="2"/>
  <c r="G995" i="2"/>
  <c r="G609" i="2"/>
  <c r="G95" i="2"/>
  <c r="G878" i="2"/>
  <c r="G436" i="2"/>
  <c r="G370" i="2"/>
  <c r="G381" i="2"/>
  <c r="G83" i="2"/>
  <c r="G915" i="2"/>
  <c r="G299" i="2"/>
  <c r="G916" i="2"/>
  <c r="G772" i="2"/>
  <c r="G775" i="2"/>
  <c r="G734" i="2"/>
  <c r="G115" i="2"/>
  <c r="G360" i="2"/>
  <c r="G473" i="2"/>
  <c r="G654" i="2"/>
  <c r="G519" i="2"/>
  <c r="G555" i="2"/>
  <c r="G872" i="2"/>
  <c r="G680" i="2"/>
  <c r="G634" i="2"/>
  <c r="G332" i="2"/>
  <c r="G279" i="2"/>
  <c r="G747" i="2"/>
  <c r="G438" i="2"/>
  <c r="G490" i="2"/>
  <c r="G776" i="2"/>
  <c r="G965" i="2"/>
  <c r="G100" i="2"/>
  <c r="G218" i="2"/>
  <c r="G411" i="2"/>
  <c r="G70" i="2"/>
  <c r="G576" i="2"/>
  <c r="G9" i="2"/>
  <c r="G339" i="2"/>
  <c r="G748" i="2"/>
  <c r="G833" i="2"/>
  <c r="G623" i="2"/>
  <c r="G612" i="2"/>
  <c r="G448" i="2"/>
  <c r="G312" i="2"/>
  <c r="G970" i="2"/>
  <c r="G98" i="2"/>
  <c r="G89" i="2"/>
  <c r="G509" i="2"/>
  <c r="G932" i="2"/>
  <c r="G144" i="2"/>
  <c r="G356" i="2"/>
  <c r="G49" i="2"/>
  <c r="G184" i="2"/>
  <c r="G921" i="2"/>
  <c r="G824" i="2"/>
  <c r="G809" i="2"/>
  <c r="G553" i="2"/>
  <c r="G306" i="2"/>
  <c r="G464" i="2"/>
  <c r="G388" i="2"/>
  <c r="G997" i="2"/>
  <c r="G382" i="2"/>
  <c r="G535" i="2"/>
  <c r="G246" i="2"/>
  <c r="G953" i="2"/>
  <c r="G263" i="2"/>
  <c r="G373" i="2"/>
  <c r="G28" i="2"/>
  <c r="G402" i="2"/>
  <c r="G595" i="2"/>
  <c r="G270" i="2"/>
  <c r="G427" i="2"/>
  <c r="G828" i="2"/>
  <c r="G860" i="2"/>
  <c r="G511" i="2"/>
  <c r="G374" i="2"/>
  <c r="G150" i="2"/>
  <c r="G899" i="2"/>
  <c r="G109" i="2"/>
  <c r="G771" i="2"/>
  <c r="G689" i="2"/>
  <c r="G615" i="2"/>
  <c r="G226" i="2"/>
  <c r="G686" i="2"/>
  <c r="G675" i="2"/>
  <c r="G665" i="2"/>
  <c r="G163" i="2"/>
  <c r="G518" i="2"/>
  <c r="G266" i="2"/>
  <c r="G331" i="2"/>
  <c r="G480" i="2"/>
  <c r="G855" i="2"/>
  <c r="G257" i="2"/>
  <c r="G136" i="2"/>
  <c r="G295" i="2"/>
  <c r="G76" i="2"/>
  <c r="G596" i="2"/>
  <c r="G702" i="2"/>
  <c r="G529" i="2"/>
  <c r="G614" i="2"/>
  <c r="G72" i="2"/>
  <c r="G968" i="2"/>
  <c r="G42" i="2"/>
  <c r="G63" i="2"/>
  <c r="G928" i="2"/>
  <c r="G164" i="2"/>
  <c r="G351" i="2"/>
  <c r="G672" i="2"/>
  <c r="G949" i="2"/>
  <c r="G790" i="2"/>
  <c r="G759" i="2"/>
  <c r="G750" i="2"/>
  <c r="G96" i="2"/>
  <c r="G919" i="2"/>
  <c r="G309" i="2"/>
  <c r="G687" i="2"/>
  <c r="G434" i="2"/>
  <c r="G905" i="2"/>
  <c r="G598" i="2"/>
  <c r="G12" i="2"/>
  <c r="G646" i="2"/>
  <c r="G15" i="2"/>
  <c r="G207" i="2"/>
  <c r="G861" i="2"/>
  <c r="G482" i="2"/>
  <c r="G984" i="2"/>
  <c r="G168" i="2"/>
  <c r="G811" i="2"/>
  <c r="G660" i="2"/>
  <c r="G368" i="2"/>
  <c r="G244" i="2"/>
  <c r="G50" i="2"/>
  <c r="G547" i="2"/>
  <c r="G814" i="2"/>
  <c r="G579" i="2"/>
  <c r="G648" i="2"/>
  <c r="G541" i="2"/>
  <c r="G993" i="2"/>
  <c r="G532" i="2"/>
  <c r="G886" i="2"/>
  <c r="G106" i="2"/>
  <c r="G644" i="2"/>
  <c r="G107" i="2"/>
  <c r="G552" i="2"/>
  <c r="G154" i="2"/>
  <c r="G342" i="2"/>
  <c r="G433" i="2"/>
  <c r="G267" i="2"/>
  <c r="G44" i="2"/>
  <c r="G597" i="2"/>
  <c r="G523" i="2"/>
  <c r="G954" i="2"/>
  <c r="G169" i="2"/>
  <c r="G564" i="2"/>
  <c r="G426" i="2"/>
  <c r="G981" i="2"/>
  <c r="G522" i="2"/>
  <c r="G395" i="2"/>
  <c r="G580" i="2"/>
  <c r="G408" i="2"/>
  <c r="G54" i="2"/>
  <c r="G794" i="2"/>
  <c r="G822" i="2"/>
  <c r="G516" i="2"/>
  <c r="G827" i="2"/>
  <c r="G846" i="2"/>
  <c r="G904" i="2"/>
  <c r="G543" i="2"/>
  <c r="G514" i="2"/>
  <c r="G871" i="2"/>
  <c r="G708" i="2"/>
  <c r="G653" i="2"/>
  <c r="G75" i="2"/>
  <c r="G889" i="2"/>
  <c r="G187" i="2"/>
  <c r="G704" i="2"/>
  <c r="G27" i="2"/>
  <c r="G911" i="2"/>
  <c r="G985" i="2"/>
  <c r="G212" i="2"/>
  <c r="G390" i="2"/>
  <c r="G90" i="2"/>
  <c r="G777" i="2"/>
  <c r="G714" i="2"/>
  <c r="G379" i="2"/>
  <c r="G132" i="2"/>
  <c r="G841" i="2"/>
  <c r="G868" i="2"/>
  <c r="G176" i="2"/>
  <c r="G73" i="2"/>
  <c r="G273" i="2"/>
  <c r="G403" i="2"/>
  <c r="G486" i="2"/>
  <c r="G711" i="2"/>
  <c r="G994" i="2"/>
  <c r="G966" i="2"/>
  <c r="G882" i="2"/>
  <c r="G898" i="2"/>
  <c r="G656" i="2"/>
  <c r="G666" i="2"/>
  <c r="G247" i="2"/>
  <c r="G863" i="2"/>
  <c r="G200" i="2"/>
  <c r="G812" i="2"/>
  <c r="G583" i="2"/>
  <c r="G902" i="2"/>
  <c r="G917" i="2"/>
  <c r="G288" i="2"/>
  <c r="G763" i="2"/>
  <c r="G498" i="2"/>
  <c r="G741" i="2"/>
  <c r="G810" i="2"/>
  <c r="G495" i="2"/>
  <c r="G955" i="2"/>
  <c r="G160" i="2"/>
  <c r="G423" i="2"/>
  <c r="G618" i="2"/>
  <c r="G120" i="2"/>
  <c r="G716" i="2"/>
  <c r="G925" i="2"/>
  <c r="G74" i="2"/>
  <c r="G399" i="2"/>
  <c r="G525" i="2"/>
  <c r="G690" i="2"/>
  <c r="G779" i="2"/>
  <c r="G465" i="2"/>
  <c r="G222" i="2"/>
  <c r="G835" i="2"/>
  <c r="G36" i="2"/>
  <c r="G352" i="2"/>
  <c r="G345" i="2"/>
  <c r="G119" i="2"/>
  <c r="G782" i="2"/>
  <c r="G938" i="2"/>
  <c r="G721" i="2"/>
  <c r="G173" i="2"/>
  <c r="G362" i="2"/>
  <c r="G485" i="2"/>
  <c r="G204" i="2"/>
  <c r="G77" i="2"/>
  <c r="G924" i="2"/>
  <c r="G302" i="2"/>
  <c r="G743" i="2"/>
  <c r="G645" i="2"/>
  <c r="G856" i="2"/>
  <c r="G627" i="2"/>
  <c r="G242" i="2"/>
  <c r="G277" i="2"/>
  <c r="G53" i="2"/>
  <c r="G422" i="2"/>
  <c r="G319" i="2"/>
  <c r="G813" i="2"/>
  <c r="G91" i="2"/>
  <c r="G944" i="2"/>
  <c r="G880" i="2"/>
  <c r="G224" i="2"/>
  <c r="G957" i="2"/>
  <c r="G831" i="2"/>
  <c r="G289" i="2"/>
  <c r="G639" i="2"/>
  <c r="G133" i="2"/>
  <c r="G346" i="2"/>
  <c r="G192" i="2"/>
  <c r="G450" i="2"/>
  <c r="G61" i="2"/>
  <c r="G582" i="2"/>
  <c r="G389" i="2"/>
  <c r="G573" i="2"/>
  <c r="G751" i="2"/>
  <c r="G153" i="2"/>
  <c r="G282" i="2"/>
  <c r="G343" i="2"/>
  <c r="G235" i="2"/>
  <c r="G254" i="2"/>
  <c r="G181" i="2"/>
  <c r="G416" i="2"/>
  <c r="G291" i="2"/>
  <c r="G584" i="2"/>
  <c r="G145" i="2"/>
  <c r="G684" i="2"/>
  <c r="G611" i="2"/>
  <c r="G605" i="2"/>
  <c r="G712" i="2"/>
  <c r="G349" i="2"/>
  <c r="G934" i="2"/>
  <c r="G223" i="2"/>
  <c r="G574" i="2"/>
  <c r="G975" i="2"/>
  <c r="G378" i="2"/>
  <c r="G838" i="2"/>
  <c r="G671" i="2"/>
  <c r="G80" i="2"/>
  <c r="G770" i="2"/>
  <c r="G104" i="2"/>
  <c r="G38" i="2"/>
  <c r="G805" i="2"/>
  <c r="G134" i="2"/>
  <c r="G420" i="2"/>
  <c r="G534" i="2"/>
  <c r="G820" i="2"/>
  <c r="G674" i="2"/>
  <c r="G539" i="2"/>
  <c r="G527" i="2"/>
  <c r="G335" i="2"/>
  <c r="G471" i="2"/>
  <c r="G682" i="2"/>
  <c r="G43" i="2"/>
  <c r="G528" i="2"/>
  <c r="G728" i="2"/>
  <c r="G180" i="2"/>
  <c r="G697" i="2"/>
  <c r="G78" i="2"/>
  <c r="G659" i="2"/>
  <c r="G142" i="2"/>
  <c r="G206" i="2"/>
  <c r="G25" i="2"/>
  <c r="G839" i="2"/>
  <c r="G239" i="2"/>
  <c r="G16" i="2"/>
  <c r="G477" i="2"/>
  <c r="G461" i="2"/>
  <c r="G998" i="2"/>
  <c r="G866" i="2"/>
  <c r="G715" i="2"/>
  <c r="G65" i="2"/>
  <c r="G375" i="2"/>
  <c r="G7" i="2"/>
  <c r="G951" i="2"/>
  <c r="G625" i="2"/>
  <c r="G237" i="2"/>
  <c r="G647" i="2"/>
  <c r="G470" i="2"/>
  <c r="G845" i="2"/>
  <c r="G57" i="2"/>
  <c r="G837" i="2"/>
  <c r="G460" i="2"/>
  <c r="G431" i="2"/>
  <c r="G725" i="2"/>
  <c r="G456" i="2"/>
  <c r="G341" i="2"/>
  <c r="G963" i="2"/>
  <c r="G830" i="2"/>
  <c r="G366" i="2"/>
  <c r="G744" i="2"/>
  <c r="G676" i="2"/>
  <c r="G803" i="2"/>
  <c r="G606" i="2"/>
  <c r="G430" i="2"/>
  <c r="G494" i="2"/>
  <c r="G387" i="2"/>
  <c r="G874" i="2"/>
  <c r="G320" i="2"/>
  <c r="G392" i="2"/>
  <c r="G723" i="2"/>
  <c r="G536" i="2"/>
  <c r="G285" i="2"/>
  <c r="G105" i="2"/>
  <c r="G540" i="2"/>
  <c r="G30" i="2"/>
  <c r="G780" i="2"/>
  <c r="G557" i="2"/>
  <c r="G632" i="2"/>
  <c r="G736" i="2"/>
  <c r="G278" i="2"/>
  <c r="G472" i="2"/>
  <c r="G258" i="2"/>
  <c r="G561" i="2"/>
  <c r="G227" i="2"/>
  <c r="G840" i="2"/>
  <c r="G737" i="2"/>
  <c r="G241" i="2"/>
  <c r="G161" i="2"/>
  <c r="G148" i="2"/>
  <c r="G468" i="2"/>
  <c r="G82" i="2"/>
  <c r="G292" i="2"/>
  <c r="G802" i="2"/>
  <c r="G817" i="2"/>
  <c r="G205" i="2"/>
  <c r="G359" i="2"/>
  <c r="G240" i="2"/>
  <c r="G950" i="2"/>
  <c r="G948" i="2"/>
  <c r="G808" i="2"/>
  <c r="G865" i="2"/>
  <c r="G565" i="2"/>
  <c r="G996" i="2"/>
  <c r="G307" i="2"/>
  <c r="G931" i="2"/>
  <c r="G588" i="2"/>
  <c r="G608" i="2"/>
  <c r="G439" i="2"/>
  <c r="G941" i="2"/>
  <c r="G128" i="2"/>
  <c r="G385" i="2"/>
  <c r="G167" i="2"/>
  <c r="G308" i="2"/>
  <c r="G859" i="2"/>
  <c r="G367" i="2"/>
  <c r="G305" i="2"/>
  <c r="G459" i="2"/>
  <c r="G457" i="2"/>
  <c r="G45" i="2"/>
  <c r="G271" i="2"/>
  <c r="G131" i="2"/>
  <c r="G720" i="2"/>
  <c r="G139" i="2"/>
  <c r="G301" i="2"/>
  <c r="G110" i="2"/>
  <c r="G549" i="2"/>
  <c r="G496" i="2"/>
  <c r="G97" i="2"/>
  <c r="G893" i="2"/>
  <c r="G336" i="2"/>
  <c r="G867" i="2"/>
  <c r="G249" i="2"/>
  <c r="G967" i="2"/>
  <c r="G613" i="2"/>
  <c r="G853" i="2"/>
  <c r="G264" i="2"/>
  <c r="G69" i="2"/>
  <c r="G2" i="2"/>
  <c r="G927" i="2"/>
  <c r="G881" i="2"/>
  <c r="G484" i="2"/>
  <c r="G796" i="2"/>
  <c r="G24" i="2"/>
  <c r="G325" i="2"/>
  <c r="G125" i="2"/>
  <c r="G189" i="2"/>
  <c r="G556" i="2"/>
  <c r="G877" i="2"/>
  <c r="G864" i="2"/>
  <c r="G876" i="2"/>
  <c r="G590" i="2"/>
  <c r="G159" i="2"/>
  <c r="G407" i="2"/>
  <c r="G294" i="2"/>
  <c r="G68" i="2"/>
  <c r="G47" i="2"/>
  <c r="G59" i="2"/>
  <c r="G130" i="2"/>
  <c r="G651" i="2"/>
  <c r="G202" i="2"/>
  <c r="G245" i="2"/>
  <c r="G13" i="2"/>
  <c r="G652" i="2"/>
  <c r="G46" i="2"/>
  <c r="G766" i="2"/>
  <c r="G508" i="2"/>
  <c r="G261" i="2"/>
  <c r="G695" i="2"/>
  <c r="G60" i="2"/>
  <c r="G709" i="2"/>
  <c r="G703" i="2"/>
  <c r="G591" i="2"/>
  <c r="G760" i="2"/>
  <c r="G768" i="2"/>
  <c r="G850" i="2"/>
  <c r="G228" i="2"/>
  <c r="G622" i="2"/>
  <c r="G364" i="2"/>
  <c r="G914" i="2"/>
  <c r="G177" i="2"/>
  <c r="G170" i="2"/>
  <c r="G467" i="2"/>
  <c r="G537" i="2"/>
  <c r="G354" i="2"/>
  <c r="G870" i="2"/>
  <c r="G991" i="2"/>
  <c r="G146" i="2"/>
  <c r="G531" i="2"/>
  <c r="G640" i="2"/>
  <c r="G604" i="2"/>
  <c r="G193" i="2"/>
  <c r="G610" i="2"/>
  <c r="G662" i="2"/>
  <c r="G825" i="2"/>
  <c r="G209" i="2"/>
  <c r="G761" i="2"/>
  <c r="G503" i="2"/>
  <c r="G630" i="2"/>
  <c r="G512" i="2"/>
  <c r="G620" i="2"/>
  <c r="G663" i="2"/>
  <c r="G542" i="2"/>
  <c r="G397" i="2"/>
  <c r="G986" i="2"/>
  <c r="G172" i="2"/>
  <c r="G726" i="2"/>
  <c r="G869" i="2"/>
  <c r="G685" i="2"/>
  <c r="G478" i="2"/>
  <c r="G799" i="2"/>
  <c r="G323" i="2"/>
  <c r="G324" i="2"/>
  <c r="G559" i="2"/>
  <c r="G816" i="2"/>
  <c r="G586" i="2"/>
  <c r="G52" i="2"/>
  <c r="G793" i="2"/>
  <c r="G930" i="2"/>
  <c r="G600" i="2"/>
  <c r="G710" i="2"/>
  <c r="G126" i="2"/>
  <c r="G502" i="2"/>
  <c r="G668" i="2"/>
  <c r="G601" i="2"/>
  <c r="G890" i="2"/>
  <c r="G862" i="2"/>
  <c r="G317" i="2"/>
  <c r="G692" i="2"/>
  <c r="G231" i="2"/>
  <c r="G795" i="2"/>
  <c r="G946" i="2"/>
  <c r="G391" i="2"/>
  <c r="G121" i="2"/>
  <c r="G182" i="2"/>
  <c r="G394" i="2"/>
  <c r="G138" i="2"/>
  <c r="G801" i="2"/>
  <c r="G380" i="2"/>
  <c r="G440" i="2"/>
  <c r="G405" i="2"/>
  <c r="G735" i="2"/>
  <c r="G358" i="2"/>
  <c r="G253" i="2"/>
  <c r="G740" i="2"/>
  <c r="G854" i="2"/>
  <c r="G71" i="2"/>
  <c r="G409" i="2"/>
  <c r="G297" i="2"/>
  <c r="G428" i="2"/>
  <c r="G638" i="2"/>
  <c r="G476" i="2"/>
  <c r="G321" i="2"/>
  <c r="G353" i="2"/>
  <c r="G572" i="2"/>
  <c r="G858" i="2"/>
  <c r="G400" i="2"/>
  <c r="G451" i="2"/>
  <c r="G520" i="2"/>
  <c r="G977" i="2"/>
  <c r="G129" i="2"/>
  <c r="G421" i="2"/>
  <c r="G274" i="2"/>
  <c r="G233" i="2"/>
  <c r="G203" i="2"/>
  <c r="G667" i="2"/>
  <c r="G992" i="2"/>
  <c r="G377" i="2"/>
  <c r="G513" i="2"/>
  <c r="G885" i="2"/>
  <c r="G641" i="2"/>
  <c r="G94" i="2"/>
  <c r="G340" i="2"/>
  <c r="G281" i="2"/>
  <c r="G462" i="2"/>
  <c r="G269" i="2"/>
  <c r="G908" i="2"/>
  <c r="G753" i="2"/>
  <c r="G538" i="2"/>
  <c r="G903" i="2"/>
  <c r="G800" i="2"/>
  <c r="G767" i="2"/>
  <c r="G178" i="2"/>
  <c r="G701" i="2"/>
  <c r="G558" i="2"/>
  <c r="G32" i="2"/>
  <c r="G569" i="2"/>
  <c r="G64" i="2"/>
  <c r="G248" i="2"/>
  <c r="G982" i="2"/>
  <c r="G35" i="2"/>
  <c r="G20" i="2"/>
  <c r="G58" i="2"/>
  <c r="G500" i="2"/>
  <c r="G259" i="2"/>
  <c r="G10" i="2"/>
  <c r="G188" i="2"/>
  <c r="G560" i="2"/>
  <c r="G56" i="2"/>
  <c r="G348" i="2"/>
  <c r="G806" i="2"/>
  <c r="G696" i="2"/>
  <c r="G894" i="2"/>
  <c r="G474" i="2"/>
  <c r="G554" i="2"/>
  <c r="G952" i="2"/>
  <c r="G230" i="2"/>
  <c r="G410" i="2"/>
  <c r="G834" i="2"/>
  <c r="G789" i="2"/>
  <c r="G103" i="2"/>
  <c r="G425" i="2"/>
  <c r="G678" i="2"/>
  <c r="G912" i="2"/>
  <c r="G300" i="2"/>
  <c r="G363" i="2"/>
  <c r="G587" i="2"/>
  <c r="G603" i="2"/>
  <c r="G578" i="2"/>
  <c r="G943" i="2"/>
  <c r="G745" i="2"/>
  <c r="G791" i="2"/>
  <c r="G424" i="2"/>
  <c r="G22" i="2"/>
  <c r="G940" i="2"/>
  <c r="G198" i="2"/>
  <c r="G165" i="2"/>
  <c r="G755" i="2"/>
  <c r="G786" i="2"/>
  <c r="G442" i="2"/>
  <c r="G175" i="2"/>
  <c r="G818" i="2"/>
  <c r="G445" i="2"/>
  <c r="G787" i="2"/>
  <c r="G499" i="2"/>
  <c r="G910" i="2"/>
  <c r="G220" i="2"/>
  <c r="G717" i="2"/>
  <c r="G939" i="2"/>
  <c r="G920" i="2"/>
  <c r="G347" i="2"/>
  <c r="G999" i="2"/>
  <c r="G727" i="2"/>
  <c r="G757" i="2"/>
  <c r="G631" i="2"/>
  <c r="G447" i="2"/>
  <c r="G196" i="2"/>
  <c r="G286" i="2"/>
  <c r="G980" i="2"/>
  <c r="G713" i="2"/>
  <c r="G804" i="2"/>
  <c r="G628" i="2"/>
  <c r="G635" i="2"/>
  <c r="G37" i="2"/>
  <c r="G201" i="2"/>
  <c r="G546" i="2"/>
  <c r="G453" i="2"/>
  <c r="G974" i="2"/>
  <c r="G369" i="2"/>
  <c r="G896" i="2"/>
  <c r="G783" i="2"/>
  <c r="G515" i="2"/>
  <c r="G730" i="2"/>
  <c r="G746" i="2"/>
  <c r="G127" i="2"/>
  <c r="G489" i="2"/>
  <c r="G393" i="2"/>
  <c r="G443" i="2"/>
  <c r="G350" i="2"/>
  <c r="G466" i="2"/>
  <c r="G836" i="2"/>
  <c r="G901" i="2"/>
  <c r="G742" i="2"/>
  <c r="G506" i="2"/>
  <c r="G875" i="2"/>
  <c r="G906" i="2"/>
  <c r="G114" i="2"/>
  <c r="G619" i="2"/>
  <c r="G386" i="2"/>
  <c r="G844" i="2"/>
  <c r="G84" i="2"/>
  <c r="G847" i="2"/>
  <c r="G33" i="2"/>
  <c r="G849" i="2"/>
  <c r="G376" i="2"/>
  <c r="G577" i="2"/>
  <c r="G276" i="2"/>
  <c r="G355" i="2"/>
  <c r="G487" i="2"/>
  <c r="G593" i="2"/>
  <c r="G41" i="2"/>
  <c r="G313" i="2"/>
  <c r="G571" i="2"/>
  <c r="G326" i="2"/>
  <c r="G945" i="2"/>
  <c r="G304" i="2"/>
  <c r="G964" i="2"/>
  <c r="G79" i="2"/>
  <c r="G330" i="2"/>
  <c r="G417" i="2"/>
  <c r="G987" i="2"/>
  <c r="G334" i="2"/>
  <c r="G548" i="2"/>
  <c r="G290" i="2"/>
  <c r="G602" i="2"/>
  <c r="G384" i="2"/>
  <c r="G592" i="2"/>
  <c r="G961" i="2"/>
  <c r="G756" i="2"/>
  <c r="G357" i="2"/>
  <c r="G677" i="2"/>
  <c r="G636" i="2"/>
  <c r="G40" i="2"/>
  <c r="G157" i="2"/>
  <c r="G225" i="2"/>
  <c r="G311" i="2"/>
  <c r="G897" i="2"/>
  <c r="G143" i="2"/>
  <c r="G34" i="2"/>
  <c r="G152" i="2"/>
  <c r="G935" i="2"/>
  <c r="G655" i="2"/>
  <c r="G481" i="2"/>
  <c r="G429" i="2"/>
  <c r="G664" i="2"/>
  <c r="G123" i="2"/>
  <c r="G909" i="2"/>
  <c r="G857" i="2"/>
  <c r="G942" i="2"/>
  <c r="G337" i="2"/>
  <c r="G404" i="2"/>
  <c r="G732" i="2"/>
  <c r="G183" i="2"/>
  <c r="G933" i="2"/>
  <c r="G262" i="2"/>
  <c r="G637" i="2"/>
  <c r="G283" i="2"/>
  <c r="G788" i="2"/>
  <c r="G959" i="2"/>
  <c r="W2" i="3"/>
  <c r="Z2" i="3"/>
  <c r="AA2" i="3"/>
  <c r="W3" i="3"/>
  <c r="Y3" i="3"/>
  <c r="Z3" i="3"/>
  <c r="AA3" i="3"/>
  <c r="W4" i="3"/>
  <c r="Y4" i="3"/>
  <c r="Z4" i="3"/>
  <c r="AA4" i="3"/>
  <c r="W5" i="3"/>
  <c r="Y5" i="3"/>
  <c r="Z5" i="3"/>
  <c r="AA5" i="3"/>
  <c r="W6" i="3"/>
  <c r="Y6" i="3"/>
  <c r="Z6" i="3"/>
  <c r="AA6" i="3"/>
  <c r="W7" i="3"/>
  <c r="Y7" i="3"/>
  <c r="Z7" i="3"/>
  <c r="AA7" i="3"/>
  <c r="V8" i="3"/>
  <c r="Q797" i="2"/>
  <c r="R797" i="2" s="1"/>
  <c r="Q657" i="2"/>
  <c r="R657" i="2" s="1"/>
  <c r="Q581" i="2"/>
  <c r="R581" i="2" s="1"/>
  <c r="Q316" i="2"/>
  <c r="R316" i="2" s="1"/>
  <c r="Q396" i="2"/>
  <c r="R396" i="2" s="1"/>
  <c r="Q698" i="2"/>
  <c r="R698" i="2" s="1"/>
  <c r="Q18" i="2"/>
  <c r="R18" i="2" s="1"/>
  <c r="Q629" i="2"/>
  <c r="R629" i="2" s="1"/>
  <c r="Q51" i="2"/>
  <c r="R51" i="2" s="1"/>
  <c r="Q873" i="2"/>
  <c r="R873" i="2" s="1"/>
  <c r="Q575" i="2"/>
  <c r="R575" i="2" s="1"/>
  <c r="Q774" i="2"/>
  <c r="R774" i="2" s="1"/>
  <c r="Q976" i="2"/>
  <c r="R976" i="2" s="1"/>
  <c r="Q891" i="2"/>
  <c r="R891" i="2" s="1"/>
  <c r="Q463" i="2"/>
  <c r="R463" i="2" s="1"/>
  <c r="Q116" i="2"/>
  <c r="R116" i="2" s="1"/>
  <c r="Q66" i="2"/>
  <c r="R66" i="2" s="1"/>
  <c r="Q705" i="2"/>
  <c r="R705" i="2" s="1"/>
  <c r="Q93" i="2"/>
  <c r="R93" i="2" s="1"/>
  <c r="Q275" i="2"/>
  <c r="R275" i="2" s="1"/>
  <c r="Q990" i="2"/>
  <c r="R990" i="2" s="1"/>
  <c r="Q243" i="2"/>
  <c r="R243" i="2" s="1"/>
  <c r="Q454" i="2"/>
  <c r="R454" i="2" s="1"/>
  <c r="Q214" i="2"/>
  <c r="R214" i="2" s="1"/>
  <c r="Q738" i="2"/>
  <c r="R738" i="2" s="1"/>
  <c r="Q208" i="2"/>
  <c r="R208" i="2" s="1"/>
  <c r="Q55" i="2"/>
  <c r="R55" i="2" s="1"/>
  <c r="Q567" i="2"/>
  <c r="R567" i="2" s="1"/>
  <c r="Q829" i="2"/>
  <c r="R829" i="2" s="1"/>
  <c r="Q252" i="2"/>
  <c r="R252" i="2" s="1"/>
  <c r="Q469" i="2"/>
  <c r="R469" i="2" s="1"/>
  <c r="Q900" i="2"/>
  <c r="R900" i="2" s="1"/>
  <c r="Q190" i="2"/>
  <c r="R190" i="2" s="1"/>
  <c r="Q510" i="2"/>
  <c r="R510" i="2" s="1"/>
  <c r="Q749" i="2"/>
  <c r="R749" i="2" s="1"/>
  <c r="Q147" i="2"/>
  <c r="R147" i="2" s="1"/>
  <c r="Q234" i="2"/>
  <c r="R234" i="2" s="1"/>
  <c r="Q773" i="2"/>
  <c r="R773" i="2" s="1"/>
  <c r="Q8" i="2"/>
  <c r="R8" i="2" s="1"/>
  <c r="Q913" i="2"/>
  <c r="R913" i="2" s="1"/>
  <c r="Q211" i="2"/>
  <c r="R211" i="2" s="1"/>
  <c r="Q475" i="2"/>
  <c r="R475" i="2" s="1"/>
  <c r="Q29" i="2"/>
  <c r="R29" i="2" s="1"/>
  <c r="Q4" i="2"/>
  <c r="R4" i="2" s="1"/>
  <c r="Q14" i="2"/>
  <c r="R14" i="2" s="1"/>
  <c r="Q679" i="2"/>
  <c r="R679" i="2" s="1"/>
  <c r="Q607" i="2"/>
  <c r="R607" i="2" s="1"/>
  <c r="Q815" i="2"/>
  <c r="R815" i="2" s="1"/>
  <c r="Q149" i="2"/>
  <c r="R149" i="2" s="1"/>
  <c r="Q39" i="2"/>
  <c r="R39" i="2" s="1"/>
  <c r="Q108" i="2"/>
  <c r="R108" i="2" s="1"/>
  <c r="Q310" i="2"/>
  <c r="R310" i="2" s="1"/>
  <c r="Q194" i="2"/>
  <c r="R194" i="2" s="1"/>
  <c r="Q102" i="2"/>
  <c r="R102" i="2" s="1"/>
  <c r="Q969" i="2"/>
  <c r="R969" i="2" s="1"/>
  <c r="Q570" i="2"/>
  <c r="R570" i="2" s="1"/>
  <c r="Q895" i="2"/>
  <c r="R895" i="2" s="1"/>
  <c r="Q401" i="2"/>
  <c r="R401" i="2" s="1"/>
  <c r="Q594" i="2"/>
  <c r="R594" i="2" s="1"/>
  <c r="Q446" i="2"/>
  <c r="R446" i="2" s="1"/>
  <c r="Q406" i="2"/>
  <c r="R406" i="2" s="1"/>
  <c r="Q412" i="2"/>
  <c r="R412" i="2" s="1"/>
  <c r="Q566" i="2"/>
  <c r="R566" i="2" s="1"/>
  <c r="Q155" i="2"/>
  <c r="R155" i="2" s="1"/>
  <c r="Q616" i="2"/>
  <c r="R616" i="2" s="1"/>
  <c r="Q303" i="2"/>
  <c r="R303" i="2" s="1"/>
  <c r="Q754" i="2"/>
  <c r="R754" i="2" s="1"/>
  <c r="Q497" i="2"/>
  <c r="R497" i="2" s="1"/>
  <c r="Q287" i="2"/>
  <c r="R287" i="2" s="1"/>
  <c r="Q87" i="2"/>
  <c r="R87" i="2" s="1"/>
  <c r="Q215" i="2"/>
  <c r="R215" i="2" s="1"/>
  <c r="Q492" i="2"/>
  <c r="R492" i="2" s="1"/>
  <c r="Q122" i="2"/>
  <c r="R122" i="2" s="1"/>
  <c r="Q764" i="2"/>
  <c r="R764" i="2" s="1"/>
  <c r="Q219" i="2"/>
  <c r="R219" i="2" s="1"/>
  <c r="Q265" i="2"/>
  <c r="R265" i="2" s="1"/>
  <c r="Q922" i="2"/>
  <c r="R922" i="2" s="1"/>
  <c r="Q166" i="2"/>
  <c r="R166" i="2" s="1"/>
  <c r="Q733" i="2"/>
  <c r="R733" i="2" s="1"/>
  <c r="Q260" i="2"/>
  <c r="R260" i="2" s="1"/>
  <c r="Q112" i="2"/>
  <c r="R112" i="2" s="1"/>
  <c r="Q693" i="2"/>
  <c r="R693" i="2" s="1"/>
  <c r="Q507" i="2"/>
  <c r="R507" i="2" s="1"/>
  <c r="Q688" i="2"/>
  <c r="R688" i="2" s="1"/>
  <c r="Q778" i="2"/>
  <c r="R778" i="2" s="1"/>
  <c r="Q11" i="2"/>
  <c r="R11" i="2" s="1"/>
  <c r="Q962" i="2"/>
  <c r="R962" i="2" s="1"/>
  <c r="Q700" i="2"/>
  <c r="R700" i="2" s="1"/>
  <c r="Q85" i="2"/>
  <c r="R85" i="2" s="1"/>
  <c r="Q798" i="2"/>
  <c r="R798" i="2" s="1"/>
  <c r="Q199" i="2"/>
  <c r="R199" i="2" s="1"/>
  <c r="Q344" i="2"/>
  <c r="R344" i="2" s="1"/>
  <c r="Q137" i="2"/>
  <c r="R137" i="2" s="1"/>
  <c r="Q135" i="2"/>
  <c r="R135" i="2" s="1"/>
  <c r="Q413" i="2"/>
  <c r="R413" i="2" s="1"/>
  <c r="Q156" i="2"/>
  <c r="R156" i="2" s="1"/>
  <c r="Q236" i="2"/>
  <c r="R236" i="2" s="1"/>
  <c r="Q419" i="2"/>
  <c r="R419" i="2" s="1"/>
  <c r="Q658" i="2"/>
  <c r="R658" i="2" s="1"/>
  <c r="Q526" i="2"/>
  <c r="R526" i="2" s="1"/>
  <c r="Q280" i="2"/>
  <c r="R280" i="2" s="1"/>
  <c r="Q88" i="2"/>
  <c r="R88" i="2" s="1"/>
  <c r="Q213" i="2"/>
  <c r="R213" i="2" s="1"/>
  <c r="Q936" i="2"/>
  <c r="R936" i="2" s="1"/>
  <c r="Q550" i="2"/>
  <c r="R550" i="2" s="1"/>
  <c r="Q111" i="2"/>
  <c r="R111" i="2" s="1"/>
  <c r="Q5" i="2"/>
  <c r="R5" i="2" s="1"/>
  <c r="Q255" i="2"/>
  <c r="R255" i="2" s="1"/>
  <c r="Q785" i="2"/>
  <c r="R785" i="2" s="1"/>
  <c r="Q186" i="2"/>
  <c r="R186" i="2" s="1"/>
  <c r="Q551" i="2"/>
  <c r="R551" i="2" s="1"/>
  <c r="Q851" i="2"/>
  <c r="R851" i="2" s="1"/>
  <c r="Q819" i="2"/>
  <c r="R819" i="2" s="1"/>
  <c r="Q633" i="2"/>
  <c r="R633" i="2" s="1"/>
  <c r="Q784" i="2"/>
  <c r="R784" i="2" s="1"/>
  <c r="Q706" i="2"/>
  <c r="R706" i="2" s="1"/>
  <c r="Q807" i="2"/>
  <c r="R807" i="2" s="1"/>
  <c r="Q718" i="2"/>
  <c r="R718" i="2" s="1"/>
  <c r="Q589" i="2"/>
  <c r="R589" i="2" s="1"/>
  <c r="Q947" i="2"/>
  <c r="R947" i="2" s="1"/>
  <c r="Q117" i="2"/>
  <c r="R117" i="2" s="1"/>
  <c r="Q765" i="2"/>
  <c r="R765" i="2" s="1"/>
  <c r="Q415" i="2"/>
  <c r="R415" i="2" s="1"/>
  <c r="Q361" i="2"/>
  <c r="R361" i="2" s="1"/>
  <c r="Q681" i="2"/>
  <c r="R681" i="2" s="1"/>
  <c r="Q250" i="2"/>
  <c r="R250" i="2" s="1"/>
  <c r="Q329" i="2"/>
  <c r="R329" i="2" s="1"/>
  <c r="Q972" i="2"/>
  <c r="R972" i="2" s="1"/>
  <c r="Q670" i="2"/>
  <c r="R670" i="2" s="1"/>
  <c r="Q314" i="2"/>
  <c r="R314" i="2" s="1"/>
  <c r="Q174" i="2"/>
  <c r="R174" i="2" s="1"/>
  <c r="Q333" i="2"/>
  <c r="R333" i="2" s="1"/>
  <c r="Q907" i="2"/>
  <c r="R907" i="2" s="1"/>
  <c r="Q699" i="2"/>
  <c r="R699" i="2" s="1"/>
  <c r="Q929" i="2"/>
  <c r="R929" i="2" s="1"/>
  <c r="Q752" i="2"/>
  <c r="R752" i="2" s="1"/>
  <c r="Q141" i="2"/>
  <c r="R141" i="2" s="1"/>
  <c r="Q544" i="2"/>
  <c r="R544" i="2" s="1"/>
  <c r="Q284" i="2"/>
  <c r="R284" i="2" s="1"/>
  <c r="Q960" i="2"/>
  <c r="R960" i="2" s="1"/>
  <c r="Q210" i="2"/>
  <c r="R210" i="2" s="1"/>
  <c r="Q926" i="2"/>
  <c r="R926" i="2" s="1"/>
  <c r="Q823" i="2"/>
  <c r="R823" i="2" s="1"/>
  <c r="Q298" i="2"/>
  <c r="R298" i="2" s="1"/>
  <c r="Q197" i="2"/>
  <c r="R197" i="2" s="1"/>
  <c r="Q832" i="2"/>
  <c r="R832" i="2" s="1"/>
  <c r="Q843" i="2"/>
  <c r="R843" i="2" s="1"/>
  <c r="Q232" i="2"/>
  <c r="R232" i="2" s="1"/>
  <c r="Q26" i="2"/>
  <c r="R26" i="2" s="1"/>
  <c r="Q3" i="2"/>
  <c r="R3" i="2" s="1"/>
  <c r="Q21" i="2"/>
  <c r="R21" i="2" s="1"/>
  <c r="Q879" i="2"/>
  <c r="R879" i="2" s="1"/>
  <c r="Q372" i="2"/>
  <c r="R372" i="2" s="1"/>
  <c r="Q923" i="2"/>
  <c r="R923" i="2" s="1"/>
  <c r="Q691" i="2"/>
  <c r="R691" i="2" s="1"/>
  <c r="Q315" i="2"/>
  <c r="R315" i="2" s="1"/>
  <c r="Q185" i="2"/>
  <c r="R185" i="2" s="1"/>
  <c r="Q533" i="2"/>
  <c r="R533" i="2" s="1"/>
  <c r="Q195" i="2"/>
  <c r="R195" i="2" s="1"/>
  <c r="Q452" i="2"/>
  <c r="R452" i="2" s="1"/>
  <c r="Q296" i="2"/>
  <c r="R296" i="2" s="1"/>
  <c r="Q338" i="2"/>
  <c r="R338" i="2" s="1"/>
  <c r="Q31" i="2"/>
  <c r="R31" i="2" s="1"/>
  <c r="Q563" i="2"/>
  <c r="R563" i="2" s="1"/>
  <c r="Q414" i="2"/>
  <c r="R414" i="2" s="1"/>
  <c r="Q973" i="2"/>
  <c r="R973" i="2" s="1"/>
  <c r="Q505" i="2"/>
  <c r="R505" i="2" s="1"/>
  <c r="Q888" i="2"/>
  <c r="R888" i="2" s="1"/>
  <c r="Q848" i="2"/>
  <c r="R848" i="2" s="1"/>
  <c r="Q151" i="2"/>
  <c r="R151" i="2" s="1"/>
  <c r="Q719" i="2"/>
  <c r="R719" i="2" s="1"/>
  <c r="Q568" i="2"/>
  <c r="R568" i="2" s="1"/>
  <c r="Q729" i="2"/>
  <c r="R729" i="2" s="1"/>
  <c r="Q140" i="2"/>
  <c r="R140" i="2" s="1"/>
  <c r="Q458" i="2"/>
  <c r="R458" i="2" s="1"/>
  <c r="Q826" i="2"/>
  <c r="R826" i="2" s="1"/>
  <c r="Q6" i="2"/>
  <c r="R6" i="2" s="1"/>
  <c r="Q978" i="2"/>
  <c r="R978" i="2" s="1"/>
  <c r="Q435" i="2"/>
  <c r="R435" i="2" s="1"/>
  <c r="Q769" i="2"/>
  <c r="R769" i="2" s="1"/>
  <c r="Q624" i="2"/>
  <c r="R624" i="2" s="1"/>
  <c r="Q988" i="2"/>
  <c r="R988" i="2" s="1"/>
  <c r="Q762" i="2"/>
  <c r="R762" i="2" s="1"/>
  <c r="Q545" i="2"/>
  <c r="R545" i="2" s="1"/>
  <c r="Q937" i="2"/>
  <c r="R937" i="2" s="1"/>
  <c r="Q821" i="2"/>
  <c r="R821" i="2" s="1"/>
  <c r="Q272" i="2"/>
  <c r="R272" i="2" s="1"/>
  <c r="Q62" i="2"/>
  <c r="R62" i="2" s="1"/>
  <c r="Q979" i="2"/>
  <c r="R979" i="2" s="1"/>
  <c r="Q118" i="2"/>
  <c r="R118" i="2" s="1"/>
  <c r="Q216" i="2"/>
  <c r="R216" i="2" s="1"/>
  <c r="Q322" i="2"/>
  <c r="R322" i="2" s="1"/>
  <c r="Q229" i="2"/>
  <c r="R229" i="2" s="1"/>
  <c r="Q989" i="2"/>
  <c r="R989" i="2" s="1"/>
  <c r="Q884" i="2"/>
  <c r="R884" i="2" s="1"/>
  <c r="Q328" i="2"/>
  <c r="R328" i="2" s="1"/>
  <c r="Q958" i="2"/>
  <c r="R958" i="2" s="1"/>
  <c r="Q383" i="2"/>
  <c r="R383" i="2" s="1"/>
  <c r="Q724" i="2"/>
  <c r="R724" i="2" s="1"/>
  <c r="Q694" i="2"/>
  <c r="R694" i="2" s="1"/>
  <c r="Q432" i="2"/>
  <c r="R432" i="2" s="1"/>
  <c r="Q781" i="2"/>
  <c r="R781" i="2" s="1"/>
  <c r="Q892" i="2"/>
  <c r="R892" i="2" s="1"/>
  <c r="Q293" i="2"/>
  <c r="R293" i="2" s="1"/>
  <c r="Q171" i="2"/>
  <c r="R171" i="2" s="1"/>
  <c r="Q124" i="2"/>
  <c r="R124" i="2" s="1"/>
  <c r="Q491" i="2"/>
  <c r="R491" i="2" s="1"/>
  <c r="Q758" i="2"/>
  <c r="R758" i="2" s="1"/>
  <c r="Q983" i="2"/>
  <c r="R983" i="2" s="1"/>
  <c r="Q956" i="2"/>
  <c r="R956" i="2" s="1"/>
  <c r="Q398" i="2"/>
  <c r="R398" i="2" s="1"/>
  <c r="Q971" i="2"/>
  <c r="R971" i="2" s="1"/>
  <c r="Q101" i="2"/>
  <c r="R101" i="2" s="1"/>
  <c r="Q649" i="2"/>
  <c r="R649" i="2" s="1"/>
  <c r="Q268" i="2"/>
  <c r="R268" i="2" s="1"/>
  <c r="Q722" i="2"/>
  <c r="R722" i="2" s="1"/>
  <c r="Q86" i="2"/>
  <c r="R86" i="2" s="1"/>
  <c r="Q479" i="2"/>
  <c r="R479" i="2" s="1"/>
  <c r="Q501" i="2"/>
  <c r="R501" i="2" s="1"/>
  <c r="Q238" i="2"/>
  <c r="R238" i="2" s="1"/>
  <c r="Q1000" i="2"/>
  <c r="R1000" i="2" s="1"/>
  <c r="Q643" i="2"/>
  <c r="R643" i="2" s="1"/>
  <c r="Q158" i="2"/>
  <c r="R158" i="2" s="1"/>
  <c r="Q650" i="2"/>
  <c r="R650" i="2" s="1"/>
  <c r="Q221" i="2"/>
  <c r="R221" i="2" s="1"/>
  <c r="Q483" i="2"/>
  <c r="R483" i="2" s="1"/>
  <c r="Q562" i="2"/>
  <c r="R562" i="2" s="1"/>
  <c r="Q437" i="2"/>
  <c r="R437" i="2" s="1"/>
  <c r="Q621" i="2"/>
  <c r="R621" i="2" s="1"/>
  <c r="Q444" i="2"/>
  <c r="R444" i="2" s="1"/>
  <c r="Q113" i="2"/>
  <c r="R113" i="2" s="1"/>
  <c r="Q792" i="2"/>
  <c r="R792" i="2" s="1"/>
  <c r="Q191" i="2"/>
  <c r="R191" i="2" s="1"/>
  <c r="Q918" i="2"/>
  <c r="R918" i="2" s="1"/>
  <c r="Q517" i="2"/>
  <c r="R517" i="2" s="1"/>
  <c r="Q217" i="2"/>
  <c r="R217" i="2" s="1"/>
  <c r="Q707" i="2"/>
  <c r="R707" i="2" s="1"/>
  <c r="Q256" i="2"/>
  <c r="R256" i="2" s="1"/>
  <c r="Q493" i="2"/>
  <c r="R493" i="2" s="1"/>
  <c r="Q179" i="2"/>
  <c r="R179" i="2" s="1"/>
  <c r="Q852" i="2"/>
  <c r="R852" i="2" s="1"/>
  <c r="Q524" i="2"/>
  <c r="R524" i="2" s="1"/>
  <c r="Q67" i="2"/>
  <c r="R67" i="2" s="1"/>
  <c r="Q521" i="2"/>
  <c r="R521" i="2" s="1"/>
  <c r="Q585" i="2"/>
  <c r="R585" i="2" s="1"/>
  <c r="Q842" i="2"/>
  <c r="R842" i="2" s="1"/>
  <c r="Q599" i="2"/>
  <c r="R599" i="2" s="1"/>
  <c r="Q99" i="2"/>
  <c r="R99" i="2" s="1"/>
  <c r="Q441" i="2"/>
  <c r="R441" i="2" s="1"/>
  <c r="Q365" i="2"/>
  <c r="R365" i="2" s="1"/>
  <c r="Q455" i="2"/>
  <c r="R455" i="2" s="1"/>
  <c r="Q371" i="2"/>
  <c r="R371" i="2" s="1"/>
  <c r="Q683" i="2"/>
  <c r="R683" i="2" s="1"/>
  <c r="Q162" i="2"/>
  <c r="R162" i="2" s="1"/>
  <c r="Q449" i="2"/>
  <c r="R449" i="2" s="1"/>
  <c r="Q530" i="2"/>
  <c r="R530" i="2" s="1"/>
  <c r="Q251" i="2"/>
  <c r="R251" i="2" s="1"/>
  <c r="Q23" i="2"/>
  <c r="R23" i="2" s="1"/>
  <c r="Q661" i="2"/>
  <c r="R661" i="2" s="1"/>
  <c r="Q617" i="2"/>
  <c r="R617" i="2" s="1"/>
  <c r="Q48" i="2"/>
  <c r="R48" i="2" s="1"/>
  <c r="Q673" i="2"/>
  <c r="R673" i="2" s="1"/>
  <c r="Q504" i="2"/>
  <c r="R504" i="2" s="1"/>
  <c r="Q642" i="2"/>
  <c r="R642" i="2" s="1"/>
  <c r="Q327" i="2"/>
  <c r="R327" i="2" s="1"/>
  <c r="Q318" i="2"/>
  <c r="R318" i="2" s="1"/>
  <c r="Q739" i="2"/>
  <c r="R739" i="2" s="1"/>
  <c r="Q81" i="2"/>
  <c r="R81" i="2" s="1"/>
  <c r="Q19" i="2"/>
  <c r="R19" i="2" s="1"/>
  <c r="Q17" i="2"/>
  <c r="R17" i="2" s="1"/>
  <c r="Q995" i="2"/>
  <c r="R995" i="2" s="1"/>
  <c r="Q609" i="2"/>
  <c r="R609" i="2" s="1"/>
  <c r="Q95" i="2"/>
  <c r="R95" i="2" s="1"/>
  <c r="Q878" i="2"/>
  <c r="R878" i="2" s="1"/>
  <c r="Q436" i="2"/>
  <c r="R436" i="2" s="1"/>
  <c r="Q370" i="2"/>
  <c r="R370" i="2" s="1"/>
  <c r="Q381" i="2"/>
  <c r="R381" i="2" s="1"/>
  <c r="Q83" i="2"/>
  <c r="R83" i="2" s="1"/>
  <c r="Q915" i="2"/>
  <c r="R915" i="2" s="1"/>
  <c r="Q299" i="2"/>
  <c r="R299" i="2" s="1"/>
  <c r="Q916" i="2"/>
  <c r="R916" i="2" s="1"/>
  <c r="Q772" i="2"/>
  <c r="R772" i="2" s="1"/>
  <c r="Q775" i="2"/>
  <c r="R775" i="2" s="1"/>
  <c r="Q734" i="2"/>
  <c r="R734" i="2" s="1"/>
  <c r="Q115" i="2"/>
  <c r="R115" i="2" s="1"/>
  <c r="Q360" i="2"/>
  <c r="R360" i="2" s="1"/>
  <c r="Q473" i="2"/>
  <c r="R473" i="2" s="1"/>
  <c r="Q654" i="2"/>
  <c r="R654" i="2" s="1"/>
  <c r="Q519" i="2"/>
  <c r="R519" i="2" s="1"/>
  <c r="Q555" i="2"/>
  <c r="R555" i="2" s="1"/>
  <c r="Q872" i="2"/>
  <c r="R872" i="2" s="1"/>
  <c r="Q680" i="2"/>
  <c r="R680" i="2" s="1"/>
  <c r="Q634" i="2"/>
  <c r="R634" i="2" s="1"/>
  <c r="Q332" i="2"/>
  <c r="R332" i="2" s="1"/>
  <c r="Q279" i="2"/>
  <c r="R279" i="2" s="1"/>
  <c r="Q747" i="2"/>
  <c r="R747" i="2" s="1"/>
  <c r="Q438" i="2"/>
  <c r="R438" i="2" s="1"/>
  <c r="Q490" i="2"/>
  <c r="R490" i="2" s="1"/>
  <c r="Q776" i="2"/>
  <c r="R776" i="2" s="1"/>
  <c r="Q965" i="2"/>
  <c r="R965" i="2" s="1"/>
  <c r="Q100" i="2"/>
  <c r="R100" i="2" s="1"/>
  <c r="Q218" i="2"/>
  <c r="R218" i="2" s="1"/>
  <c r="Q411" i="2"/>
  <c r="R411" i="2" s="1"/>
  <c r="Q70" i="2"/>
  <c r="R70" i="2" s="1"/>
  <c r="Q576" i="2"/>
  <c r="R576" i="2" s="1"/>
  <c r="Q9" i="2"/>
  <c r="R9" i="2" s="1"/>
  <c r="Q339" i="2"/>
  <c r="R339" i="2" s="1"/>
  <c r="Q748" i="2"/>
  <c r="R748" i="2" s="1"/>
  <c r="Q833" i="2"/>
  <c r="R833" i="2" s="1"/>
  <c r="Q623" i="2"/>
  <c r="R623" i="2" s="1"/>
  <c r="Q612" i="2"/>
  <c r="R612" i="2" s="1"/>
  <c r="Q448" i="2"/>
  <c r="R448" i="2" s="1"/>
  <c r="Q312" i="2"/>
  <c r="R312" i="2" s="1"/>
  <c r="Q970" i="2"/>
  <c r="R970" i="2" s="1"/>
  <c r="Q98" i="2"/>
  <c r="R98" i="2" s="1"/>
  <c r="Q89" i="2"/>
  <c r="R89" i="2" s="1"/>
  <c r="Q509" i="2"/>
  <c r="R509" i="2" s="1"/>
  <c r="Q932" i="2"/>
  <c r="R932" i="2" s="1"/>
  <c r="Q144" i="2"/>
  <c r="R144" i="2" s="1"/>
  <c r="Q356" i="2"/>
  <c r="R356" i="2" s="1"/>
  <c r="Q49" i="2"/>
  <c r="R49" i="2" s="1"/>
  <c r="Q184" i="2"/>
  <c r="R184" i="2" s="1"/>
  <c r="Q921" i="2"/>
  <c r="R921" i="2" s="1"/>
  <c r="Q824" i="2"/>
  <c r="R824" i="2" s="1"/>
  <c r="Q809" i="2"/>
  <c r="R809" i="2" s="1"/>
  <c r="Q553" i="2"/>
  <c r="R553" i="2" s="1"/>
  <c r="Q306" i="2"/>
  <c r="R306" i="2" s="1"/>
  <c r="Q464" i="2"/>
  <c r="R464" i="2" s="1"/>
  <c r="Q388" i="2"/>
  <c r="R388" i="2" s="1"/>
  <c r="Q997" i="2"/>
  <c r="R997" i="2" s="1"/>
  <c r="Q382" i="2"/>
  <c r="R382" i="2" s="1"/>
  <c r="Q535" i="2"/>
  <c r="R535" i="2" s="1"/>
  <c r="Q246" i="2"/>
  <c r="R246" i="2" s="1"/>
  <c r="Q953" i="2"/>
  <c r="R953" i="2" s="1"/>
  <c r="Q263" i="2"/>
  <c r="R263" i="2" s="1"/>
  <c r="Q373" i="2"/>
  <c r="R373" i="2" s="1"/>
  <c r="Q28" i="2"/>
  <c r="R28" i="2" s="1"/>
  <c r="Q402" i="2"/>
  <c r="R402" i="2" s="1"/>
  <c r="Q595" i="2"/>
  <c r="R595" i="2" s="1"/>
  <c r="Q270" i="2"/>
  <c r="R270" i="2" s="1"/>
  <c r="Q427" i="2"/>
  <c r="R427" i="2" s="1"/>
  <c r="Q828" i="2"/>
  <c r="R828" i="2" s="1"/>
  <c r="Q860" i="2"/>
  <c r="R860" i="2" s="1"/>
  <c r="Q511" i="2"/>
  <c r="R511" i="2" s="1"/>
  <c r="Q374" i="2"/>
  <c r="R374" i="2" s="1"/>
  <c r="Q150" i="2"/>
  <c r="R150" i="2" s="1"/>
  <c r="Q899" i="2"/>
  <c r="R899" i="2" s="1"/>
  <c r="Q109" i="2"/>
  <c r="R109" i="2" s="1"/>
  <c r="Q771" i="2"/>
  <c r="R771" i="2" s="1"/>
  <c r="Q689" i="2"/>
  <c r="R689" i="2" s="1"/>
  <c r="Q615" i="2"/>
  <c r="R615" i="2" s="1"/>
  <c r="Q226" i="2"/>
  <c r="R226" i="2" s="1"/>
  <c r="Q686" i="2"/>
  <c r="R686" i="2" s="1"/>
  <c r="Q675" i="2"/>
  <c r="R675" i="2" s="1"/>
  <c r="Q665" i="2"/>
  <c r="R665" i="2" s="1"/>
  <c r="Q163" i="2"/>
  <c r="R163" i="2" s="1"/>
  <c r="Q518" i="2"/>
  <c r="R518" i="2" s="1"/>
  <c r="Q266" i="2"/>
  <c r="R266" i="2" s="1"/>
  <c r="Q331" i="2"/>
  <c r="R331" i="2" s="1"/>
  <c r="Q480" i="2"/>
  <c r="R480" i="2" s="1"/>
  <c r="Q855" i="2"/>
  <c r="R855" i="2" s="1"/>
  <c r="Q257" i="2"/>
  <c r="R257" i="2" s="1"/>
  <c r="Q136" i="2"/>
  <c r="R136" i="2" s="1"/>
  <c r="Q295" i="2"/>
  <c r="R295" i="2" s="1"/>
  <c r="Q76" i="2"/>
  <c r="R76" i="2" s="1"/>
  <c r="Q596" i="2"/>
  <c r="R596" i="2" s="1"/>
  <c r="Q702" i="2"/>
  <c r="R702" i="2" s="1"/>
  <c r="Q529" i="2"/>
  <c r="R529" i="2" s="1"/>
  <c r="Q614" i="2"/>
  <c r="R614" i="2" s="1"/>
  <c r="Q72" i="2"/>
  <c r="R72" i="2" s="1"/>
  <c r="Q968" i="2"/>
  <c r="R968" i="2" s="1"/>
  <c r="Q42" i="2"/>
  <c r="R42" i="2" s="1"/>
  <c r="Q63" i="2"/>
  <c r="R63" i="2" s="1"/>
  <c r="Q928" i="2"/>
  <c r="R928" i="2" s="1"/>
  <c r="Q164" i="2"/>
  <c r="R164" i="2" s="1"/>
  <c r="Q351" i="2"/>
  <c r="R351" i="2" s="1"/>
  <c r="Q672" i="2"/>
  <c r="R672" i="2" s="1"/>
  <c r="Q949" i="2"/>
  <c r="R949" i="2" s="1"/>
  <c r="Q790" i="2"/>
  <c r="R790" i="2" s="1"/>
  <c r="Q759" i="2"/>
  <c r="R759" i="2" s="1"/>
  <c r="Q750" i="2"/>
  <c r="R750" i="2" s="1"/>
  <c r="Q96" i="2"/>
  <c r="R96" i="2" s="1"/>
  <c r="Q919" i="2"/>
  <c r="R919" i="2" s="1"/>
  <c r="Q309" i="2"/>
  <c r="R309" i="2" s="1"/>
  <c r="Q687" i="2"/>
  <c r="R687" i="2" s="1"/>
  <c r="Q434" i="2"/>
  <c r="R434" i="2" s="1"/>
  <c r="Q905" i="2"/>
  <c r="R905" i="2" s="1"/>
  <c r="Q598" i="2"/>
  <c r="R598" i="2" s="1"/>
  <c r="Q12" i="2"/>
  <c r="R12" i="2" s="1"/>
  <c r="Q646" i="2"/>
  <c r="R646" i="2" s="1"/>
  <c r="Q15" i="2"/>
  <c r="R15" i="2" s="1"/>
  <c r="Q207" i="2"/>
  <c r="R207" i="2" s="1"/>
  <c r="Q861" i="2"/>
  <c r="R861" i="2" s="1"/>
  <c r="Q482" i="2"/>
  <c r="R482" i="2" s="1"/>
  <c r="Q984" i="2"/>
  <c r="R984" i="2" s="1"/>
  <c r="Q168" i="2"/>
  <c r="R168" i="2" s="1"/>
  <c r="Q811" i="2"/>
  <c r="R811" i="2" s="1"/>
  <c r="Q660" i="2"/>
  <c r="R660" i="2" s="1"/>
  <c r="Q368" i="2"/>
  <c r="R368" i="2" s="1"/>
  <c r="Q244" i="2"/>
  <c r="R244" i="2" s="1"/>
  <c r="Q50" i="2"/>
  <c r="R50" i="2" s="1"/>
  <c r="Q547" i="2"/>
  <c r="R547" i="2" s="1"/>
  <c r="Q814" i="2"/>
  <c r="R814" i="2" s="1"/>
  <c r="Q579" i="2"/>
  <c r="R579" i="2" s="1"/>
  <c r="Q648" i="2"/>
  <c r="R648" i="2" s="1"/>
  <c r="Q541" i="2"/>
  <c r="R541" i="2" s="1"/>
  <c r="Q993" i="2"/>
  <c r="R993" i="2" s="1"/>
  <c r="Q532" i="2"/>
  <c r="R532" i="2" s="1"/>
  <c r="Q886" i="2"/>
  <c r="R886" i="2" s="1"/>
  <c r="Q106" i="2"/>
  <c r="R106" i="2" s="1"/>
  <c r="Q644" i="2"/>
  <c r="R644" i="2" s="1"/>
  <c r="Q107" i="2"/>
  <c r="R107" i="2" s="1"/>
  <c r="Q552" i="2"/>
  <c r="R552" i="2" s="1"/>
  <c r="Q154" i="2"/>
  <c r="R154" i="2" s="1"/>
  <c r="Q342" i="2"/>
  <c r="R342" i="2" s="1"/>
  <c r="Q433" i="2"/>
  <c r="R433" i="2" s="1"/>
  <c r="Q267" i="2"/>
  <c r="R267" i="2" s="1"/>
  <c r="Q44" i="2"/>
  <c r="R44" i="2" s="1"/>
  <c r="Q597" i="2"/>
  <c r="R597" i="2" s="1"/>
  <c r="Q523" i="2"/>
  <c r="R523" i="2" s="1"/>
  <c r="Q954" i="2"/>
  <c r="R954" i="2" s="1"/>
  <c r="Q169" i="2"/>
  <c r="R169" i="2" s="1"/>
  <c r="Q564" i="2"/>
  <c r="R564" i="2" s="1"/>
  <c r="Q426" i="2"/>
  <c r="R426" i="2" s="1"/>
  <c r="Q981" i="2"/>
  <c r="R981" i="2" s="1"/>
  <c r="Q522" i="2"/>
  <c r="R522" i="2" s="1"/>
  <c r="Q395" i="2"/>
  <c r="R395" i="2" s="1"/>
  <c r="Q580" i="2"/>
  <c r="R580" i="2" s="1"/>
  <c r="Q408" i="2"/>
  <c r="R408" i="2" s="1"/>
  <c r="Q54" i="2"/>
  <c r="R54" i="2" s="1"/>
  <c r="Q794" i="2"/>
  <c r="R794" i="2" s="1"/>
  <c r="Q822" i="2"/>
  <c r="R822" i="2" s="1"/>
  <c r="Q516" i="2"/>
  <c r="R516" i="2" s="1"/>
  <c r="Q827" i="2"/>
  <c r="R827" i="2" s="1"/>
  <c r="Q846" i="2"/>
  <c r="R846" i="2" s="1"/>
  <c r="Q904" i="2"/>
  <c r="R904" i="2" s="1"/>
  <c r="Q543" i="2"/>
  <c r="R543" i="2" s="1"/>
  <c r="Q514" i="2"/>
  <c r="R514" i="2" s="1"/>
  <c r="Q871" i="2"/>
  <c r="R871" i="2" s="1"/>
  <c r="Q708" i="2"/>
  <c r="R708" i="2" s="1"/>
  <c r="Q653" i="2"/>
  <c r="R653" i="2" s="1"/>
  <c r="Q75" i="2"/>
  <c r="R75" i="2" s="1"/>
  <c r="Q889" i="2"/>
  <c r="R889" i="2" s="1"/>
  <c r="Q187" i="2"/>
  <c r="R187" i="2" s="1"/>
  <c r="Q704" i="2"/>
  <c r="R704" i="2" s="1"/>
  <c r="Q27" i="2"/>
  <c r="R27" i="2" s="1"/>
  <c r="Q911" i="2"/>
  <c r="R911" i="2" s="1"/>
  <c r="Q985" i="2"/>
  <c r="R985" i="2" s="1"/>
  <c r="Q212" i="2"/>
  <c r="R212" i="2" s="1"/>
  <c r="Q390" i="2"/>
  <c r="R390" i="2" s="1"/>
  <c r="Q90" i="2"/>
  <c r="R90" i="2" s="1"/>
  <c r="Q777" i="2"/>
  <c r="R777" i="2" s="1"/>
  <c r="Q714" i="2"/>
  <c r="R714" i="2" s="1"/>
  <c r="Q379" i="2"/>
  <c r="R379" i="2" s="1"/>
  <c r="Q132" i="2"/>
  <c r="R132" i="2" s="1"/>
  <c r="Q841" i="2"/>
  <c r="R841" i="2" s="1"/>
  <c r="Q868" i="2"/>
  <c r="R868" i="2" s="1"/>
  <c r="Q176" i="2"/>
  <c r="R176" i="2" s="1"/>
  <c r="Q73" i="2"/>
  <c r="R73" i="2" s="1"/>
  <c r="Q273" i="2"/>
  <c r="R273" i="2" s="1"/>
  <c r="Q403" i="2"/>
  <c r="R403" i="2" s="1"/>
  <c r="Q486" i="2"/>
  <c r="R486" i="2" s="1"/>
  <c r="Q711" i="2"/>
  <c r="R711" i="2" s="1"/>
  <c r="Q994" i="2"/>
  <c r="R994" i="2" s="1"/>
  <c r="Q966" i="2"/>
  <c r="R966" i="2" s="1"/>
  <c r="Q882" i="2"/>
  <c r="R882" i="2" s="1"/>
  <c r="Q898" i="2"/>
  <c r="R898" i="2" s="1"/>
  <c r="Q656" i="2"/>
  <c r="R656" i="2" s="1"/>
  <c r="Q666" i="2"/>
  <c r="R666" i="2" s="1"/>
  <c r="Q247" i="2"/>
  <c r="R247" i="2" s="1"/>
  <c r="Q863" i="2"/>
  <c r="R863" i="2" s="1"/>
  <c r="Q200" i="2"/>
  <c r="R200" i="2" s="1"/>
  <c r="Q812" i="2"/>
  <c r="R812" i="2" s="1"/>
  <c r="Q583" i="2"/>
  <c r="R583" i="2" s="1"/>
  <c r="Q902" i="2"/>
  <c r="R902" i="2" s="1"/>
  <c r="Q917" i="2"/>
  <c r="R917" i="2" s="1"/>
  <c r="Q288" i="2"/>
  <c r="R288" i="2" s="1"/>
  <c r="Q763" i="2"/>
  <c r="R763" i="2" s="1"/>
  <c r="Q498" i="2"/>
  <c r="R498" i="2" s="1"/>
  <c r="Q741" i="2"/>
  <c r="R741" i="2" s="1"/>
  <c r="Q810" i="2"/>
  <c r="R810" i="2" s="1"/>
  <c r="Q495" i="2"/>
  <c r="R495" i="2" s="1"/>
  <c r="Q955" i="2"/>
  <c r="R955" i="2" s="1"/>
  <c r="Q160" i="2"/>
  <c r="R160" i="2" s="1"/>
  <c r="Q423" i="2"/>
  <c r="R423" i="2" s="1"/>
  <c r="Q618" i="2"/>
  <c r="R618" i="2" s="1"/>
  <c r="Q120" i="2"/>
  <c r="R120" i="2" s="1"/>
  <c r="Q716" i="2"/>
  <c r="R716" i="2" s="1"/>
  <c r="Q925" i="2"/>
  <c r="R925" i="2" s="1"/>
  <c r="Q74" i="2"/>
  <c r="R74" i="2" s="1"/>
  <c r="Q399" i="2"/>
  <c r="R399" i="2" s="1"/>
  <c r="Q525" i="2"/>
  <c r="R525" i="2" s="1"/>
  <c r="Q690" i="2"/>
  <c r="R690" i="2" s="1"/>
  <c r="Q779" i="2"/>
  <c r="R779" i="2" s="1"/>
  <c r="Q465" i="2"/>
  <c r="R465" i="2" s="1"/>
  <c r="Q222" i="2"/>
  <c r="R222" i="2" s="1"/>
  <c r="Q835" i="2"/>
  <c r="R835" i="2" s="1"/>
  <c r="Q36" i="2"/>
  <c r="R36" i="2" s="1"/>
  <c r="Q352" i="2"/>
  <c r="R352" i="2" s="1"/>
  <c r="Q345" i="2"/>
  <c r="R345" i="2" s="1"/>
  <c r="Q119" i="2"/>
  <c r="R119" i="2" s="1"/>
  <c r="Q782" i="2"/>
  <c r="R782" i="2" s="1"/>
  <c r="Q938" i="2"/>
  <c r="R938" i="2" s="1"/>
  <c r="Q721" i="2"/>
  <c r="R721" i="2" s="1"/>
  <c r="Q173" i="2"/>
  <c r="R173" i="2" s="1"/>
  <c r="Q362" i="2"/>
  <c r="R362" i="2" s="1"/>
  <c r="Q485" i="2"/>
  <c r="R485" i="2" s="1"/>
  <c r="Q204" i="2"/>
  <c r="R204" i="2" s="1"/>
  <c r="Q77" i="2"/>
  <c r="R77" i="2" s="1"/>
  <c r="Q924" i="2"/>
  <c r="R924" i="2" s="1"/>
  <c r="Q302" i="2"/>
  <c r="R302" i="2" s="1"/>
  <c r="Q743" i="2"/>
  <c r="R743" i="2" s="1"/>
  <c r="Q645" i="2"/>
  <c r="R645" i="2" s="1"/>
  <c r="Q856" i="2"/>
  <c r="R856" i="2" s="1"/>
  <c r="Q627" i="2"/>
  <c r="R627" i="2" s="1"/>
  <c r="Q242" i="2"/>
  <c r="R242" i="2" s="1"/>
  <c r="Q277" i="2"/>
  <c r="R277" i="2" s="1"/>
  <c r="Q53" i="2"/>
  <c r="R53" i="2" s="1"/>
  <c r="Q422" i="2"/>
  <c r="R422" i="2" s="1"/>
  <c r="Q319" i="2"/>
  <c r="R319" i="2" s="1"/>
  <c r="Q813" i="2"/>
  <c r="R813" i="2" s="1"/>
  <c r="Q91" i="2"/>
  <c r="R91" i="2" s="1"/>
  <c r="Q944" i="2"/>
  <c r="R944" i="2" s="1"/>
  <c r="Q880" i="2"/>
  <c r="R880" i="2" s="1"/>
  <c r="Q224" i="2"/>
  <c r="R224" i="2" s="1"/>
  <c r="Q957" i="2"/>
  <c r="R957" i="2" s="1"/>
  <c r="Q831" i="2"/>
  <c r="R831" i="2" s="1"/>
  <c r="Q289" i="2"/>
  <c r="R289" i="2" s="1"/>
  <c r="Q639" i="2"/>
  <c r="R639" i="2" s="1"/>
  <c r="Q133" i="2"/>
  <c r="R133" i="2" s="1"/>
  <c r="Q346" i="2"/>
  <c r="R346" i="2" s="1"/>
  <c r="Q192" i="2"/>
  <c r="R192" i="2" s="1"/>
  <c r="Q450" i="2"/>
  <c r="R450" i="2" s="1"/>
  <c r="Q61" i="2"/>
  <c r="R61" i="2" s="1"/>
  <c r="Q582" i="2"/>
  <c r="R582" i="2" s="1"/>
  <c r="Q389" i="2"/>
  <c r="R389" i="2" s="1"/>
  <c r="Q573" i="2"/>
  <c r="R573" i="2" s="1"/>
  <c r="Q751" i="2"/>
  <c r="R751" i="2" s="1"/>
  <c r="Q153" i="2"/>
  <c r="R153" i="2" s="1"/>
  <c r="Q282" i="2"/>
  <c r="R282" i="2" s="1"/>
  <c r="Q343" i="2"/>
  <c r="R343" i="2" s="1"/>
  <c r="Q235" i="2"/>
  <c r="R235" i="2" s="1"/>
  <c r="Q254" i="2"/>
  <c r="R254" i="2" s="1"/>
  <c r="Q181" i="2"/>
  <c r="R181" i="2" s="1"/>
  <c r="Q416" i="2"/>
  <c r="R416" i="2" s="1"/>
  <c r="Q291" i="2"/>
  <c r="R291" i="2" s="1"/>
  <c r="Q584" i="2"/>
  <c r="R584" i="2" s="1"/>
  <c r="Q145" i="2"/>
  <c r="R145" i="2" s="1"/>
  <c r="Q684" i="2"/>
  <c r="R684" i="2" s="1"/>
  <c r="Q611" i="2"/>
  <c r="R611" i="2" s="1"/>
  <c r="Q605" i="2"/>
  <c r="R605" i="2" s="1"/>
  <c r="Q712" i="2"/>
  <c r="R712" i="2" s="1"/>
  <c r="Q349" i="2"/>
  <c r="R349" i="2" s="1"/>
  <c r="Q934" i="2"/>
  <c r="R934" i="2" s="1"/>
  <c r="Q223" i="2"/>
  <c r="R223" i="2" s="1"/>
  <c r="Q574" i="2"/>
  <c r="R574" i="2" s="1"/>
  <c r="Q975" i="2"/>
  <c r="R975" i="2" s="1"/>
  <c r="Q378" i="2"/>
  <c r="R378" i="2" s="1"/>
  <c r="Q838" i="2"/>
  <c r="R838" i="2" s="1"/>
  <c r="Q671" i="2"/>
  <c r="R671" i="2" s="1"/>
  <c r="Q80" i="2"/>
  <c r="R80" i="2" s="1"/>
  <c r="Q770" i="2"/>
  <c r="R770" i="2" s="1"/>
  <c r="Q104" i="2"/>
  <c r="R104" i="2" s="1"/>
  <c r="Q38" i="2"/>
  <c r="R38" i="2" s="1"/>
  <c r="Q805" i="2"/>
  <c r="R805" i="2" s="1"/>
  <c r="Q134" i="2"/>
  <c r="R134" i="2" s="1"/>
  <c r="Q420" i="2"/>
  <c r="R420" i="2" s="1"/>
  <c r="Q534" i="2"/>
  <c r="R534" i="2" s="1"/>
  <c r="Q820" i="2"/>
  <c r="R820" i="2" s="1"/>
  <c r="Q674" i="2"/>
  <c r="R674" i="2" s="1"/>
  <c r="Q539" i="2"/>
  <c r="R539" i="2" s="1"/>
  <c r="Q527" i="2"/>
  <c r="R527" i="2" s="1"/>
  <c r="Q335" i="2"/>
  <c r="R335" i="2" s="1"/>
  <c r="Q471" i="2"/>
  <c r="R471" i="2" s="1"/>
  <c r="Q682" i="2"/>
  <c r="R682" i="2" s="1"/>
  <c r="Q43" i="2"/>
  <c r="R43" i="2" s="1"/>
  <c r="Q528" i="2"/>
  <c r="R528" i="2" s="1"/>
  <c r="Q728" i="2"/>
  <c r="R728" i="2" s="1"/>
  <c r="Q180" i="2"/>
  <c r="R180" i="2" s="1"/>
  <c r="Q697" i="2"/>
  <c r="R697" i="2" s="1"/>
  <c r="Q78" i="2"/>
  <c r="R78" i="2" s="1"/>
  <c r="Q659" i="2"/>
  <c r="R659" i="2" s="1"/>
  <c r="Q142" i="2"/>
  <c r="R142" i="2" s="1"/>
  <c r="Q206" i="2"/>
  <c r="R206" i="2" s="1"/>
  <c r="Q25" i="2"/>
  <c r="R25" i="2" s="1"/>
  <c r="Q839" i="2"/>
  <c r="R839" i="2" s="1"/>
  <c r="Q239" i="2"/>
  <c r="R239" i="2" s="1"/>
  <c r="Q16" i="2"/>
  <c r="R16" i="2" s="1"/>
  <c r="Q477" i="2"/>
  <c r="R477" i="2" s="1"/>
  <c r="Q461" i="2"/>
  <c r="R461" i="2" s="1"/>
  <c r="Q998" i="2"/>
  <c r="R998" i="2" s="1"/>
  <c r="Q866" i="2"/>
  <c r="R866" i="2" s="1"/>
  <c r="Q715" i="2"/>
  <c r="R715" i="2" s="1"/>
  <c r="Q65" i="2"/>
  <c r="R65" i="2" s="1"/>
  <c r="Q375" i="2"/>
  <c r="R375" i="2" s="1"/>
  <c r="Q7" i="2"/>
  <c r="R7" i="2" s="1"/>
  <c r="Q951" i="2"/>
  <c r="R951" i="2" s="1"/>
  <c r="Q625" i="2"/>
  <c r="R625" i="2" s="1"/>
  <c r="Q237" i="2"/>
  <c r="R237" i="2" s="1"/>
  <c r="Q647" i="2"/>
  <c r="R647" i="2" s="1"/>
  <c r="Q470" i="2"/>
  <c r="R470" i="2" s="1"/>
  <c r="Q845" i="2"/>
  <c r="R845" i="2" s="1"/>
  <c r="Q57" i="2"/>
  <c r="R57" i="2" s="1"/>
  <c r="Q837" i="2"/>
  <c r="R837" i="2" s="1"/>
  <c r="Q460" i="2"/>
  <c r="R460" i="2" s="1"/>
  <c r="Q431" i="2"/>
  <c r="R431" i="2" s="1"/>
  <c r="Q725" i="2"/>
  <c r="R725" i="2" s="1"/>
  <c r="Q456" i="2"/>
  <c r="R456" i="2" s="1"/>
  <c r="Q341" i="2"/>
  <c r="R341" i="2" s="1"/>
  <c r="Q963" i="2"/>
  <c r="R963" i="2" s="1"/>
  <c r="Q830" i="2"/>
  <c r="R830" i="2" s="1"/>
  <c r="Q366" i="2"/>
  <c r="R366" i="2" s="1"/>
  <c r="Q744" i="2"/>
  <c r="R744" i="2" s="1"/>
  <c r="Q676" i="2"/>
  <c r="R676" i="2" s="1"/>
  <c r="Q803" i="2"/>
  <c r="R803" i="2" s="1"/>
  <c r="Q606" i="2"/>
  <c r="R606" i="2" s="1"/>
  <c r="Q430" i="2"/>
  <c r="R430" i="2" s="1"/>
  <c r="Q494" i="2"/>
  <c r="R494" i="2" s="1"/>
  <c r="Q387" i="2"/>
  <c r="R387" i="2" s="1"/>
  <c r="Q874" i="2"/>
  <c r="R874" i="2" s="1"/>
  <c r="Q320" i="2"/>
  <c r="R320" i="2" s="1"/>
  <c r="Q392" i="2"/>
  <c r="R392" i="2" s="1"/>
  <c r="Q723" i="2"/>
  <c r="R723" i="2" s="1"/>
  <c r="Q536" i="2"/>
  <c r="R536" i="2" s="1"/>
  <c r="Q285" i="2"/>
  <c r="R285" i="2" s="1"/>
  <c r="Q105" i="2"/>
  <c r="R105" i="2" s="1"/>
  <c r="Q540" i="2"/>
  <c r="R540" i="2" s="1"/>
  <c r="Q30" i="2"/>
  <c r="R30" i="2" s="1"/>
  <c r="Q780" i="2"/>
  <c r="R780" i="2" s="1"/>
  <c r="Q557" i="2"/>
  <c r="R557" i="2" s="1"/>
  <c r="Q632" i="2"/>
  <c r="R632" i="2" s="1"/>
  <c r="Q736" i="2"/>
  <c r="R736" i="2" s="1"/>
  <c r="Q278" i="2"/>
  <c r="R278" i="2" s="1"/>
  <c r="Q472" i="2"/>
  <c r="R472" i="2" s="1"/>
  <c r="Q258" i="2"/>
  <c r="R258" i="2" s="1"/>
  <c r="Q561" i="2"/>
  <c r="R561" i="2" s="1"/>
  <c r="Q227" i="2"/>
  <c r="R227" i="2" s="1"/>
  <c r="Q840" i="2"/>
  <c r="R840" i="2" s="1"/>
  <c r="Q737" i="2"/>
  <c r="R737" i="2" s="1"/>
  <c r="Q241" i="2"/>
  <c r="R241" i="2" s="1"/>
  <c r="Q161" i="2"/>
  <c r="R161" i="2" s="1"/>
  <c r="Q148" i="2"/>
  <c r="R148" i="2" s="1"/>
  <c r="Q468" i="2"/>
  <c r="R468" i="2" s="1"/>
  <c r="Q82" i="2"/>
  <c r="R82" i="2" s="1"/>
  <c r="Q292" i="2"/>
  <c r="R292" i="2" s="1"/>
  <c r="Q802" i="2"/>
  <c r="R802" i="2" s="1"/>
  <c r="Q817" i="2"/>
  <c r="R817" i="2" s="1"/>
  <c r="Q205" i="2"/>
  <c r="R205" i="2" s="1"/>
  <c r="Q359" i="2"/>
  <c r="R359" i="2" s="1"/>
  <c r="Q240" i="2"/>
  <c r="R240" i="2" s="1"/>
  <c r="Q950" i="2"/>
  <c r="R950" i="2" s="1"/>
  <c r="Q948" i="2"/>
  <c r="R948" i="2" s="1"/>
  <c r="Q808" i="2"/>
  <c r="R808" i="2" s="1"/>
  <c r="Q865" i="2"/>
  <c r="R865" i="2" s="1"/>
  <c r="Q565" i="2"/>
  <c r="R565" i="2" s="1"/>
  <c r="Q996" i="2"/>
  <c r="R996" i="2" s="1"/>
  <c r="Q307" i="2"/>
  <c r="R307" i="2" s="1"/>
  <c r="Q931" i="2"/>
  <c r="R931" i="2" s="1"/>
  <c r="Q588" i="2"/>
  <c r="R588" i="2" s="1"/>
  <c r="Q608" i="2"/>
  <c r="R608" i="2" s="1"/>
  <c r="Q439" i="2"/>
  <c r="R439" i="2" s="1"/>
  <c r="Q941" i="2"/>
  <c r="R941" i="2" s="1"/>
  <c r="Q128" i="2"/>
  <c r="R128" i="2" s="1"/>
  <c r="Q385" i="2"/>
  <c r="R385" i="2" s="1"/>
  <c r="Q167" i="2"/>
  <c r="R167" i="2" s="1"/>
  <c r="Q308" i="2"/>
  <c r="R308" i="2" s="1"/>
  <c r="Q859" i="2"/>
  <c r="R859" i="2" s="1"/>
  <c r="Q367" i="2"/>
  <c r="R367" i="2" s="1"/>
  <c r="Q305" i="2"/>
  <c r="R305" i="2" s="1"/>
  <c r="Q459" i="2"/>
  <c r="R459" i="2" s="1"/>
  <c r="Q457" i="2"/>
  <c r="R457" i="2" s="1"/>
  <c r="Q45" i="2"/>
  <c r="R45" i="2" s="1"/>
  <c r="Q271" i="2"/>
  <c r="R271" i="2" s="1"/>
  <c r="Q131" i="2"/>
  <c r="R131" i="2" s="1"/>
  <c r="Q720" i="2"/>
  <c r="R720" i="2" s="1"/>
  <c r="Q139" i="2"/>
  <c r="R139" i="2" s="1"/>
  <c r="Q301" i="2"/>
  <c r="R301" i="2" s="1"/>
  <c r="Q110" i="2"/>
  <c r="R110" i="2" s="1"/>
  <c r="Q549" i="2"/>
  <c r="R549" i="2" s="1"/>
  <c r="Q496" i="2"/>
  <c r="R496" i="2" s="1"/>
  <c r="Q97" i="2"/>
  <c r="R97" i="2" s="1"/>
  <c r="Q893" i="2"/>
  <c r="R893" i="2" s="1"/>
  <c r="Q336" i="2"/>
  <c r="R336" i="2" s="1"/>
  <c r="Q867" i="2"/>
  <c r="R867" i="2" s="1"/>
  <c r="Q249" i="2"/>
  <c r="R249" i="2" s="1"/>
  <c r="Q967" i="2"/>
  <c r="R967" i="2" s="1"/>
  <c r="Q613" i="2"/>
  <c r="R613" i="2" s="1"/>
  <c r="Q853" i="2"/>
  <c r="R853" i="2" s="1"/>
  <c r="Q264" i="2"/>
  <c r="R264" i="2" s="1"/>
  <c r="Q69" i="2"/>
  <c r="R69" i="2" s="1"/>
  <c r="Q2" i="2"/>
  <c r="R2" i="2" s="1"/>
  <c r="Q927" i="2"/>
  <c r="R927" i="2" s="1"/>
  <c r="Q881" i="2"/>
  <c r="R881" i="2" s="1"/>
  <c r="Q484" i="2"/>
  <c r="R484" i="2" s="1"/>
  <c r="Q796" i="2"/>
  <c r="R796" i="2" s="1"/>
  <c r="Q24" i="2"/>
  <c r="R24" i="2" s="1"/>
  <c r="Q325" i="2"/>
  <c r="R325" i="2" s="1"/>
  <c r="Q125" i="2"/>
  <c r="R125" i="2" s="1"/>
  <c r="Q189" i="2"/>
  <c r="R189" i="2" s="1"/>
  <c r="Q556" i="2"/>
  <c r="R556" i="2" s="1"/>
  <c r="Q877" i="2"/>
  <c r="R877" i="2" s="1"/>
  <c r="Q864" i="2"/>
  <c r="R864" i="2" s="1"/>
  <c r="Q876" i="2"/>
  <c r="R876" i="2" s="1"/>
  <c r="Q590" i="2"/>
  <c r="R590" i="2" s="1"/>
  <c r="Q159" i="2"/>
  <c r="R159" i="2" s="1"/>
  <c r="Q407" i="2"/>
  <c r="R407" i="2" s="1"/>
  <c r="Q294" i="2"/>
  <c r="R294" i="2" s="1"/>
  <c r="Q68" i="2"/>
  <c r="R68" i="2" s="1"/>
  <c r="Q47" i="2"/>
  <c r="R47" i="2" s="1"/>
  <c r="Q59" i="2"/>
  <c r="R59" i="2" s="1"/>
  <c r="Q130" i="2"/>
  <c r="R130" i="2" s="1"/>
  <c r="Q651" i="2"/>
  <c r="R651" i="2" s="1"/>
  <c r="Q202" i="2"/>
  <c r="R202" i="2" s="1"/>
  <c r="Q245" i="2"/>
  <c r="R245" i="2" s="1"/>
  <c r="Q13" i="2"/>
  <c r="R13" i="2" s="1"/>
  <c r="Q652" i="2"/>
  <c r="R652" i="2" s="1"/>
  <c r="Q46" i="2"/>
  <c r="R46" i="2" s="1"/>
  <c r="Q766" i="2"/>
  <c r="R766" i="2" s="1"/>
  <c r="Q508" i="2"/>
  <c r="R508" i="2" s="1"/>
  <c r="Q261" i="2"/>
  <c r="R261" i="2" s="1"/>
  <c r="Q695" i="2"/>
  <c r="R695" i="2" s="1"/>
  <c r="Q60" i="2"/>
  <c r="R60" i="2" s="1"/>
  <c r="Q709" i="2"/>
  <c r="R709" i="2" s="1"/>
  <c r="Q703" i="2"/>
  <c r="R703" i="2" s="1"/>
  <c r="Q591" i="2"/>
  <c r="R591" i="2" s="1"/>
  <c r="Q760" i="2"/>
  <c r="R760" i="2" s="1"/>
  <c r="Q768" i="2"/>
  <c r="R768" i="2" s="1"/>
  <c r="Q850" i="2"/>
  <c r="R850" i="2" s="1"/>
  <c r="Q228" i="2"/>
  <c r="R228" i="2" s="1"/>
  <c r="Q622" i="2"/>
  <c r="R622" i="2" s="1"/>
  <c r="Q364" i="2"/>
  <c r="R364" i="2" s="1"/>
  <c r="Q914" i="2"/>
  <c r="R914" i="2" s="1"/>
  <c r="Q177" i="2"/>
  <c r="R177" i="2" s="1"/>
  <c r="Q170" i="2"/>
  <c r="R170" i="2" s="1"/>
  <c r="Q467" i="2"/>
  <c r="R467" i="2" s="1"/>
  <c r="Q537" i="2"/>
  <c r="R537" i="2" s="1"/>
  <c r="Q354" i="2"/>
  <c r="R354" i="2" s="1"/>
  <c r="Q870" i="2"/>
  <c r="R870" i="2" s="1"/>
  <c r="Q991" i="2"/>
  <c r="R991" i="2" s="1"/>
  <c r="Q146" i="2"/>
  <c r="R146" i="2" s="1"/>
  <c r="Q531" i="2"/>
  <c r="R531" i="2" s="1"/>
  <c r="Q640" i="2"/>
  <c r="R640" i="2" s="1"/>
  <c r="Q604" i="2"/>
  <c r="R604" i="2" s="1"/>
  <c r="Q193" i="2"/>
  <c r="R193" i="2" s="1"/>
  <c r="Q610" i="2"/>
  <c r="R610" i="2" s="1"/>
  <c r="Q662" i="2"/>
  <c r="R662" i="2" s="1"/>
  <c r="Q825" i="2"/>
  <c r="R825" i="2" s="1"/>
  <c r="Q209" i="2"/>
  <c r="R209" i="2" s="1"/>
  <c r="Q761" i="2"/>
  <c r="R761" i="2" s="1"/>
  <c r="Q503" i="2"/>
  <c r="R503" i="2" s="1"/>
  <c r="Q630" i="2"/>
  <c r="R630" i="2" s="1"/>
  <c r="Q512" i="2"/>
  <c r="R512" i="2" s="1"/>
  <c r="Q620" i="2"/>
  <c r="R620" i="2" s="1"/>
  <c r="Q663" i="2"/>
  <c r="R663" i="2" s="1"/>
  <c r="Q542" i="2"/>
  <c r="R542" i="2" s="1"/>
  <c r="Q397" i="2"/>
  <c r="R397" i="2" s="1"/>
  <c r="Q986" i="2"/>
  <c r="R986" i="2" s="1"/>
  <c r="Q172" i="2"/>
  <c r="R172" i="2" s="1"/>
  <c r="Q726" i="2"/>
  <c r="R726" i="2" s="1"/>
  <c r="Q869" i="2"/>
  <c r="R869" i="2" s="1"/>
  <c r="Q685" i="2"/>
  <c r="R685" i="2" s="1"/>
  <c r="Q478" i="2"/>
  <c r="R478" i="2" s="1"/>
  <c r="Q799" i="2"/>
  <c r="R799" i="2" s="1"/>
  <c r="Q323" i="2"/>
  <c r="R323" i="2" s="1"/>
  <c r="Q324" i="2"/>
  <c r="R324" i="2" s="1"/>
  <c r="Q559" i="2"/>
  <c r="R559" i="2" s="1"/>
  <c r="Q816" i="2"/>
  <c r="R816" i="2" s="1"/>
  <c r="Q586" i="2"/>
  <c r="R586" i="2" s="1"/>
  <c r="Q52" i="2"/>
  <c r="R52" i="2" s="1"/>
  <c r="Q793" i="2"/>
  <c r="R793" i="2" s="1"/>
  <c r="Q930" i="2"/>
  <c r="R930" i="2" s="1"/>
  <c r="Q600" i="2"/>
  <c r="R600" i="2" s="1"/>
  <c r="Q710" i="2"/>
  <c r="R710" i="2" s="1"/>
  <c r="Q126" i="2"/>
  <c r="R126" i="2" s="1"/>
  <c r="Q502" i="2"/>
  <c r="R502" i="2" s="1"/>
  <c r="Q668" i="2"/>
  <c r="R668" i="2" s="1"/>
  <c r="Q601" i="2"/>
  <c r="R601" i="2" s="1"/>
  <c r="Q890" i="2"/>
  <c r="R890" i="2" s="1"/>
  <c r="Q862" i="2"/>
  <c r="R862" i="2" s="1"/>
  <c r="Q317" i="2"/>
  <c r="R317" i="2" s="1"/>
  <c r="Q692" i="2"/>
  <c r="R692" i="2" s="1"/>
  <c r="Q231" i="2"/>
  <c r="R231" i="2" s="1"/>
  <c r="Q795" i="2"/>
  <c r="R795" i="2" s="1"/>
  <c r="Q946" i="2"/>
  <c r="R946" i="2" s="1"/>
  <c r="Q391" i="2"/>
  <c r="R391" i="2" s="1"/>
  <c r="Q121" i="2"/>
  <c r="R121" i="2" s="1"/>
  <c r="Q182" i="2"/>
  <c r="R182" i="2" s="1"/>
  <c r="Q394" i="2"/>
  <c r="R394" i="2" s="1"/>
  <c r="Q138" i="2"/>
  <c r="R138" i="2" s="1"/>
  <c r="Q801" i="2"/>
  <c r="R801" i="2" s="1"/>
  <c r="Q380" i="2"/>
  <c r="R380" i="2" s="1"/>
  <c r="Q440" i="2"/>
  <c r="R440" i="2" s="1"/>
  <c r="Q405" i="2"/>
  <c r="R405" i="2" s="1"/>
  <c r="Q735" i="2"/>
  <c r="R735" i="2" s="1"/>
  <c r="Q358" i="2"/>
  <c r="R358" i="2" s="1"/>
  <c r="Q253" i="2"/>
  <c r="R253" i="2" s="1"/>
  <c r="Q740" i="2"/>
  <c r="R740" i="2" s="1"/>
  <c r="Q854" i="2"/>
  <c r="R854" i="2" s="1"/>
  <c r="Q71" i="2"/>
  <c r="R71" i="2" s="1"/>
  <c r="Q409" i="2"/>
  <c r="R409" i="2" s="1"/>
  <c r="Q297" i="2"/>
  <c r="R297" i="2" s="1"/>
  <c r="Q428" i="2"/>
  <c r="R428" i="2" s="1"/>
  <c r="Q638" i="2"/>
  <c r="R638" i="2" s="1"/>
  <c r="Q476" i="2"/>
  <c r="R476" i="2" s="1"/>
  <c r="Q321" i="2"/>
  <c r="R321" i="2" s="1"/>
  <c r="Q353" i="2"/>
  <c r="R353" i="2" s="1"/>
  <c r="Q572" i="2"/>
  <c r="R572" i="2" s="1"/>
  <c r="Q858" i="2"/>
  <c r="R858" i="2" s="1"/>
  <c r="Q400" i="2"/>
  <c r="R400" i="2" s="1"/>
  <c r="Q451" i="2"/>
  <c r="R451" i="2" s="1"/>
  <c r="Q520" i="2"/>
  <c r="R520" i="2" s="1"/>
  <c r="Q977" i="2"/>
  <c r="R977" i="2" s="1"/>
  <c r="Q129" i="2"/>
  <c r="R129" i="2" s="1"/>
  <c r="Q421" i="2"/>
  <c r="R421" i="2" s="1"/>
  <c r="Q274" i="2"/>
  <c r="R274" i="2" s="1"/>
  <c r="Q233" i="2"/>
  <c r="R233" i="2" s="1"/>
  <c r="Q203" i="2"/>
  <c r="R203" i="2" s="1"/>
  <c r="Q667" i="2"/>
  <c r="R667" i="2" s="1"/>
  <c r="Q992" i="2"/>
  <c r="R992" i="2" s="1"/>
  <c r="Q377" i="2"/>
  <c r="R377" i="2" s="1"/>
  <c r="Q513" i="2"/>
  <c r="R513" i="2" s="1"/>
  <c r="Q885" i="2"/>
  <c r="R885" i="2" s="1"/>
  <c r="Q641" i="2"/>
  <c r="R641" i="2" s="1"/>
  <c r="Q94" i="2"/>
  <c r="R94" i="2" s="1"/>
  <c r="Q340" i="2"/>
  <c r="R340" i="2" s="1"/>
  <c r="Q281" i="2"/>
  <c r="R281" i="2" s="1"/>
  <c r="Q462" i="2"/>
  <c r="R462" i="2" s="1"/>
  <c r="Q269" i="2"/>
  <c r="R269" i="2" s="1"/>
  <c r="Q908" i="2"/>
  <c r="R908" i="2" s="1"/>
  <c r="Q753" i="2"/>
  <c r="R753" i="2" s="1"/>
  <c r="Q538" i="2"/>
  <c r="R538" i="2" s="1"/>
  <c r="Q903" i="2"/>
  <c r="R903" i="2" s="1"/>
  <c r="Q800" i="2"/>
  <c r="R800" i="2" s="1"/>
  <c r="Q767" i="2"/>
  <c r="R767" i="2" s="1"/>
  <c r="Q178" i="2"/>
  <c r="R178" i="2" s="1"/>
  <c r="Q701" i="2"/>
  <c r="R701" i="2" s="1"/>
  <c r="Q558" i="2"/>
  <c r="R558" i="2" s="1"/>
  <c r="Q32" i="2"/>
  <c r="R32" i="2" s="1"/>
  <c r="Q569" i="2"/>
  <c r="R569" i="2" s="1"/>
  <c r="Q64" i="2"/>
  <c r="R64" i="2" s="1"/>
  <c r="Q248" i="2"/>
  <c r="R248" i="2" s="1"/>
  <c r="Q982" i="2"/>
  <c r="R982" i="2" s="1"/>
  <c r="Q35" i="2"/>
  <c r="R35" i="2" s="1"/>
  <c r="Q20" i="2"/>
  <c r="R20" i="2" s="1"/>
  <c r="Q58" i="2"/>
  <c r="R58" i="2" s="1"/>
  <c r="Q500" i="2"/>
  <c r="R500" i="2" s="1"/>
  <c r="Q259" i="2"/>
  <c r="R259" i="2" s="1"/>
  <c r="Q10" i="2"/>
  <c r="R10" i="2" s="1"/>
  <c r="Q188" i="2"/>
  <c r="R188" i="2" s="1"/>
  <c r="Q560" i="2"/>
  <c r="R560" i="2" s="1"/>
  <c r="Q56" i="2"/>
  <c r="R56" i="2" s="1"/>
  <c r="Q348" i="2"/>
  <c r="R348" i="2" s="1"/>
  <c r="Q806" i="2"/>
  <c r="R806" i="2" s="1"/>
  <c r="Q696" i="2"/>
  <c r="R696" i="2" s="1"/>
  <c r="Q894" i="2"/>
  <c r="R894" i="2" s="1"/>
  <c r="Q474" i="2"/>
  <c r="R474" i="2" s="1"/>
  <c r="Q554" i="2"/>
  <c r="R554" i="2" s="1"/>
  <c r="Q952" i="2"/>
  <c r="R952" i="2" s="1"/>
  <c r="Q230" i="2"/>
  <c r="R230" i="2" s="1"/>
  <c r="Q410" i="2"/>
  <c r="R410" i="2" s="1"/>
  <c r="Q834" i="2"/>
  <c r="R834" i="2" s="1"/>
  <c r="Q789" i="2"/>
  <c r="R789" i="2" s="1"/>
  <c r="Q103" i="2"/>
  <c r="R103" i="2" s="1"/>
  <c r="Q425" i="2"/>
  <c r="R425" i="2" s="1"/>
  <c r="Q678" i="2"/>
  <c r="R678" i="2" s="1"/>
  <c r="Q912" i="2"/>
  <c r="R912" i="2" s="1"/>
  <c r="Q300" i="2"/>
  <c r="R300" i="2" s="1"/>
  <c r="Q363" i="2"/>
  <c r="R363" i="2" s="1"/>
  <c r="Q587" i="2"/>
  <c r="R587" i="2" s="1"/>
  <c r="Q603" i="2"/>
  <c r="R603" i="2" s="1"/>
  <c r="Q578" i="2"/>
  <c r="R578" i="2" s="1"/>
  <c r="Q943" i="2"/>
  <c r="R943" i="2" s="1"/>
  <c r="Q745" i="2"/>
  <c r="R745" i="2" s="1"/>
  <c r="Q791" i="2"/>
  <c r="R791" i="2" s="1"/>
  <c r="Q424" i="2"/>
  <c r="R424" i="2" s="1"/>
  <c r="Q22" i="2"/>
  <c r="R22" i="2" s="1"/>
  <c r="Q940" i="2"/>
  <c r="R940" i="2" s="1"/>
  <c r="Q198" i="2"/>
  <c r="R198" i="2" s="1"/>
  <c r="Q165" i="2"/>
  <c r="R165" i="2" s="1"/>
  <c r="Q755" i="2"/>
  <c r="R755" i="2" s="1"/>
  <c r="Q786" i="2"/>
  <c r="R786" i="2" s="1"/>
  <c r="Q442" i="2"/>
  <c r="R442" i="2" s="1"/>
  <c r="Q175" i="2"/>
  <c r="R175" i="2" s="1"/>
  <c r="Q818" i="2"/>
  <c r="R818" i="2" s="1"/>
  <c r="Q445" i="2"/>
  <c r="R445" i="2" s="1"/>
  <c r="Q787" i="2"/>
  <c r="R787" i="2" s="1"/>
  <c r="Q499" i="2"/>
  <c r="R499" i="2" s="1"/>
  <c r="Q910" i="2"/>
  <c r="R910" i="2" s="1"/>
  <c r="Q220" i="2"/>
  <c r="R220" i="2" s="1"/>
  <c r="Q717" i="2"/>
  <c r="R717" i="2" s="1"/>
  <c r="Q939" i="2"/>
  <c r="R939" i="2" s="1"/>
  <c r="Q920" i="2"/>
  <c r="R920" i="2" s="1"/>
  <c r="Q347" i="2"/>
  <c r="R347" i="2" s="1"/>
  <c r="Q999" i="2"/>
  <c r="R999" i="2" s="1"/>
  <c r="Q727" i="2"/>
  <c r="R727" i="2" s="1"/>
  <c r="Q757" i="2"/>
  <c r="R757" i="2" s="1"/>
  <c r="Q631" i="2"/>
  <c r="R631" i="2" s="1"/>
  <c r="Q447" i="2"/>
  <c r="R447" i="2" s="1"/>
  <c r="Q196" i="2"/>
  <c r="R196" i="2" s="1"/>
  <c r="Q286" i="2"/>
  <c r="R286" i="2" s="1"/>
  <c r="Q980" i="2"/>
  <c r="R980" i="2" s="1"/>
  <c r="Q713" i="2"/>
  <c r="R713" i="2" s="1"/>
  <c r="Q804" i="2"/>
  <c r="R804" i="2" s="1"/>
  <c r="Q628" i="2"/>
  <c r="R628" i="2" s="1"/>
  <c r="Q635" i="2"/>
  <c r="R635" i="2" s="1"/>
  <c r="Q37" i="2"/>
  <c r="R37" i="2" s="1"/>
  <c r="Q201" i="2"/>
  <c r="R201" i="2" s="1"/>
  <c r="Q546" i="2"/>
  <c r="R546" i="2" s="1"/>
  <c r="Q453" i="2"/>
  <c r="R453" i="2" s="1"/>
  <c r="Q974" i="2"/>
  <c r="R974" i="2" s="1"/>
  <c r="Q369" i="2"/>
  <c r="R369" i="2" s="1"/>
  <c r="Q896" i="2"/>
  <c r="R896" i="2" s="1"/>
  <c r="Q783" i="2"/>
  <c r="R783" i="2" s="1"/>
  <c r="Q515" i="2"/>
  <c r="R515" i="2" s="1"/>
  <c r="Q730" i="2"/>
  <c r="R730" i="2" s="1"/>
  <c r="Q746" i="2"/>
  <c r="R746" i="2" s="1"/>
  <c r="Q127" i="2"/>
  <c r="R127" i="2" s="1"/>
  <c r="Q489" i="2"/>
  <c r="R489" i="2" s="1"/>
  <c r="Q393" i="2"/>
  <c r="R393" i="2" s="1"/>
  <c r="Q443" i="2"/>
  <c r="R443" i="2" s="1"/>
  <c r="Q350" i="2"/>
  <c r="R350" i="2" s="1"/>
  <c r="Q466" i="2"/>
  <c r="R466" i="2" s="1"/>
  <c r="Q836" i="2"/>
  <c r="R836" i="2" s="1"/>
  <c r="Q901" i="2"/>
  <c r="R901" i="2" s="1"/>
  <c r="Q742" i="2"/>
  <c r="R742" i="2" s="1"/>
  <c r="Q506" i="2"/>
  <c r="R506" i="2" s="1"/>
  <c r="Q875" i="2"/>
  <c r="R875" i="2" s="1"/>
  <c r="Q906" i="2"/>
  <c r="R906" i="2" s="1"/>
  <c r="Q114" i="2"/>
  <c r="R114" i="2" s="1"/>
  <c r="Q619" i="2"/>
  <c r="R619" i="2" s="1"/>
  <c r="Q386" i="2"/>
  <c r="R386" i="2" s="1"/>
  <c r="Q844" i="2"/>
  <c r="R844" i="2" s="1"/>
  <c r="Q84" i="2"/>
  <c r="R84" i="2" s="1"/>
  <c r="Q847" i="2"/>
  <c r="R847" i="2" s="1"/>
  <c r="Q33" i="2"/>
  <c r="R33" i="2" s="1"/>
  <c r="Q849" i="2"/>
  <c r="R849" i="2" s="1"/>
  <c r="Q376" i="2"/>
  <c r="R376" i="2" s="1"/>
  <c r="Q577" i="2"/>
  <c r="R577" i="2" s="1"/>
  <c r="Q276" i="2"/>
  <c r="R276" i="2" s="1"/>
  <c r="Q355" i="2"/>
  <c r="R355" i="2" s="1"/>
  <c r="Q487" i="2"/>
  <c r="R487" i="2" s="1"/>
  <c r="Q593" i="2"/>
  <c r="R593" i="2" s="1"/>
  <c r="Q41" i="2"/>
  <c r="R41" i="2" s="1"/>
  <c r="Q313" i="2"/>
  <c r="R313" i="2" s="1"/>
  <c r="Q571" i="2"/>
  <c r="R571" i="2" s="1"/>
  <c r="Q326" i="2"/>
  <c r="R326" i="2" s="1"/>
  <c r="Q945" i="2"/>
  <c r="R945" i="2" s="1"/>
  <c r="Q304" i="2"/>
  <c r="R304" i="2" s="1"/>
  <c r="Q964" i="2"/>
  <c r="R964" i="2" s="1"/>
  <c r="Q79" i="2"/>
  <c r="R79" i="2" s="1"/>
  <c r="Q330" i="2"/>
  <c r="R330" i="2" s="1"/>
  <c r="Q417" i="2"/>
  <c r="R417" i="2" s="1"/>
  <c r="Q987" i="2"/>
  <c r="R987" i="2" s="1"/>
  <c r="Q334" i="2"/>
  <c r="R334" i="2" s="1"/>
  <c r="Q548" i="2"/>
  <c r="R548" i="2" s="1"/>
  <c r="Q290" i="2"/>
  <c r="R290" i="2" s="1"/>
  <c r="Q602" i="2"/>
  <c r="R602" i="2" s="1"/>
  <c r="Q384" i="2"/>
  <c r="R384" i="2" s="1"/>
  <c r="Q592" i="2"/>
  <c r="R592" i="2" s="1"/>
  <c r="Q961" i="2"/>
  <c r="R961" i="2" s="1"/>
  <c r="Q756" i="2"/>
  <c r="R756" i="2" s="1"/>
  <c r="Q357" i="2"/>
  <c r="R357" i="2" s="1"/>
  <c r="Q677" i="2"/>
  <c r="R677" i="2" s="1"/>
  <c r="Q636" i="2"/>
  <c r="R636" i="2" s="1"/>
  <c r="Q40" i="2"/>
  <c r="R40" i="2" s="1"/>
  <c r="Q157" i="2"/>
  <c r="R157" i="2" s="1"/>
  <c r="Q225" i="2"/>
  <c r="R225" i="2" s="1"/>
  <c r="Q311" i="2"/>
  <c r="R311" i="2" s="1"/>
  <c r="Q897" i="2"/>
  <c r="R897" i="2" s="1"/>
  <c r="Q143" i="2"/>
  <c r="R143" i="2" s="1"/>
  <c r="Q34" i="2"/>
  <c r="R34" i="2" s="1"/>
  <c r="Q152" i="2"/>
  <c r="R152" i="2" s="1"/>
  <c r="Q935" i="2"/>
  <c r="R935" i="2" s="1"/>
  <c r="Q655" i="2"/>
  <c r="R655" i="2" s="1"/>
  <c r="Q481" i="2"/>
  <c r="R481" i="2" s="1"/>
  <c r="Q429" i="2"/>
  <c r="R429" i="2" s="1"/>
  <c r="Q664" i="2"/>
  <c r="R664" i="2" s="1"/>
  <c r="Q123" i="2"/>
  <c r="R123" i="2" s="1"/>
  <c r="Q909" i="2"/>
  <c r="R909" i="2" s="1"/>
  <c r="Q857" i="2"/>
  <c r="R857" i="2" s="1"/>
  <c r="Q942" i="2"/>
  <c r="R942" i="2" s="1"/>
  <c r="Q337" i="2"/>
  <c r="R337" i="2" s="1"/>
  <c r="Q404" i="2"/>
  <c r="R404" i="2" s="1"/>
  <c r="Q732" i="2"/>
  <c r="R732" i="2" s="1"/>
  <c r="Q183" i="2"/>
  <c r="R183" i="2" s="1"/>
  <c r="Q933" i="2"/>
  <c r="R933" i="2" s="1"/>
  <c r="Q262" i="2"/>
  <c r="R262" i="2" s="1"/>
  <c r="Q637" i="2"/>
  <c r="R637" i="2" s="1"/>
  <c r="Q283" i="2"/>
  <c r="R283" i="2" s="1"/>
  <c r="Q788" i="2"/>
  <c r="R788" i="2" s="1"/>
  <c r="Q959" i="2"/>
  <c r="R959" i="2" s="1"/>
  <c r="Q418" i="2"/>
  <c r="R418" i="2" s="1"/>
  <c r="Q92" i="2"/>
  <c r="R92" i="2" s="1"/>
  <c r="Q669" i="2"/>
  <c r="R669" i="2" s="1"/>
  <c r="Q488" i="2"/>
  <c r="R488" i="2" s="1"/>
  <c r="Q731" i="2"/>
  <c r="R731" i="2" s="1"/>
  <c r="Q626" i="2"/>
  <c r="R626" i="2" s="1"/>
  <c r="Q887" i="2"/>
  <c r="R887" i="2" s="1"/>
  <c r="O883" i="2"/>
  <c r="O418" i="2"/>
  <c r="O92" i="2"/>
  <c r="O669" i="2"/>
  <c r="O488" i="2"/>
  <c r="O731" i="2"/>
  <c r="O626" i="2"/>
  <c r="O887" i="2"/>
  <c r="O797" i="2"/>
  <c r="O657" i="2"/>
  <c r="O581" i="2"/>
  <c r="O316" i="2"/>
  <c r="O396" i="2"/>
  <c r="O698" i="2"/>
  <c r="O18" i="2"/>
  <c r="O629" i="2"/>
  <c r="O51" i="2"/>
  <c r="O873" i="2"/>
  <c r="O575" i="2"/>
  <c r="O774" i="2"/>
  <c r="O976" i="2"/>
  <c r="O891" i="2"/>
  <c r="O463" i="2"/>
  <c r="O116" i="2"/>
  <c r="O66" i="2"/>
  <c r="O705" i="2"/>
  <c r="O93" i="2"/>
  <c r="O275" i="2"/>
  <c r="O990" i="2"/>
  <c r="O243" i="2"/>
  <c r="O454" i="2"/>
  <c r="O214" i="2"/>
  <c r="O738" i="2"/>
  <c r="O208" i="2"/>
  <c r="O55" i="2"/>
  <c r="O567" i="2"/>
  <c r="O829" i="2"/>
  <c r="O252" i="2"/>
  <c r="O469" i="2"/>
  <c r="O900" i="2"/>
  <c r="O190" i="2"/>
  <c r="O510" i="2"/>
  <c r="O749" i="2"/>
  <c r="O147" i="2"/>
  <c r="O234" i="2"/>
  <c r="O773" i="2"/>
  <c r="O8" i="2"/>
  <c r="O913" i="2"/>
  <c r="O211" i="2"/>
  <c r="O475" i="2"/>
  <c r="O29" i="2"/>
  <c r="O4" i="2"/>
  <c r="O14" i="2"/>
  <c r="O679" i="2"/>
  <c r="O607" i="2"/>
  <c r="O815" i="2"/>
  <c r="O149" i="2"/>
  <c r="O39" i="2"/>
  <c r="O108" i="2"/>
  <c r="O310" i="2"/>
  <c r="O194" i="2"/>
  <c r="O102" i="2"/>
  <c r="O969" i="2"/>
  <c r="O570" i="2"/>
  <c r="O895" i="2"/>
  <c r="O401" i="2"/>
  <c r="O594" i="2"/>
  <c r="O446" i="2"/>
  <c r="O406" i="2"/>
  <c r="O412" i="2"/>
  <c r="O566" i="2"/>
  <c r="O155" i="2"/>
  <c r="O616" i="2"/>
  <c r="O303" i="2"/>
  <c r="O754" i="2"/>
  <c r="O497" i="2"/>
  <c r="O287" i="2"/>
  <c r="O87" i="2"/>
  <c r="O215" i="2"/>
  <c r="O492" i="2"/>
  <c r="O122" i="2"/>
  <c r="O764" i="2"/>
  <c r="O219" i="2"/>
  <c r="O265" i="2"/>
  <c r="O922" i="2"/>
  <c r="O166" i="2"/>
  <c r="O733" i="2"/>
  <c r="O260" i="2"/>
  <c r="O112" i="2"/>
  <c r="O693" i="2"/>
  <c r="O507" i="2"/>
  <c r="O688" i="2"/>
  <c r="O778" i="2"/>
  <c r="O11" i="2"/>
  <c r="O962" i="2"/>
  <c r="O700" i="2"/>
  <c r="O85" i="2"/>
  <c r="O798" i="2"/>
  <c r="O199" i="2"/>
  <c r="O344" i="2"/>
  <c r="O137" i="2"/>
  <c r="O135" i="2"/>
  <c r="O413" i="2"/>
  <c r="O156" i="2"/>
  <c r="O236" i="2"/>
  <c r="O419" i="2"/>
  <c r="O658" i="2"/>
  <c r="O526" i="2"/>
  <c r="O280" i="2"/>
  <c r="O88" i="2"/>
  <c r="O213" i="2"/>
  <c r="O936" i="2"/>
  <c r="O550" i="2"/>
  <c r="O111" i="2"/>
  <c r="O5" i="2"/>
  <c r="O255" i="2"/>
  <c r="O785" i="2"/>
  <c r="O186" i="2"/>
  <c r="O551" i="2"/>
  <c r="O851" i="2"/>
  <c r="O819" i="2"/>
  <c r="O633" i="2"/>
  <c r="O784" i="2"/>
  <c r="O706" i="2"/>
  <c r="O807" i="2"/>
  <c r="O718" i="2"/>
  <c r="O589" i="2"/>
  <c r="O947" i="2"/>
  <c r="O117" i="2"/>
  <c r="O765" i="2"/>
  <c r="O415" i="2"/>
  <c r="O361" i="2"/>
  <c r="O681" i="2"/>
  <c r="O250" i="2"/>
  <c r="O329" i="2"/>
  <c r="O972" i="2"/>
  <c r="O670" i="2"/>
  <c r="O314" i="2"/>
  <c r="O174" i="2"/>
  <c r="O333" i="2"/>
  <c r="O907" i="2"/>
  <c r="O699" i="2"/>
  <c r="O929" i="2"/>
  <c r="O752" i="2"/>
  <c r="O141" i="2"/>
  <c r="O544" i="2"/>
  <c r="O284" i="2"/>
  <c r="O960" i="2"/>
  <c r="O210" i="2"/>
  <c r="O926" i="2"/>
  <c r="O823" i="2"/>
  <c r="O298" i="2"/>
  <c r="O197" i="2"/>
  <c r="O832" i="2"/>
  <c r="O843" i="2"/>
  <c r="O232" i="2"/>
  <c r="O26" i="2"/>
  <c r="O3" i="2"/>
  <c r="O21" i="2"/>
  <c r="O879" i="2"/>
  <c r="O372" i="2"/>
  <c r="O923" i="2"/>
  <c r="O691" i="2"/>
  <c r="O315" i="2"/>
  <c r="O185" i="2"/>
  <c r="O533" i="2"/>
  <c r="O195" i="2"/>
  <c r="O452" i="2"/>
  <c r="O296" i="2"/>
  <c r="O338" i="2"/>
  <c r="O31" i="2"/>
  <c r="O563" i="2"/>
  <c r="O414" i="2"/>
  <c r="O973" i="2"/>
  <c r="O505" i="2"/>
  <c r="O888" i="2"/>
  <c r="O848" i="2"/>
  <c r="O151" i="2"/>
  <c r="O719" i="2"/>
  <c r="O568" i="2"/>
  <c r="O729" i="2"/>
  <c r="O140" i="2"/>
  <c r="O458" i="2"/>
  <c r="O826" i="2"/>
  <c r="O6" i="2"/>
  <c r="O978" i="2"/>
  <c r="O435" i="2"/>
  <c r="O769" i="2"/>
  <c r="O624" i="2"/>
  <c r="O988" i="2"/>
  <c r="O762" i="2"/>
  <c r="O545" i="2"/>
  <c r="O937" i="2"/>
  <c r="O821" i="2"/>
  <c r="O272" i="2"/>
  <c r="O62" i="2"/>
  <c r="O979" i="2"/>
  <c r="O118" i="2"/>
  <c r="O216" i="2"/>
  <c r="O322" i="2"/>
  <c r="O229" i="2"/>
  <c r="O989" i="2"/>
  <c r="O884" i="2"/>
  <c r="O328" i="2"/>
  <c r="O958" i="2"/>
  <c r="O383" i="2"/>
  <c r="O724" i="2"/>
  <c r="O694" i="2"/>
  <c r="O432" i="2"/>
  <c r="O781" i="2"/>
  <c r="O892" i="2"/>
  <c r="O293" i="2"/>
  <c r="O171" i="2"/>
  <c r="O124" i="2"/>
  <c r="O491" i="2"/>
  <c r="O758" i="2"/>
  <c r="O983" i="2"/>
  <c r="O956" i="2"/>
  <c r="O398" i="2"/>
  <c r="O971" i="2"/>
  <c r="O101" i="2"/>
  <c r="O649" i="2"/>
  <c r="O268" i="2"/>
  <c r="O722" i="2"/>
  <c r="O86" i="2"/>
  <c r="O479" i="2"/>
  <c r="O501" i="2"/>
  <c r="O238" i="2"/>
  <c r="O1000" i="2"/>
  <c r="O643" i="2"/>
  <c r="O158" i="2"/>
  <c r="O650" i="2"/>
  <c r="O221" i="2"/>
  <c r="O483" i="2"/>
  <c r="O562" i="2"/>
  <c r="O437" i="2"/>
  <c r="O621" i="2"/>
  <c r="O444" i="2"/>
  <c r="O113" i="2"/>
  <c r="O792" i="2"/>
  <c r="O191" i="2"/>
  <c r="O918" i="2"/>
  <c r="O517" i="2"/>
  <c r="O217" i="2"/>
  <c r="O707" i="2"/>
  <c r="O256" i="2"/>
  <c r="O493" i="2"/>
  <c r="O179" i="2"/>
  <c r="O852" i="2"/>
  <c r="O524" i="2"/>
  <c r="O67" i="2"/>
  <c r="O521" i="2"/>
  <c r="O585" i="2"/>
  <c r="O842" i="2"/>
  <c r="O599" i="2"/>
  <c r="O99" i="2"/>
  <c r="O441" i="2"/>
  <c r="O365" i="2"/>
  <c r="O455" i="2"/>
  <c r="O371" i="2"/>
  <c r="O683" i="2"/>
  <c r="O162" i="2"/>
  <c r="O449" i="2"/>
  <c r="O530" i="2"/>
  <c r="O251" i="2"/>
  <c r="O23" i="2"/>
  <c r="O661" i="2"/>
  <c r="O617" i="2"/>
  <c r="O48" i="2"/>
  <c r="O673" i="2"/>
  <c r="O504" i="2"/>
  <c r="O642" i="2"/>
  <c r="O327" i="2"/>
  <c r="O318" i="2"/>
  <c r="O739" i="2"/>
  <c r="O81" i="2"/>
  <c r="O19" i="2"/>
  <c r="O17" i="2"/>
  <c r="O995" i="2"/>
  <c r="O609" i="2"/>
  <c r="O95" i="2"/>
  <c r="O878" i="2"/>
  <c r="O436" i="2"/>
  <c r="O370" i="2"/>
  <c r="O381" i="2"/>
  <c r="O83" i="2"/>
  <c r="O915" i="2"/>
  <c r="O299" i="2"/>
  <c r="O916" i="2"/>
  <c r="O772" i="2"/>
  <c r="O775" i="2"/>
  <c r="O734" i="2"/>
  <c r="O115" i="2"/>
  <c r="O360" i="2"/>
  <c r="O473" i="2"/>
  <c r="O654" i="2"/>
  <c r="O519" i="2"/>
  <c r="O555" i="2"/>
  <c r="O872" i="2"/>
  <c r="O680" i="2"/>
  <c r="O634" i="2"/>
  <c r="O332" i="2"/>
  <c r="O279" i="2"/>
  <c r="O747" i="2"/>
  <c r="O438" i="2"/>
  <c r="O490" i="2"/>
  <c r="O776" i="2"/>
  <c r="O965" i="2"/>
  <c r="O100" i="2"/>
  <c r="O218" i="2"/>
  <c r="O411" i="2"/>
  <c r="O70" i="2"/>
  <c r="O576" i="2"/>
  <c r="O9" i="2"/>
  <c r="O339" i="2"/>
  <c r="O748" i="2"/>
  <c r="O833" i="2"/>
  <c r="O623" i="2"/>
  <c r="O612" i="2"/>
  <c r="O448" i="2"/>
  <c r="O312" i="2"/>
  <c r="O970" i="2"/>
  <c r="O98" i="2"/>
  <c r="O89" i="2"/>
  <c r="O509" i="2"/>
  <c r="O932" i="2"/>
  <c r="O144" i="2"/>
  <c r="O356" i="2"/>
  <c r="O49" i="2"/>
  <c r="O184" i="2"/>
  <c r="O921" i="2"/>
  <c r="O824" i="2"/>
  <c r="O809" i="2"/>
  <c r="O553" i="2"/>
  <c r="O306" i="2"/>
  <c r="O464" i="2"/>
  <c r="O388" i="2"/>
  <c r="O997" i="2"/>
  <c r="O382" i="2"/>
  <c r="O535" i="2"/>
  <c r="O246" i="2"/>
  <c r="O953" i="2"/>
  <c r="O263" i="2"/>
  <c r="O373" i="2"/>
  <c r="O28" i="2"/>
  <c r="O402" i="2"/>
  <c r="O595" i="2"/>
  <c r="O270" i="2"/>
  <c r="O427" i="2"/>
  <c r="O828" i="2"/>
  <c r="O860" i="2"/>
  <c r="O511" i="2"/>
  <c r="O374" i="2"/>
  <c r="O150" i="2"/>
  <c r="O899" i="2"/>
  <c r="O109" i="2"/>
  <c r="O771" i="2"/>
  <c r="O689" i="2"/>
  <c r="O615" i="2"/>
  <c r="O226" i="2"/>
  <c r="O686" i="2"/>
  <c r="O675" i="2"/>
  <c r="O665" i="2"/>
  <c r="O163" i="2"/>
  <c r="O518" i="2"/>
  <c r="O266" i="2"/>
  <c r="O331" i="2"/>
  <c r="O480" i="2"/>
  <c r="O855" i="2"/>
  <c r="O257" i="2"/>
  <c r="O136" i="2"/>
  <c r="O295" i="2"/>
  <c r="O76" i="2"/>
  <c r="O596" i="2"/>
  <c r="O702" i="2"/>
  <c r="O529" i="2"/>
  <c r="O614" i="2"/>
  <c r="O72" i="2"/>
  <c r="O968" i="2"/>
  <c r="O42" i="2"/>
  <c r="O63" i="2"/>
  <c r="O928" i="2"/>
  <c r="O164" i="2"/>
  <c r="O351" i="2"/>
  <c r="O672" i="2"/>
  <c r="O949" i="2"/>
  <c r="O790" i="2"/>
  <c r="O759" i="2"/>
  <c r="O750" i="2"/>
  <c r="O96" i="2"/>
  <c r="O919" i="2"/>
  <c r="O309" i="2"/>
  <c r="O687" i="2"/>
  <c r="O434" i="2"/>
  <c r="O905" i="2"/>
  <c r="O598" i="2"/>
  <c r="O12" i="2"/>
  <c r="O646" i="2"/>
  <c r="O15" i="2"/>
  <c r="O207" i="2"/>
  <c r="O861" i="2"/>
  <c r="O482" i="2"/>
  <c r="O984" i="2"/>
  <c r="O168" i="2"/>
  <c r="O811" i="2"/>
  <c r="O660" i="2"/>
  <c r="O368" i="2"/>
  <c r="O244" i="2"/>
  <c r="O50" i="2"/>
  <c r="O547" i="2"/>
  <c r="O814" i="2"/>
  <c r="O579" i="2"/>
  <c r="O648" i="2"/>
  <c r="O541" i="2"/>
  <c r="O993" i="2"/>
  <c r="O532" i="2"/>
  <c r="O886" i="2"/>
  <c r="O106" i="2"/>
  <c r="O644" i="2"/>
  <c r="O107" i="2"/>
  <c r="O552" i="2"/>
  <c r="O154" i="2"/>
  <c r="O342" i="2"/>
  <c r="O433" i="2"/>
  <c r="O267" i="2"/>
  <c r="O44" i="2"/>
  <c r="O597" i="2"/>
  <c r="O523" i="2"/>
  <c r="O954" i="2"/>
  <c r="O169" i="2"/>
  <c r="O564" i="2"/>
  <c r="O426" i="2"/>
  <c r="O981" i="2"/>
  <c r="O522" i="2"/>
  <c r="O395" i="2"/>
  <c r="O580" i="2"/>
  <c r="O408" i="2"/>
  <c r="O54" i="2"/>
  <c r="O794" i="2"/>
  <c r="O822" i="2"/>
  <c r="O516" i="2"/>
  <c r="O827" i="2"/>
  <c r="O846" i="2"/>
  <c r="O904" i="2"/>
  <c r="O543" i="2"/>
  <c r="O514" i="2"/>
  <c r="O871" i="2"/>
  <c r="O708" i="2"/>
  <c r="O653" i="2"/>
  <c r="O75" i="2"/>
  <c r="O889" i="2"/>
  <c r="O187" i="2"/>
  <c r="O704" i="2"/>
  <c r="O27" i="2"/>
  <c r="O911" i="2"/>
  <c r="O985" i="2"/>
  <c r="O212" i="2"/>
  <c r="O390" i="2"/>
  <c r="O90" i="2"/>
  <c r="O777" i="2"/>
  <c r="O714" i="2"/>
  <c r="O379" i="2"/>
  <c r="O132" i="2"/>
  <c r="O841" i="2"/>
  <c r="O868" i="2"/>
  <c r="O176" i="2"/>
  <c r="O73" i="2"/>
  <c r="O273" i="2"/>
  <c r="O403" i="2"/>
  <c r="O486" i="2"/>
  <c r="O711" i="2"/>
  <c r="O994" i="2"/>
  <c r="O966" i="2"/>
  <c r="O882" i="2"/>
  <c r="O898" i="2"/>
  <c r="O656" i="2"/>
  <c r="O666" i="2"/>
  <c r="O247" i="2"/>
  <c r="O863" i="2"/>
  <c r="O200" i="2"/>
  <c r="O812" i="2"/>
  <c r="O583" i="2"/>
  <c r="O902" i="2"/>
  <c r="O917" i="2"/>
  <c r="O288" i="2"/>
  <c r="O763" i="2"/>
  <c r="O498" i="2"/>
  <c r="O741" i="2"/>
  <c r="O810" i="2"/>
  <c r="O495" i="2"/>
  <c r="O955" i="2"/>
  <c r="O160" i="2"/>
  <c r="O423" i="2"/>
  <c r="O618" i="2"/>
  <c r="O120" i="2"/>
  <c r="O716" i="2"/>
  <c r="O925" i="2"/>
  <c r="O74" i="2"/>
  <c r="O399" i="2"/>
  <c r="O525" i="2"/>
  <c r="O690" i="2"/>
  <c r="O779" i="2"/>
  <c r="O465" i="2"/>
  <c r="O222" i="2"/>
  <c r="O835" i="2"/>
  <c r="O36" i="2"/>
  <c r="O352" i="2"/>
  <c r="O345" i="2"/>
  <c r="O119" i="2"/>
  <c r="O782" i="2"/>
  <c r="O938" i="2"/>
  <c r="O721" i="2"/>
  <c r="O173" i="2"/>
  <c r="O362" i="2"/>
  <c r="O485" i="2"/>
  <c r="O204" i="2"/>
  <c r="O77" i="2"/>
  <c r="O924" i="2"/>
  <c r="O302" i="2"/>
  <c r="O743" i="2"/>
  <c r="O645" i="2"/>
  <c r="O856" i="2"/>
  <c r="O627" i="2"/>
  <c r="O242" i="2"/>
  <c r="O277" i="2"/>
  <c r="O53" i="2"/>
  <c r="O422" i="2"/>
  <c r="O319" i="2"/>
  <c r="O813" i="2"/>
  <c r="O91" i="2"/>
  <c r="O944" i="2"/>
  <c r="O880" i="2"/>
  <c r="O224" i="2"/>
  <c r="O957" i="2"/>
  <c r="O831" i="2"/>
  <c r="O289" i="2"/>
  <c r="O639" i="2"/>
  <c r="O133" i="2"/>
  <c r="O346" i="2"/>
  <c r="O192" i="2"/>
  <c r="O450" i="2"/>
  <c r="O61" i="2"/>
  <c r="O582" i="2"/>
  <c r="O389" i="2"/>
  <c r="O573" i="2"/>
  <c r="O751" i="2"/>
  <c r="O153" i="2"/>
  <c r="O282" i="2"/>
  <c r="O343" i="2"/>
  <c r="O235" i="2"/>
  <c r="O254" i="2"/>
  <c r="O181" i="2"/>
  <c r="O416" i="2"/>
  <c r="O291" i="2"/>
  <c r="O584" i="2"/>
  <c r="O145" i="2"/>
  <c r="O684" i="2"/>
  <c r="O611" i="2"/>
  <c r="O605" i="2"/>
  <c r="O712" i="2"/>
  <c r="O349" i="2"/>
  <c r="O934" i="2"/>
  <c r="O223" i="2"/>
  <c r="O574" i="2"/>
  <c r="O975" i="2"/>
  <c r="O378" i="2"/>
  <c r="O838" i="2"/>
  <c r="O671" i="2"/>
  <c r="O80" i="2"/>
  <c r="O770" i="2"/>
  <c r="O104" i="2"/>
  <c r="O38" i="2"/>
  <c r="O805" i="2"/>
  <c r="O134" i="2"/>
  <c r="O420" i="2"/>
  <c r="O534" i="2"/>
  <c r="O820" i="2"/>
  <c r="O674" i="2"/>
  <c r="O539" i="2"/>
  <c r="O527" i="2"/>
  <c r="O335" i="2"/>
  <c r="O471" i="2"/>
  <c r="O682" i="2"/>
  <c r="O43" i="2"/>
  <c r="O528" i="2"/>
  <c r="O728" i="2"/>
  <c r="O180" i="2"/>
  <c r="O697" i="2"/>
  <c r="O78" i="2"/>
  <c r="O659" i="2"/>
  <c r="O142" i="2"/>
  <c r="O206" i="2"/>
  <c r="O25" i="2"/>
  <c r="O839" i="2"/>
  <c r="O239" i="2"/>
  <c r="O16" i="2"/>
  <c r="O477" i="2"/>
  <c r="O461" i="2"/>
  <c r="O998" i="2"/>
  <c r="O866" i="2"/>
  <c r="O715" i="2"/>
  <c r="O65" i="2"/>
  <c r="O375" i="2"/>
  <c r="O7" i="2"/>
  <c r="O951" i="2"/>
  <c r="O625" i="2"/>
  <c r="O237" i="2"/>
  <c r="O647" i="2"/>
  <c r="O470" i="2"/>
  <c r="O845" i="2"/>
  <c r="O57" i="2"/>
  <c r="O837" i="2"/>
  <c r="O460" i="2"/>
  <c r="O431" i="2"/>
  <c r="O725" i="2"/>
  <c r="O456" i="2"/>
  <c r="O341" i="2"/>
  <c r="O963" i="2"/>
  <c r="O830" i="2"/>
  <c r="O366" i="2"/>
  <c r="O744" i="2"/>
  <c r="O676" i="2"/>
  <c r="O803" i="2"/>
  <c r="O606" i="2"/>
  <c r="O430" i="2"/>
  <c r="O494" i="2"/>
  <c r="O387" i="2"/>
  <c r="O874" i="2"/>
  <c r="O320" i="2"/>
  <c r="O392" i="2"/>
  <c r="O723" i="2"/>
  <c r="O536" i="2"/>
  <c r="O285" i="2"/>
  <c r="O105" i="2"/>
  <c r="O540" i="2"/>
  <c r="O30" i="2"/>
  <c r="O780" i="2"/>
  <c r="O557" i="2"/>
  <c r="O632" i="2"/>
  <c r="O736" i="2"/>
  <c r="O278" i="2"/>
  <c r="O472" i="2"/>
  <c r="O258" i="2"/>
  <c r="O561" i="2"/>
  <c r="O227" i="2"/>
  <c r="O840" i="2"/>
  <c r="O737" i="2"/>
  <c r="O241" i="2"/>
  <c r="O161" i="2"/>
  <c r="O148" i="2"/>
  <c r="O468" i="2"/>
  <c r="O82" i="2"/>
  <c r="O292" i="2"/>
  <c r="O802" i="2"/>
  <c r="O817" i="2"/>
  <c r="O205" i="2"/>
  <c r="O359" i="2"/>
  <c r="O240" i="2"/>
  <c r="O950" i="2"/>
  <c r="O948" i="2"/>
  <c r="O808" i="2"/>
  <c r="O865" i="2"/>
  <c r="O565" i="2"/>
  <c r="O996" i="2"/>
  <c r="O307" i="2"/>
  <c r="O931" i="2"/>
  <c r="O588" i="2"/>
  <c r="O608" i="2"/>
  <c r="O439" i="2"/>
  <c r="O941" i="2"/>
  <c r="O128" i="2"/>
  <c r="O385" i="2"/>
  <c r="O167" i="2"/>
  <c r="O308" i="2"/>
  <c r="O859" i="2"/>
  <c r="O367" i="2"/>
  <c r="O305" i="2"/>
  <c r="O459" i="2"/>
  <c r="O457" i="2"/>
  <c r="O45" i="2"/>
  <c r="O271" i="2"/>
  <c r="O131" i="2"/>
  <c r="O720" i="2"/>
  <c r="O139" i="2"/>
  <c r="O301" i="2"/>
  <c r="O110" i="2"/>
  <c r="O549" i="2"/>
  <c r="O496" i="2"/>
  <c r="O97" i="2"/>
  <c r="O893" i="2"/>
  <c r="O336" i="2"/>
  <c r="O867" i="2"/>
  <c r="O249" i="2"/>
  <c r="O967" i="2"/>
  <c r="O613" i="2"/>
  <c r="O853" i="2"/>
  <c r="O264" i="2"/>
  <c r="O69" i="2"/>
  <c r="O2" i="2"/>
  <c r="O927" i="2"/>
  <c r="O881" i="2"/>
  <c r="O484" i="2"/>
  <c r="O796" i="2"/>
  <c r="O24" i="2"/>
  <c r="O325" i="2"/>
  <c r="O125" i="2"/>
  <c r="O189" i="2"/>
  <c r="O556" i="2"/>
  <c r="O877" i="2"/>
  <c r="O864" i="2"/>
  <c r="O876" i="2"/>
  <c r="O590" i="2"/>
  <c r="O159" i="2"/>
  <c r="O407" i="2"/>
  <c r="O294" i="2"/>
  <c r="O68" i="2"/>
  <c r="O47" i="2"/>
  <c r="O59" i="2"/>
  <c r="O130" i="2"/>
  <c r="O651" i="2"/>
  <c r="O202" i="2"/>
  <c r="O245" i="2"/>
  <c r="O13" i="2"/>
  <c r="O652" i="2"/>
  <c r="O46" i="2"/>
  <c r="O766" i="2"/>
  <c r="O508" i="2"/>
  <c r="O261" i="2"/>
  <c r="O695" i="2"/>
  <c r="O60" i="2"/>
  <c r="O709" i="2"/>
  <c r="O703" i="2"/>
  <c r="O591" i="2"/>
  <c r="O760" i="2"/>
  <c r="O768" i="2"/>
  <c r="O850" i="2"/>
  <c r="O228" i="2"/>
  <c r="O622" i="2"/>
  <c r="O364" i="2"/>
  <c r="O914" i="2"/>
  <c r="O177" i="2"/>
  <c r="O170" i="2"/>
  <c r="O467" i="2"/>
  <c r="O537" i="2"/>
  <c r="O354" i="2"/>
  <c r="O870" i="2"/>
  <c r="O991" i="2"/>
  <c r="O146" i="2"/>
  <c r="O531" i="2"/>
  <c r="O640" i="2"/>
  <c r="O604" i="2"/>
  <c r="O193" i="2"/>
  <c r="O610" i="2"/>
  <c r="O662" i="2"/>
  <c r="O825" i="2"/>
  <c r="O209" i="2"/>
  <c r="O761" i="2"/>
  <c r="O503" i="2"/>
  <c r="O630" i="2"/>
  <c r="O512" i="2"/>
  <c r="O620" i="2"/>
  <c r="O663" i="2"/>
  <c r="O542" i="2"/>
  <c r="O397" i="2"/>
  <c r="O986" i="2"/>
  <c r="O172" i="2"/>
  <c r="O726" i="2"/>
  <c r="O869" i="2"/>
  <c r="O685" i="2"/>
  <c r="O478" i="2"/>
  <c r="O799" i="2"/>
  <c r="O323" i="2"/>
  <c r="O324" i="2"/>
  <c r="O559" i="2"/>
  <c r="O816" i="2"/>
  <c r="O586" i="2"/>
  <c r="O52" i="2"/>
  <c r="O793" i="2"/>
  <c r="O930" i="2"/>
  <c r="O600" i="2"/>
  <c r="O710" i="2"/>
  <c r="O126" i="2"/>
  <c r="O502" i="2"/>
  <c r="O668" i="2"/>
  <c r="O601" i="2"/>
  <c r="O890" i="2"/>
  <c r="O862" i="2"/>
  <c r="O317" i="2"/>
  <c r="O692" i="2"/>
  <c r="O231" i="2"/>
  <c r="O795" i="2"/>
  <c r="O946" i="2"/>
  <c r="O391" i="2"/>
  <c r="O121" i="2"/>
  <c r="O182" i="2"/>
  <c r="O394" i="2"/>
  <c r="O138" i="2"/>
  <c r="O801" i="2"/>
  <c r="O380" i="2"/>
  <c r="O440" i="2"/>
  <c r="O405" i="2"/>
  <c r="O735" i="2"/>
  <c r="O358" i="2"/>
  <c r="O253" i="2"/>
  <c r="O740" i="2"/>
  <c r="O854" i="2"/>
  <c r="O71" i="2"/>
  <c r="O409" i="2"/>
  <c r="O297" i="2"/>
  <c r="O428" i="2"/>
  <c r="O638" i="2"/>
  <c r="O476" i="2"/>
  <c r="O321" i="2"/>
  <c r="O353" i="2"/>
  <c r="O572" i="2"/>
  <c r="O858" i="2"/>
  <c r="O400" i="2"/>
  <c r="O451" i="2"/>
  <c r="O520" i="2"/>
  <c r="O977" i="2"/>
  <c r="O129" i="2"/>
  <c r="O421" i="2"/>
  <c r="O274" i="2"/>
  <c r="O233" i="2"/>
  <c r="O203" i="2"/>
  <c r="O667" i="2"/>
  <c r="O992" i="2"/>
  <c r="O377" i="2"/>
  <c r="O513" i="2"/>
  <c r="O885" i="2"/>
  <c r="O641" i="2"/>
  <c r="O94" i="2"/>
  <c r="O340" i="2"/>
  <c r="O281" i="2"/>
  <c r="O462" i="2"/>
  <c r="O269" i="2"/>
  <c r="O908" i="2"/>
  <c r="O753" i="2"/>
  <c r="O538" i="2"/>
  <c r="O903" i="2"/>
  <c r="O800" i="2"/>
  <c r="O767" i="2"/>
  <c r="O178" i="2"/>
  <c r="O701" i="2"/>
  <c r="O558" i="2"/>
  <c r="O32" i="2"/>
  <c r="O569" i="2"/>
  <c r="O64" i="2"/>
  <c r="O248" i="2"/>
  <c r="O982" i="2"/>
  <c r="O35" i="2"/>
  <c r="O20" i="2"/>
  <c r="O58" i="2"/>
  <c r="O500" i="2"/>
  <c r="O259" i="2"/>
  <c r="O10" i="2"/>
  <c r="O188" i="2"/>
  <c r="O560" i="2"/>
  <c r="O56" i="2"/>
  <c r="O348" i="2"/>
  <c r="O806" i="2"/>
  <c r="O696" i="2"/>
  <c r="O894" i="2"/>
  <c r="O474" i="2"/>
  <c r="O554" i="2"/>
  <c r="O952" i="2"/>
  <c r="O230" i="2"/>
  <c r="O410" i="2"/>
  <c r="O834" i="2"/>
  <c r="O789" i="2"/>
  <c r="O103" i="2"/>
  <c r="O425" i="2"/>
  <c r="O678" i="2"/>
  <c r="O912" i="2"/>
  <c r="O300" i="2"/>
  <c r="O363" i="2"/>
  <c r="O587" i="2"/>
  <c r="O603" i="2"/>
  <c r="O578" i="2"/>
  <c r="O943" i="2"/>
  <c r="O745" i="2"/>
  <c r="O791" i="2"/>
  <c r="O424" i="2"/>
  <c r="O22" i="2"/>
  <c r="O940" i="2"/>
  <c r="O198" i="2"/>
  <c r="O165" i="2"/>
  <c r="O755" i="2"/>
  <c r="O786" i="2"/>
  <c r="O442" i="2"/>
  <c r="O175" i="2"/>
  <c r="O818" i="2"/>
  <c r="O445" i="2"/>
  <c r="O787" i="2"/>
  <c r="O499" i="2"/>
  <c r="O910" i="2"/>
  <c r="O220" i="2"/>
  <c r="O717" i="2"/>
  <c r="O939" i="2"/>
  <c r="O920" i="2"/>
  <c r="O347" i="2"/>
  <c r="O999" i="2"/>
  <c r="O727" i="2"/>
  <c r="O757" i="2"/>
  <c r="O631" i="2"/>
  <c r="O447" i="2"/>
  <c r="O196" i="2"/>
  <c r="O286" i="2"/>
  <c r="O980" i="2"/>
  <c r="O713" i="2"/>
  <c r="O804" i="2"/>
  <c r="O628" i="2"/>
  <c r="O635" i="2"/>
  <c r="O37" i="2"/>
  <c r="O201" i="2"/>
  <c r="O546" i="2"/>
  <c r="O453" i="2"/>
  <c r="O974" i="2"/>
  <c r="O369" i="2"/>
  <c r="O896" i="2"/>
  <c r="O783" i="2"/>
  <c r="O515" i="2"/>
  <c r="O730" i="2"/>
  <c r="O746" i="2"/>
  <c r="O127" i="2"/>
  <c r="O489" i="2"/>
  <c r="O393" i="2"/>
  <c r="O443" i="2"/>
  <c r="O350" i="2"/>
  <c r="O466" i="2"/>
  <c r="O836" i="2"/>
  <c r="O901" i="2"/>
  <c r="O742" i="2"/>
  <c r="O506" i="2"/>
  <c r="O875" i="2"/>
  <c r="O906" i="2"/>
  <c r="O114" i="2"/>
  <c r="O619" i="2"/>
  <c r="O386" i="2"/>
  <c r="O844" i="2"/>
  <c r="O84" i="2"/>
  <c r="O847" i="2"/>
  <c r="O33" i="2"/>
  <c r="O849" i="2"/>
  <c r="O376" i="2"/>
  <c r="O577" i="2"/>
  <c r="O276" i="2"/>
  <c r="O355" i="2"/>
  <c r="O487" i="2"/>
  <c r="O593" i="2"/>
  <c r="O41" i="2"/>
  <c r="O313" i="2"/>
  <c r="O571" i="2"/>
  <c r="O326" i="2"/>
  <c r="O945" i="2"/>
  <c r="O304" i="2"/>
  <c r="O964" i="2"/>
  <c r="O79" i="2"/>
  <c r="O330" i="2"/>
  <c r="O417" i="2"/>
  <c r="O987" i="2"/>
  <c r="O334" i="2"/>
  <c r="O548" i="2"/>
  <c r="O290" i="2"/>
  <c r="O602" i="2"/>
  <c r="O384" i="2"/>
  <c r="O592" i="2"/>
  <c r="O961" i="2"/>
  <c r="O756" i="2"/>
  <c r="O357" i="2"/>
  <c r="O677" i="2"/>
  <c r="O636" i="2"/>
  <c r="O40" i="2"/>
  <c r="O157" i="2"/>
  <c r="O225" i="2"/>
  <c r="O311" i="2"/>
  <c r="O897" i="2"/>
  <c r="O143" i="2"/>
  <c r="O34" i="2"/>
  <c r="O152" i="2"/>
  <c r="O935" i="2"/>
  <c r="O655" i="2"/>
  <c r="O481" i="2"/>
  <c r="O429" i="2"/>
  <c r="O664" i="2"/>
  <c r="O123" i="2"/>
  <c r="O909" i="2"/>
  <c r="O857" i="2"/>
  <c r="O942" i="2"/>
  <c r="O337" i="2"/>
  <c r="O404" i="2"/>
  <c r="O732" i="2"/>
  <c r="O183" i="2"/>
  <c r="O933" i="2"/>
  <c r="O262" i="2"/>
  <c r="O637" i="2"/>
  <c r="O283" i="2"/>
  <c r="O788" i="2"/>
  <c r="O959" i="2"/>
  <c r="P883" i="2"/>
  <c r="P418" i="2"/>
  <c r="P92" i="2"/>
  <c r="P669" i="2"/>
  <c r="P488" i="2"/>
  <c r="P731" i="2"/>
  <c r="P626" i="2"/>
  <c r="P887" i="2"/>
  <c r="P797" i="2"/>
  <c r="P657" i="2"/>
  <c r="P581" i="2"/>
  <c r="P316" i="2"/>
  <c r="P396" i="2"/>
  <c r="P698" i="2"/>
  <c r="P18" i="2"/>
  <c r="P629" i="2"/>
  <c r="P51" i="2"/>
  <c r="P873" i="2"/>
  <c r="P575" i="2"/>
  <c r="P774" i="2"/>
  <c r="P976" i="2"/>
  <c r="P891" i="2"/>
  <c r="P463" i="2"/>
  <c r="P116" i="2"/>
  <c r="P66" i="2"/>
  <c r="P705" i="2"/>
  <c r="P93" i="2"/>
  <c r="P275" i="2"/>
  <c r="P990" i="2"/>
  <c r="P243" i="2"/>
  <c r="P454" i="2"/>
  <c r="P214" i="2"/>
  <c r="P738" i="2"/>
  <c r="P208" i="2"/>
  <c r="P55" i="2"/>
  <c r="P567" i="2"/>
  <c r="P829" i="2"/>
  <c r="P252" i="2"/>
  <c r="P469" i="2"/>
  <c r="P900" i="2"/>
  <c r="P190" i="2"/>
  <c r="P510" i="2"/>
  <c r="P749" i="2"/>
  <c r="P147" i="2"/>
  <c r="P234" i="2"/>
  <c r="P773" i="2"/>
  <c r="P8" i="2"/>
  <c r="P913" i="2"/>
  <c r="P211" i="2"/>
  <c r="P475" i="2"/>
  <c r="P29" i="2"/>
  <c r="P4" i="2"/>
  <c r="P14" i="2"/>
  <c r="P679" i="2"/>
  <c r="P607" i="2"/>
  <c r="P815" i="2"/>
  <c r="P149" i="2"/>
  <c r="P39" i="2"/>
  <c r="P108" i="2"/>
  <c r="P310" i="2"/>
  <c r="P194" i="2"/>
  <c r="P102" i="2"/>
  <c r="P969" i="2"/>
  <c r="P570" i="2"/>
  <c r="P895" i="2"/>
  <c r="P401" i="2"/>
  <c r="P594" i="2"/>
  <c r="P446" i="2"/>
  <c r="P406" i="2"/>
  <c r="P412" i="2"/>
  <c r="P566" i="2"/>
  <c r="P155" i="2"/>
  <c r="P616" i="2"/>
  <c r="P303" i="2"/>
  <c r="P754" i="2"/>
  <c r="P497" i="2"/>
  <c r="P287" i="2"/>
  <c r="P87" i="2"/>
  <c r="P215" i="2"/>
  <c r="P492" i="2"/>
  <c r="P122" i="2"/>
  <c r="P764" i="2"/>
  <c r="P219" i="2"/>
  <c r="P265" i="2"/>
  <c r="P922" i="2"/>
  <c r="P166" i="2"/>
  <c r="P733" i="2"/>
  <c r="P260" i="2"/>
  <c r="P112" i="2"/>
  <c r="P693" i="2"/>
  <c r="P507" i="2"/>
  <c r="P688" i="2"/>
  <c r="P778" i="2"/>
  <c r="P11" i="2"/>
  <c r="P962" i="2"/>
  <c r="P700" i="2"/>
  <c r="P85" i="2"/>
  <c r="P798" i="2"/>
  <c r="P199" i="2"/>
  <c r="P344" i="2"/>
  <c r="P137" i="2"/>
  <c r="P135" i="2"/>
  <c r="P413" i="2"/>
  <c r="P156" i="2"/>
  <c r="P236" i="2"/>
  <c r="P419" i="2"/>
  <c r="P658" i="2"/>
  <c r="P526" i="2"/>
  <c r="P280" i="2"/>
  <c r="P88" i="2"/>
  <c r="P213" i="2"/>
  <c r="P936" i="2"/>
  <c r="P550" i="2"/>
  <c r="P111" i="2"/>
  <c r="P5" i="2"/>
  <c r="P255" i="2"/>
  <c r="P785" i="2"/>
  <c r="P186" i="2"/>
  <c r="P551" i="2"/>
  <c r="P851" i="2"/>
  <c r="P819" i="2"/>
  <c r="P633" i="2"/>
  <c r="P784" i="2"/>
  <c r="P706" i="2"/>
  <c r="P807" i="2"/>
  <c r="P718" i="2"/>
  <c r="P589" i="2"/>
  <c r="P947" i="2"/>
  <c r="P117" i="2"/>
  <c r="P765" i="2"/>
  <c r="P415" i="2"/>
  <c r="P361" i="2"/>
  <c r="P681" i="2"/>
  <c r="P250" i="2"/>
  <c r="P329" i="2"/>
  <c r="P972" i="2"/>
  <c r="P670" i="2"/>
  <c r="P314" i="2"/>
  <c r="P174" i="2"/>
  <c r="P333" i="2"/>
  <c r="P907" i="2"/>
  <c r="P699" i="2"/>
  <c r="P929" i="2"/>
  <c r="P752" i="2"/>
  <c r="P141" i="2"/>
  <c r="P544" i="2"/>
  <c r="P284" i="2"/>
  <c r="P960" i="2"/>
  <c r="P210" i="2"/>
  <c r="P926" i="2"/>
  <c r="P823" i="2"/>
  <c r="P298" i="2"/>
  <c r="P197" i="2"/>
  <c r="P832" i="2"/>
  <c r="P843" i="2"/>
  <c r="P232" i="2"/>
  <c r="P26" i="2"/>
  <c r="P3" i="2"/>
  <c r="P21" i="2"/>
  <c r="P879" i="2"/>
  <c r="P372" i="2"/>
  <c r="P923" i="2"/>
  <c r="P691" i="2"/>
  <c r="P315" i="2"/>
  <c r="P185" i="2"/>
  <c r="P533" i="2"/>
  <c r="P195" i="2"/>
  <c r="P452" i="2"/>
  <c r="P296" i="2"/>
  <c r="P338" i="2"/>
  <c r="P31" i="2"/>
  <c r="P563" i="2"/>
  <c r="P414" i="2"/>
  <c r="P973" i="2"/>
  <c r="P505" i="2"/>
  <c r="P888" i="2"/>
  <c r="P848" i="2"/>
  <c r="P151" i="2"/>
  <c r="P719" i="2"/>
  <c r="P568" i="2"/>
  <c r="P729" i="2"/>
  <c r="P140" i="2"/>
  <c r="P458" i="2"/>
  <c r="P826" i="2"/>
  <c r="P6" i="2"/>
  <c r="P978" i="2"/>
  <c r="P435" i="2"/>
  <c r="P769" i="2"/>
  <c r="P624" i="2"/>
  <c r="P988" i="2"/>
  <c r="P762" i="2"/>
  <c r="P545" i="2"/>
  <c r="P937" i="2"/>
  <c r="P821" i="2"/>
  <c r="P272" i="2"/>
  <c r="P62" i="2"/>
  <c r="P979" i="2"/>
  <c r="P118" i="2"/>
  <c r="P216" i="2"/>
  <c r="P322" i="2"/>
  <c r="P229" i="2"/>
  <c r="P989" i="2"/>
  <c r="P884" i="2"/>
  <c r="P328" i="2"/>
  <c r="P958" i="2"/>
  <c r="P383" i="2"/>
  <c r="P724" i="2"/>
  <c r="P694" i="2"/>
  <c r="P432" i="2"/>
  <c r="P781" i="2"/>
  <c r="P892" i="2"/>
  <c r="P293" i="2"/>
  <c r="P171" i="2"/>
  <c r="P124" i="2"/>
  <c r="P491" i="2"/>
  <c r="P758" i="2"/>
  <c r="P983" i="2"/>
  <c r="P956" i="2"/>
  <c r="P398" i="2"/>
  <c r="P971" i="2"/>
  <c r="P101" i="2"/>
  <c r="P649" i="2"/>
  <c r="P268" i="2"/>
  <c r="P722" i="2"/>
  <c r="P86" i="2"/>
  <c r="P479" i="2"/>
  <c r="P501" i="2"/>
  <c r="P238" i="2"/>
  <c r="P1000" i="2"/>
  <c r="P643" i="2"/>
  <c r="P158" i="2"/>
  <c r="P650" i="2"/>
  <c r="P221" i="2"/>
  <c r="P483" i="2"/>
  <c r="P562" i="2"/>
  <c r="P437" i="2"/>
  <c r="P621" i="2"/>
  <c r="P444" i="2"/>
  <c r="P113" i="2"/>
  <c r="P792" i="2"/>
  <c r="P191" i="2"/>
  <c r="P918" i="2"/>
  <c r="P517" i="2"/>
  <c r="P217" i="2"/>
  <c r="P707" i="2"/>
  <c r="P256" i="2"/>
  <c r="P493" i="2"/>
  <c r="P179" i="2"/>
  <c r="P852" i="2"/>
  <c r="P524" i="2"/>
  <c r="P67" i="2"/>
  <c r="P521" i="2"/>
  <c r="P585" i="2"/>
  <c r="P842" i="2"/>
  <c r="P599" i="2"/>
  <c r="P99" i="2"/>
  <c r="P441" i="2"/>
  <c r="P365" i="2"/>
  <c r="P455" i="2"/>
  <c r="P371" i="2"/>
  <c r="P683" i="2"/>
  <c r="P162" i="2"/>
  <c r="P449" i="2"/>
  <c r="P530" i="2"/>
  <c r="P251" i="2"/>
  <c r="P23" i="2"/>
  <c r="P661" i="2"/>
  <c r="P617" i="2"/>
  <c r="P48" i="2"/>
  <c r="P673" i="2"/>
  <c r="P504" i="2"/>
  <c r="P642" i="2"/>
  <c r="P327" i="2"/>
  <c r="P318" i="2"/>
  <c r="P739" i="2"/>
  <c r="P81" i="2"/>
  <c r="P19" i="2"/>
  <c r="P17" i="2"/>
  <c r="P995" i="2"/>
  <c r="P609" i="2"/>
  <c r="P95" i="2"/>
  <c r="P878" i="2"/>
  <c r="P436" i="2"/>
  <c r="P370" i="2"/>
  <c r="P381" i="2"/>
  <c r="P83" i="2"/>
  <c r="P915" i="2"/>
  <c r="P299" i="2"/>
  <c r="P916" i="2"/>
  <c r="P772" i="2"/>
  <c r="P775" i="2"/>
  <c r="P734" i="2"/>
  <c r="P115" i="2"/>
  <c r="P360" i="2"/>
  <c r="P473" i="2"/>
  <c r="P654" i="2"/>
  <c r="P519" i="2"/>
  <c r="P555" i="2"/>
  <c r="P872" i="2"/>
  <c r="P680" i="2"/>
  <c r="P634" i="2"/>
  <c r="P332" i="2"/>
  <c r="P279" i="2"/>
  <c r="P747" i="2"/>
  <c r="P438" i="2"/>
  <c r="P490" i="2"/>
  <c r="P776" i="2"/>
  <c r="P965" i="2"/>
  <c r="P100" i="2"/>
  <c r="P218" i="2"/>
  <c r="P411" i="2"/>
  <c r="P70" i="2"/>
  <c r="P576" i="2"/>
  <c r="P9" i="2"/>
  <c r="P339" i="2"/>
  <c r="P748" i="2"/>
  <c r="P833" i="2"/>
  <c r="P623" i="2"/>
  <c r="P612" i="2"/>
  <c r="P448" i="2"/>
  <c r="P312" i="2"/>
  <c r="P970" i="2"/>
  <c r="P98" i="2"/>
  <c r="P89" i="2"/>
  <c r="P509" i="2"/>
  <c r="P932" i="2"/>
  <c r="P144" i="2"/>
  <c r="P356" i="2"/>
  <c r="P49" i="2"/>
  <c r="P184" i="2"/>
  <c r="P921" i="2"/>
  <c r="P824" i="2"/>
  <c r="P809" i="2"/>
  <c r="P553" i="2"/>
  <c r="P306" i="2"/>
  <c r="P464" i="2"/>
  <c r="P388" i="2"/>
  <c r="P997" i="2"/>
  <c r="P382" i="2"/>
  <c r="P535" i="2"/>
  <c r="P246" i="2"/>
  <c r="P953" i="2"/>
  <c r="P263" i="2"/>
  <c r="P373" i="2"/>
  <c r="P28" i="2"/>
  <c r="P402" i="2"/>
  <c r="P595" i="2"/>
  <c r="P270" i="2"/>
  <c r="P427" i="2"/>
  <c r="P828" i="2"/>
  <c r="P860" i="2"/>
  <c r="P511" i="2"/>
  <c r="P374" i="2"/>
  <c r="P150" i="2"/>
  <c r="P899" i="2"/>
  <c r="P109" i="2"/>
  <c r="P771" i="2"/>
  <c r="P689" i="2"/>
  <c r="P615" i="2"/>
  <c r="P226" i="2"/>
  <c r="P686" i="2"/>
  <c r="P675" i="2"/>
  <c r="P665" i="2"/>
  <c r="P163" i="2"/>
  <c r="P518" i="2"/>
  <c r="P266" i="2"/>
  <c r="P331" i="2"/>
  <c r="P480" i="2"/>
  <c r="P855" i="2"/>
  <c r="P257" i="2"/>
  <c r="P136" i="2"/>
  <c r="P295" i="2"/>
  <c r="P76" i="2"/>
  <c r="P596" i="2"/>
  <c r="P702" i="2"/>
  <c r="P529" i="2"/>
  <c r="P614" i="2"/>
  <c r="P72" i="2"/>
  <c r="P968" i="2"/>
  <c r="P42" i="2"/>
  <c r="P63" i="2"/>
  <c r="P928" i="2"/>
  <c r="P164" i="2"/>
  <c r="P351" i="2"/>
  <c r="P672" i="2"/>
  <c r="P949" i="2"/>
  <c r="P790" i="2"/>
  <c r="P759" i="2"/>
  <c r="P750" i="2"/>
  <c r="P96" i="2"/>
  <c r="P919" i="2"/>
  <c r="P309" i="2"/>
  <c r="P687" i="2"/>
  <c r="P434" i="2"/>
  <c r="P905" i="2"/>
  <c r="P598" i="2"/>
  <c r="P12" i="2"/>
  <c r="P646" i="2"/>
  <c r="P15" i="2"/>
  <c r="P207" i="2"/>
  <c r="P861" i="2"/>
  <c r="P482" i="2"/>
  <c r="P984" i="2"/>
  <c r="P168" i="2"/>
  <c r="P811" i="2"/>
  <c r="P660" i="2"/>
  <c r="P368" i="2"/>
  <c r="P244" i="2"/>
  <c r="P50" i="2"/>
  <c r="P547" i="2"/>
  <c r="P814" i="2"/>
  <c r="P579" i="2"/>
  <c r="P648" i="2"/>
  <c r="P541" i="2"/>
  <c r="P993" i="2"/>
  <c r="P532" i="2"/>
  <c r="P886" i="2"/>
  <c r="P106" i="2"/>
  <c r="P644" i="2"/>
  <c r="P107" i="2"/>
  <c r="P552" i="2"/>
  <c r="P154" i="2"/>
  <c r="P342" i="2"/>
  <c r="P433" i="2"/>
  <c r="P267" i="2"/>
  <c r="P44" i="2"/>
  <c r="P597" i="2"/>
  <c r="P523" i="2"/>
  <c r="P954" i="2"/>
  <c r="P169" i="2"/>
  <c r="P564" i="2"/>
  <c r="P426" i="2"/>
  <c r="P981" i="2"/>
  <c r="P522" i="2"/>
  <c r="P395" i="2"/>
  <c r="P580" i="2"/>
  <c r="P408" i="2"/>
  <c r="P54" i="2"/>
  <c r="P794" i="2"/>
  <c r="P822" i="2"/>
  <c r="P516" i="2"/>
  <c r="P827" i="2"/>
  <c r="P846" i="2"/>
  <c r="P904" i="2"/>
  <c r="P543" i="2"/>
  <c r="P514" i="2"/>
  <c r="P871" i="2"/>
  <c r="P708" i="2"/>
  <c r="P653" i="2"/>
  <c r="P75" i="2"/>
  <c r="P889" i="2"/>
  <c r="P187" i="2"/>
  <c r="P704" i="2"/>
  <c r="P27" i="2"/>
  <c r="P911" i="2"/>
  <c r="P985" i="2"/>
  <c r="P212" i="2"/>
  <c r="P390" i="2"/>
  <c r="P90" i="2"/>
  <c r="P777" i="2"/>
  <c r="P714" i="2"/>
  <c r="P379" i="2"/>
  <c r="P132" i="2"/>
  <c r="P841" i="2"/>
  <c r="P868" i="2"/>
  <c r="P176" i="2"/>
  <c r="P73" i="2"/>
  <c r="P273" i="2"/>
  <c r="P403" i="2"/>
  <c r="P486" i="2"/>
  <c r="P711" i="2"/>
  <c r="P994" i="2"/>
  <c r="P966" i="2"/>
  <c r="P882" i="2"/>
  <c r="P898" i="2"/>
  <c r="P656" i="2"/>
  <c r="P666" i="2"/>
  <c r="P247" i="2"/>
  <c r="P863" i="2"/>
  <c r="P200" i="2"/>
  <c r="P812" i="2"/>
  <c r="P583" i="2"/>
  <c r="P902" i="2"/>
  <c r="P917" i="2"/>
  <c r="P288" i="2"/>
  <c r="P763" i="2"/>
  <c r="P498" i="2"/>
  <c r="P741" i="2"/>
  <c r="P810" i="2"/>
  <c r="P495" i="2"/>
  <c r="P955" i="2"/>
  <c r="P160" i="2"/>
  <c r="P423" i="2"/>
  <c r="P618" i="2"/>
  <c r="P120" i="2"/>
  <c r="P716" i="2"/>
  <c r="P925" i="2"/>
  <c r="P74" i="2"/>
  <c r="P399" i="2"/>
  <c r="P525" i="2"/>
  <c r="P690" i="2"/>
  <c r="P779" i="2"/>
  <c r="P465" i="2"/>
  <c r="P222" i="2"/>
  <c r="P835" i="2"/>
  <c r="P36" i="2"/>
  <c r="P352" i="2"/>
  <c r="P345" i="2"/>
  <c r="P119" i="2"/>
  <c r="P782" i="2"/>
  <c r="P938" i="2"/>
  <c r="P721" i="2"/>
  <c r="P173" i="2"/>
  <c r="P362" i="2"/>
  <c r="P485" i="2"/>
  <c r="P204" i="2"/>
  <c r="P77" i="2"/>
  <c r="P924" i="2"/>
  <c r="P302" i="2"/>
  <c r="P743" i="2"/>
  <c r="P645" i="2"/>
  <c r="P856" i="2"/>
  <c r="P627" i="2"/>
  <c r="P242" i="2"/>
  <c r="P277" i="2"/>
  <c r="P53" i="2"/>
  <c r="P422" i="2"/>
  <c r="P319" i="2"/>
  <c r="P813" i="2"/>
  <c r="P91" i="2"/>
  <c r="P944" i="2"/>
  <c r="P880" i="2"/>
  <c r="P224" i="2"/>
  <c r="P957" i="2"/>
  <c r="P831" i="2"/>
  <c r="P289" i="2"/>
  <c r="P639" i="2"/>
  <c r="P133" i="2"/>
  <c r="P346" i="2"/>
  <c r="P192" i="2"/>
  <c r="P450" i="2"/>
  <c r="P61" i="2"/>
  <c r="P582" i="2"/>
  <c r="P389" i="2"/>
  <c r="P573" i="2"/>
  <c r="P751" i="2"/>
  <c r="P153" i="2"/>
  <c r="P282" i="2"/>
  <c r="P343" i="2"/>
  <c r="P235" i="2"/>
  <c r="P254" i="2"/>
  <c r="P181" i="2"/>
  <c r="P416" i="2"/>
  <c r="P291" i="2"/>
  <c r="P584" i="2"/>
  <c r="P145" i="2"/>
  <c r="P684" i="2"/>
  <c r="P611" i="2"/>
  <c r="P605" i="2"/>
  <c r="P712" i="2"/>
  <c r="P349" i="2"/>
  <c r="P934" i="2"/>
  <c r="P223" i="2"/>
  <c r="P574" i="2"/>
  <c r="P975" i="2"/>
  <c r="P378" i="2"/>
  <c r="P838" i="2"/>
  <c r="P671" i="2"/>
  <c r="P80" i="2"/>
  <c r="P770" i="2"/>
  <c r="P104" i="2"/>
  <c r="P38" i="2"/>
  <c r="P805" i="2"/>
  <c r="P134" i="2"/>
  <c r="P420" i="2"/>
  <c r="P534" i="2"/>
  <c r="P820" i="2"/>
  <c r="P674" i="2"/>
  <c r="P539" i="2"/>
  <c r="P527" i="2"/>
  <c r="P335" i="2"/>
  <c r="P471" i="2"/>
  <c r="P682" i="2"/>
  <c r="P43" i="2"/>
  <c r="P528" i="2"/>
  <c r="P728" i="2"/>
  <c r="P180" i="2"/>
  <c r="P697" i="2"/>
  <c r="P78" i="2"/>
  <c r="P659" i="2"/>
  <c r="P142" i="2"/>
  <c r="P206" i="2"/>
  <c r="P25" i="2"/>
  <c r="P839" i="2"/>
  <c r="P239" i="2"/>
  <c r="P16" i="2"/>
  <c r="P477" i="2"/>
  <c r="P461" i="2"/>
  <c r="P998" i="2"/>
  <c r="P866" i="2"/>
  <c r="P715" i="2"/>
  <c r="P65" i="2"/>
  <c r="P375" i="2"/>
  <c r="P7" i="2"/>
  <c r="P951" i="2"/>
  <c r="P625" i="2"/>
  <c r="P237" i="2"/>
  <c r="P647" i="2"/>
  <c r="P470" i="2"/>
  <c r="P845" i="2"/>
  <c r="P57" i="2"/>
  <c r="P837" i="2"/>
  <c r="P460" i="2"/>
  <c r="P431" i="2"/>
  <c r="P725" i="2"/>
  <c r="P456" i="2"/>
  <c r="P341" i="2"/>
  <c r="P963" i="2"/>
  <c r="P830" i="2"/>
  <c r="P366" i="2"/>
  <c r="P744" i="2"/>
  <c r="P676" i="2"/>
  <c r="P803" i="2"/>
  <c r="P606" i="2"/>
  <c r="P430" i="2"/>
  <c r="P494" i="2"/>
  <c r="P387" i="2"/>
  <c r="P874" i="2"/>
  <c r="P320" i="2"/>
  <c r="P392" i="2"/>
  <c r="P723" i="2"/>
  <c r="P536" i="2"/>
  <c r="P285" i="2"/>
  <c r="P105" i="2"/>
  <c r="P540" i="2"/>
  <c r="P30" i="2"/>
  <c r="P780" i="2"/>
  <c r="P557" i="2"/>
  <c r="P632" i="2"/>
  <c r="P736" i="2"/>
  <c r="P278" i="2"/>
  <c r="P472" i="2"/>
  <c r="P258" i="2"/>
  <c r="P561" i="2"/>
  <c r="P227" i="2"/>
  <c r="P840" i="2"/>
  <c r="P737" i="2"/>
  <c r="P241" i="2"/>
  <c r="P161" i="2"/>
  <c r="P148" i="2"/>
  <c r="P468" i="2"/>
  <c r="P82" i="2"/>
  <c r="P292" i="2"/>
  <c r="P802" i="2"/>
  <c r="P817" i="2"/>
  <c r="P205" i="2"/>
  <c r="P359" i="2"/>
  <c r="P240" i="2"/>
  <c r="P950" i="2"/>
  <c r="P948" i="2"/>
  <c r="P808" i="2"/>
  <c r="P865" i="2"/>
  <c r="P565" i="2"/>
  <c r="P996" i="2"/>
  <c r="P307" i="2"/>
  <c r="P931" i="2"/>
  <c r="P588" i="2"/>
  <c r="P608" i="2"/>
  <c r="P439" i="2"/>
  <c r="P941" i="2"/>
  <c r="P128" i="2"/>
  <c r="P385" i="2"/>
  <c r="P167" i="2"/>
  <c r="P308" i="2"/>
  <c r="P859" i="2"/>
  <c r="P367" i="2"/>
  <c r="P305" i="2"/>
  <c r="P459" i="2"/>
  <c r="P457" i="2"/>
  <c r="P45" i="2"/>
  <c r="P271" i="2"/>
  <c r="P131" i="2"/>
  <c r="P720" i="2"/>
  <c r="P139" i="2"/>
  <c r="P301" i="2"/>
  <c r="P110" i="2"/>
  <c r="P549" i="2"/>
  <c r="P496" i="2"/>
  <c r="P97" i="2"/>
  <c r="P893" i="2"/>
  <c r="P336" i="2"/>
  <c r="P867" i="2"/>
  <c r="P249" i="2"/>
  <c r="P967" i="2"/>
  <c r="P613" i="2"/>
  <c r="P853" i="2"/>
  <c r="P264" i="2"/>
  <c r="P69" i="2"/>
  <c r="P2" i="2"/>
  <c r="P927" i="2"/>
  <c r="P881" i="2"/>
  <c r="P484" i="2"/>
  <c r="P796" i="2"/>
  <c r="P24" i="2"/>
  <c r="P325" i="2"/>
  <c r="P125" i="2"/>
  <c r="P189" i="2"/>
  <c r="P556" i="2"/>
  <c r="P877" i="2"/>
  <c r="P864" i="2"/>
  <c r="P876" i="2"/>
  <c r="P590" i="2"/>
  <c r="P159" i="2"/>
  <c r="P407" i="2"/>
  <c r="P294" i="2"/>
  <c r="P68" i="2"/>
  <c r="P47" i="2"/>
  <c r="P59" i="2"/>
  <c r="P130" i="2"/>
  <c r="P651" i="2"/>
  <c r="P202" i="2"/>
  <c r="P245" i="2"/>
  <c r="P13" i="2"/>
  <c r="P652" i="2"/>
  <c r="P46" i="2"/>
  <c r="P766" i="2"/>
  <c r="P508" i="2"/>
  <c r="P261" i="2"/>
  <c r="P695" i="2"/>
  <c r="P60" i="2"/>
  <c r="P709" i="2"/>
  <c r="P703" i="2"/>
  <c r="P591" i="2"/>
  <c r="P760" i="2"/>
  <c r="P768" i="2"/>
  <c r="P850" i="2"/>
  <c r="P228" i="2"/>
  <c r="P622" i="2"/>
  <c r="P364" i="2"/>
  <c r="P914" i="2"/>
  <c r="P177" i="2"/>
  <c r="P170" i="2"/>
  <c r="P467" i="2"/>
  <c r="P537" i="2"/>
  <c r="P354" i="2"/>
  <c r="P870" i="2"/>
  <c r="P991" i="2"/>
  <c r="P146" i="2"/>
  <c r="P531" i="2"/>
  <c r="P640" i="2"/>
  <c r="P604" i="2"/>
  <c r="P193" i="2"/>
  <c r="P610" i="2"/>
  <c r="P662" i="2"/>
  <c r="P825" i="2"/>
  <c r="P209" i="2"/>
  <c r="P761" i="2"/>
  <c r="P503" i="2"/>
  <c r="P630" i="2"/>
  <c r="P512" i="2"/>
  <c r="P620" i="2"/>
  <c r="P663" i="2"/>
  <c r="P542" i="2"/>
  <c r="P397" i="2"/>
  <c r="P986" i="2"/>
  <c r="P172" i="2"/>
  <c r="P726" i="2"/>
  <c r="P869" i="2"/>
  <c r="P685" i="2"/>
  <c r="P478" i="2"/>
  <c r="P799" i="2"/>
  <c r="P323" i="2"/>
  <c r="P324" i="2"/>
  <c r="P559" i="2"/>
  <c r="P816" i="2"/>
  <c r="P586" i="2"/>
  <c r="P52" i="2"/>
  <c r="P793" i="2"/>
  <c r="P930" i="2"/>
  <c r="P600" i="2"/>
  <c r="P710" i="2"/>
  <c r="P126" i="2"/>
  <c r="P502" i="2"/>
  <c r="P668" i="2"/>
  <c r="P601" i="2"/>
  <c r="P890" i="2"/>
  <c r="P862" i="2"/>
  <c r="P317" i="2"/>
  <c r="P692" i="2"/>
  <c r="P231" i="2"/>
  <c r="P795" i="2"/>
  <c r="P946" i="2"/>
  <c r="P391" i="2"/>
  <c r="P121" i="2"/>
  <c r="P182" i="2"/>
  <c r="P394" i="2"/>
  <c r="P138" i="2"/>
  <c r="P801" i="2"/>
  <c r="P380" i="2"/>
  <c r="P440" i="2"/>
  <c r="P405" i="2"/>
  <c r="P735" i="2"/>
  <c r="P358" i="2"/>
  <c r="P253" i="2"/>
  <c r="P740" i="2"/>
  <c r="P854" i="2"/>
  <c r="P71" i="2"/>
  <c r="P409" i="2"/>
  <c r="P297" i="2"/>
  <c r="P428" i="2"/>
  <c r="P638" i="2"/>
  <c r="P476" i="2"/>
  <c r="P321" i="2"/>
  <c r="P353" i="2"/>
  <c r="P572" i="2"/>
  <c r="P858" i="2"/>
  <c r="P400" i="2"/>
  <c r="P451" i="2"/>
  <c r="P520" i="2"/>
  <c r="P977" i="2"/>
  <c r="P129" i="2"/>
  <c r="P421" i="2"/>
  <c r="P274" i="2"/>
  <c r="P233" i="2"/>
  <c r="P203" i="2"/>
  <c r="P667" i="2"/>
  <c r="P992" i="2"/>
  <c r="P377" i="2"/>
  <c r="P513" i="2"/>
  <c r="P885" i="2"/>
  <c r="P641" i="2"/>
  <c r="P94" i="2"/>
  <c r="P340" i="2"/>
  <c r="P281" i="2"/>
  <c r="P462" i="2"/>
  <c r="P269" i="2"/>
  <c r="P908" i="2"/>
  <c r="P753" i="2"/>
  <c r="P538" i="2"/>
  <c r="P903" i="2"/>
  <c r="P800" i="2"/>
  <c r="P767" i="2"/>
  <c r="P178" i="2"/>
  <c r="P701" i="2"/>
  <c r="P558" i="2"/>
  <c r="P32" i="2"/>
  <c r="P569" i="2"/>
  <c r="P64" i="2"/>
  <c r="P248" i="2"/>
  <c r="P982" i="2"/>
  <c r="P35" i="2"/>
  <c r="P20" i="2"/>
  <c r="P58" i="2"/>
  <c r="P500" i="2"/>
  <c r="P259" i="2"/>
  <c r="P10" i="2"/>
  <c r="P188" i="2"/>
  <c r="P560" i="2"/>
  <c r="P56" i="2"/>
  <c r="P348" i="2"/>
  <c r="P806" i="2"/>
  <c r="P696" i="2"/>
  <c r="P894" i="2"/>
  <c r="P474" i="2"/>
  <c r="P554" i="2"/>
  <c r="P952" i="2"/>
  <c r="P230" i="2"/>
  <c r="P410" i="2"/>
  <c r="P834" i="2"/>
  <c r="P789" i="2"/>
  <c r="P103" i="2"/>
  <c r="P425" i="2"/>
  <c r="P678" i="2"/>
  <c r="P912" i="2"/>
  <c r="P300" i="2"/>
  <c r="P363" i="2"/>
  <c r="P587" i="2"/>
  <c r="P603" i="2"/>
  <c r="P578" i="2"/>
  <c r="P943" i="2"/>
  <c r="P745" i="2"/>
  <c r="P791" i="2"/>
  <c r="P424" i="2"/>
  <c r="P22" i="2"/>
  <c r="P940" i="2"/>
  <c r="P198" i="2"/>
  <c r="P165" i="2"/>
  <c r="P755" i="2"/>
  <c r="P786" i="2"/>
  <c r="P442" i="2"/>
  <c r="P175" i="2"/>
  <c r="P818" i="2"/>
  <c r="P445" i="2"/>
  <c r="P787" i="2"/>
  <c r="P499" i="2"/>
  <c r="P910" i="2"/>
  <c r="P220" i="2"/>
  <c r="P717" i="2"/>
  <c r="P939" i="2"/>
  <c r="P920" i="2"/>
  <c r="P347" i="2"/>
  <c r="P999" i="2"/>
  <c r="P727" i="2"/>
  <c r="P757" i="2"/>
  <c r="P631" i="2"/>
  <c r="P447" i="2"/>
  <c r="P196" i="2"/>
  <c r="P286" i="2"/>
  <c r="P980" i="2"/>
  <c r="P713" i="2"/>
  <c r="P804" i="2"/>
  <c r="P628" i="2"/>
  <c r="P635" i="2"/>
  <c r="P37" i="2"/>
  <c r="P201" i="2"/>
  <c r="P546" i="2"/>
  <c r="P453" i="2"/>
  <c r="P974" i="2"/>
  <c r="P369" i="2"/>
  <c r="P896" i="2"/>
  <c r="P783" i="2"/>
  <c r="P515" i="2"/>
  <c r="P730" i="2"/>
  <c r="P746" i="2"/>
  <c r="P127" i="2"/>
  <c r="P489" i="2"/>
  <c r="P393" i="2"/>
  <c r="P443" i="2"/>
  <c r="P350" i="2"/>
  <c r="P466" i="2"/>
  <c r="P836" i="2"/>
  <c r="P901" i="2"/>
  <c r="P742" i="2"/>
  <c r="P506" i="2"/>
  <c r="P875" i="2"/>
  <c r="P906" i="2"/>
  <c r="P114" i="2"/>
  <c r="P619" i="2"/>
  <c r="P386" i="2"/>
  <c r="P844" i="2"/>
  <c r="P84" i="2"/>
  <c r="P847" i="2"/>
  <c r="P33" i="2"/>
  <c r="P849" i="2"/>
  <c r="P376" i="2"/>
  <c r="P577" i="2"/>
  <c r="P276" i="2"/>
  <c r="P355" i="2"/>
  <c r="P487" i="2"/>
  <c r="P593" i="2"/>
  <c r="P41" i="2"/>
  <c r="P313" i="2"/>
  <c r="P571" i="2"/>
  <c r="P326" i="2"/>
  <c r="P945" i="2"/>
  <c r="P304" i="2"/>
  <c r="P964" i="2"/>
  <c r="P79" i="2"/>
  <c r="P330" i="2"/>
  <c r="P417" i="2"/>
  <c r="P987" i="2"/>
  <c r="P334" i="2"/>
  <c r="P548" i="2"/>
  <c r="P290" i="2"/>
  <c r="P602" i="2"/>
  <c r="P384" i="2"/>
  <c r="P592" i="2"/>
  <c r="P961" i="2"/>
  <c r="P756" i="2"/>
  <c r="P357" i="2"/>
  <c r="P677" i="2"/>
  <c r="P636" i="2"/>
  <c r="P40" i="2"/>
  <c r="P157" i="2"/>
  <c r="P225" i="2"/>
  <c r="P311" i="2"/>
  <c r="P897" i="2"/>
  <c r="P143" i="2"/>
  <c r="P34" i="2"/>
  <c r="P152" i="2"/>
  <c r="P935" i="2"/>
  <c r="P655" i="2"/>
  <c r="P481" i="2"/>
  <c r="P429" i="2"/>
  <c r="P664" i="2"/>
  <c r="P123" i="2"/>
  <c r="P909" i="2"/>
  <c r="P857" i="2"/>
  <c r="P942" i="2"/>
  <c r="P337" i="2"/>
  <c r="P404" i="2"/>
  <c r="P732" i="2"/>
  <c r="P183" i="2"/>
  <c r="P933" i="2"/>
  <c r="P262" i="2"/>
  <c r="P637" i="2"/>
  <c r="P283" i="2"/>
  <c r="P788" i="2"/>
  <c r="P959" i="2"/>
  <c r="Q883" i="2"/>
  <c r="R883" i="2" s="1"/>
  <c r="I883" i="2"/>
  <c r="I418" i="2"/>
  <c r="I92" i="2"/>
  <c r="I669" i="2"/>
  <c r="I488" i="2"/>
  <c r="I731" i="2"/>
  <c r="I626" i="2"/>
  <c r="I887" i="2"/>
  <c r="I797" i="2"/>
  <c r="I657" i="2"/>
  <c r="I581" i="2"/>
  <c r="I316" i="2"/>
  <c r="I396" i="2"/>
  <c r="I698" i="2"/>
  <c r="I18" i="2"/>
  <c r="I629" i="2"/>
  <c r="I51" i="2"/>
  <c r="I873" i="2"/>
  <c r="I575" i="2"/>
  <c r="I774" i="2"/>
  <c r="I976" i="2"/>
  <c r="I891" i="2"/>
  <c r="I463" i="2"/>
  <c r="I116" i="2"/>
  <c r="I66" i="2"/>
  <c r="I705" i="2"/>
  <c r="I93" i="2"/>
  <c r="I275" i="2"/>
  <c r="I990" i="2"/>
  <c r="I243" i="2"/>
  <c r="I454" i="2"/>
  <c r="I214" i="2"/>
  <c r="I738" i="2"/>
  <c r="I208" i="2"/>
  <c r="I55" i="2"/>
  <c r="I567" i="2"/>
  <c r="I829" i="2"/>
  <c r="I252" i="2"/>
  <c r="I469" i="2"/>
  <c r="I900" i="2"/>
  <c r="I190" i="2"/>
  <c r="I510" i="2"/>
  <c r="I749" i="2"/>
  <c r="I147" i="2"/>
  <c r="I234" i="2"/>
  <c r="I773" i="2"/>
  <c r="I8" i="2"/>
  <c r="I913" i="2"/>
  <c r="I211" i="2"/>
  <c r="I475" i="2"/>
  <c r="I29" i="2"/>
  <c r="I4" i="2"/>
  <c r="I14" i="2"/>
  <c r="I679" i="2"/>
  <c r="I607" i="2"/>
  <c r="I815" i="2"/>
  <c r="I149" i="2"/>
  <c r="I39" i="2"/>
  <c r="I108" i="2"/>
  <c r="I310" i="2"/>
  <c r="I194" i="2"/>
  <c r="I102" i="2"/>
  <c r="I969" i="2"/>
  <c r="I570" i="2"/>
  <c r="I895" i="2"/>
  <c r="I401" i="2"/>
  <c r="I594" i="2"/>
  <c r="I446" i="2"/>
  <c r="I406" i="2"/>
  <c r="I412" i="2"/>
  <c r="I566" i="2"/>
  <c r="I155" i="2"/>
  <c r="I616" i="2"/>
  <c r="I303" i="2"/>
  <c r="I754" i="2"/>
  <c r="I497" i="2"/>
  <c r="I287" i="2"/>
  <c r="I87" i="2"/>
  <c r="I215" i="2"/>
  <c r="I492" i="2"/>
  <c r="I122" i="2"/>
  <c r="I764" i="2"/>
  <c r="I219" i="2"/>
  <c r="I265" i="2"/>
  <c r="I922" i="2"/>
  <c r="I166" i="2"/>
  <c r="I733" i="2"/>
  <c r="I260" i="2"/>
  <c r="I112" i="2"/>
  <c r="I693" i="2"/>
  <c r="I507" i="2"/>
  <c r="I688" i="2"/>
  <c r="I778" i="2"/>
  <c r="I11" i="2"/>
  <c r="I962" i="2"/>
  <c r="I700" i="2"/>
  <c r="I85" i="2"/>
  <c r="I798" i="2"/>
  <c r="I199" i="2"/>
  <c r="I344" i="2"/>
  <c r="I137" i="2"/>
  <c r="I135" i="2"/>
  <c r="I413" i="2"/>
  <c r="I156" i="2"/>
  <c r="I236" i="2"/>
  <c r="I419" i="2"/>
  <c r="I658" i="2"/>
  <c r="I526" i="2"/>
  <c r="I280" i="2"/>
  <c r="I88" i="2"/>
  <c r="I213" i="2"/>
  <c r="I936" i="2"/>
  <c r="I550" i="2"/>
  <c r="I111" i="2"/>
  <c r="I5" i="2"/>
  <c r="I255" i="2"/>
  <c r="I785" i="2"/>
  <c r="I186" i="2"/>
  <c r="I551" i="2"/>
  <c r="I851" i="2"/>
  <c r="I819" i="2"/>
  <c r="I633" i="2"/>
  <c r="I784" i="2"/>
  <c r="I706" i="2"/>
  <c r="I807" i="2"/>
  <c r="I718" i="2"/>
  <c r="I589" i="2"/>
  <c r="I947" i="2"/>
  <c r="I117" i="2"/>
  <c r="I765" i="2"/>
  <c r="I415" i="2"/>
  <c r="I361" i="2"/>
  <c r="I681" i="2"/>
  <c r="I250" i="2"/>
  <c r="I329" i="2"/>
  <c r="I972" i="2"/>
  <c r="I670" i="2"/>
  <c r="I314" i="2"/>
  <c r="I174" i="2"/>
  <c r="I333" i="2"/>
  <c r="I907" i="2"/>
  <c r="I699" i="2"/>
  <c r="I929" i="2"/>
  <c r="I752" i="2"/>
  <c r="I141" i="2"/>
  <c r="I544" i="2"/>
  <c r="I284" i="2"/>
  <c r="I960" i="2"/>
  <c r="I210" i="2"/>
  <c r="I926" i="2"/>
  <c r="I823" i="2"/>
  <c r="I298" i="2"/>
  <c r="I197" i="2"/>
  <c r="I832" i="2"/>
  <c r="I843" i="2"/>
  <c r="I232" i="2"/>
  <c r="I26" i="2"/>
  <c r="I3" i="2"/>
  <c r="I21" i="2"/>
  <c r="I879" i="2"/>
  <c r="I372" i="2"/>
  <c r="I923" i="2"/>
  <c r="I691" i="2"/>
  <c r="I315" i="2"/>
  <c r="I185" i="2"/>
  <c r="I533" i="2"/>
  <c r="I195" i="2"/>
  <c r="I452" i="2"/>
  <c r="I296" i="2"/>
  <c r="I338" i="2"/>
  <c r="I31" i="2"/>
  <c r="I563" i="2"/>
  <c r="I414" i="2"/>
  <c r="I973" i="2"/>
  <c r="I505" i="2"/>
  <c r="I888" i="2"/>
  <c r="I848" i="2"/>
  <c r="I151" i="2"/>
  <c r="I719" i="2"/>
  <c r="I568" i="2"/>
  <c r="I729" i="2"/>
  <c r="I140" i="2"/>
  <c r="I458" i="2"/>
  <c r="I826" i="2"/>
  <c r="I6" i="2"/>
  <c r="I978" i="2"/>
  <c r="I435" i="2"/>
  <c r="I769" i="2"/>
  <c r="I624" i="2"/>
  <c r="I988" i="2"/>
  <c r="I762" i="2"/>
  <c r="I545" i="2"/>
  <c r="I937" i="2"/>
  <c r="I821" i="2"/>
  <c r="I272" i="2"/>
  <c r="I62" i="2"/>
  <c r="I979" i="2"/>
  <c r="I118" i="2"/>
  <c r="I216" i="2"/>
  <c r="I322" i="2"/>
  <c r="I229" i="2"/>
  <c r="I989" i="2"/>
  <c r="I884" i="2"/>
  <c r="I328" i="2"/>
  <c r="I958" i="2"/>
  <c r="I383" i="2"/>
  <c r="I724" i="2"/>
  <c r="I694" i="2"/>
  <c r="I432" i="2"/>
  <c r="I781" i="2"/>
  <c r="I892" i="2"/>
  <c r="I293" i="2"/>
  <c r="I171" i="2"/>
  <c r="I124" i="2"/>
  <c r="I491" i="2"/>
  <c r="I758" i="2"/>
  <c r="I983" i="2"/>
  <c r="I956" i="2"/>
  <c r="I398" i="2"/>
  <c r="I971" i="2"/>
  <c r="I101" i="2"/>
  <c r="I649" i="2"/>
  <c r="I268" i="2"/>
  <c r="I722" i="2"/>
  <c r="I86" i="2"/>
  <c r="I479" i="2"/>
  <c r="I501" i="2"/>
  <c r="I238" i="2"/>
  <c r="I1000" i="2"/>
  <c r="I643" i="2"/>
  <c r="I158" i="2"/>
  <c r="I650" i="2"/>
  <c r="I221" i="2"/>
  <c r="I483" i="2"/>
  <c r="I562" i="2"/>
  <c r="I437" i="2"/>
  <c r="I621" i="2"/>
  <c r="I444" i="2"/>
  <c r="I113" i="2"/>
  <c r="I792" i="2"/>
  <c r="I191" i="2"/>
  <c r="I918" i="2"/>
  <c r="I517" i="2"/>
  <c r="I217" i="2"/>
  <c r="I707" i="2"/>
  <c r="I256" i="2"/>
  <c r="I493" i="2"/>
  <c r="I179" i="2"/>
  <c r="I852" i="2"/>
  <c r="I524" i="2"/>
  <c r="I67" i="2"/>
  <c r="I521" i="2"/>
  <c r="I585" i="2"/>
  <c r="I842" i="2"/>
  <c r="I599" i="2"/>
  <c r="I99" i="2"/>
  <c r="I441" i="2"/>
  <c r="I365" i="2"/>
  <c r="I455" i="2"/>
  <c r="I371" i="2"/>
  <c r="I683" i="2"/>
  <c r="I162" i="2"/>
  <c r="I449" i="2"/>
  <c r="I530" i="2"/>
  <c r="I251" i="2"/>
  <c r="I23" i="2"/>
  <c r="I661" i="2"/>
  <c r="I617" i="2"/>
  <c r="I48" i="2"/>
  <c r="I673" i="2"/>
  <c r="I504" i="2"/>
  <c r="I642" i="2"/>
  <c r="I327" i="2"/>
  <c r="I318" i="2"/>
  <c r="I739" i="2"/>
  <c r="I81" i="2"/>
  <c r="I19" i="2"/>
  <c r="I17" i="2"/>
  <c r="I995" i="2"/>
  <c r="I609" i="2"/>
  <c r="I95" i="2"/>
  <c r="I878" i="2"/>
  <c r="I436" i="2"/>
  <c r="I370" i="2"/>
  <c r="I381" i="2"/>
  <c r="I83" i="2"/>
  <c r="I915" i="2"/>
  <c r="I299" i="2"/>
  <c r="I916" i="2"/>
  <c r="I772" i="2"/>
  <c r="I775" i="2"/>
  <c r="I734" i="2"/>
  <c r="I115" i="2"/>
  <c r="I360" i="2"/>
  <c r="I473" i="2"/>
  <c r="I654" i="2"/>
  <c r="I519" i="2"/>
  <c r="I555" i="2"/>
  <c r="I872" i="2"/>
  <c r="I680" i="2"/>
  <c r="I634" i="2"/>
  <c r="I332" i="2"/>
  <c r="I279" i="2"/>
  <c r="I747" i="2"/>
  <c r="I438" i="2"/>
  <c r="I490" i="2"/>
  <c r="I776" i="2"/>
  <c r="I965" i="2"/>
  <c r="I100" i="2"/>
  <c r="I218" i="2"/>
  <c r="I411" i="2"/>
  <c r="I70" i="2"/>
  <c r="I576" i="2"/>
  <c r="I9" i="2"/>
  <c r="I339" i="2"/>
  <c r="I748" i="2"/>
  <c r="I833" i="2"/>
  <c r="I623" i="2"/>
  <c r="I612" i="2"/>
  <c r="I448" i="2"/>
  <c r="I312" i="2"/>
  <c r="I970" i="2"/>
  <c r="I98" i="2"/>
  <c r="I89" i="2"/>
  <c r="I509" i="2"/>
  <c r="I932" i="2"/>
  <c r="I144" i="2"/>
  <c r="I356" i="2"/>
  <c r="I49" i="2"/>
  <c r="I184" i="2"/>
  <c r="I921" i="2"/>
  <c r="I824" i="2"/>
  <c r="I809" i="2"/>
  <c r="I553" i="2"/>
  <c r="I306" i="2"/>
  <c r="I464" i="2"/>
  <c r="I388" i="2"/>
  <c r="I997" i="2"/>
  <c r="I382" i="2"/>
  <c r="I535" i="2"/>
  <c r="I246" i="2"/>
  <c r="I953" i="2"/>
  <c r="I263" i="2"/>
  <c r="I373" i="2"/>
  <c r="I28" i="2"/>
  <c r="I402" i="2"/>
  <c r="I595" i="2"/>
  <c r="I270" i="2"/>
  <c r="I427" i="2"/>
  <c r="I828" i="2"/>
  <c r="I860" i="2"/>
  <c r="I511" i="2"/>
  <c r="I374" i="2"/>
  <c r="I150" i="2"/>
  <c r="I899" i="2"/>
  <c r="I109" i="2"/>
  <c r="I771" i="2"/>
  <c r="I689" i="2"/>
  <c r="I615" i="2"/>
  <c r="I226" i="2"/>
  <c r="I686" i="2"/>
  <c r="I675" i="2"/>
  <c r="I665" i="2"/>
  <c r="I163" i="2"/>
  <c r="I518" i="2"/>
  <c r="I266" i="2"/>
  <c r="I331" i="2"/>
  <c r="I480" i="2"/>
  <c r="I855" i="2"/>
  <c r="I257" i="2"/>
  <c r="I136" i="2"/>
  <c r="I295" i="2"/>
  <c r="I76" i="2"/>
  <c r="I596" i="2"/>
  <c r="I702" i="2"/>
  <c r="I529" i="2"/>
  <c r="I614" i="2"/>
  <c r="I72" i="2"/>
  <c r="I968" i="2"/>
  <c r="I42" i="2"/>
  <c r="I63" i="2"/>
  <c r="I928" i="2"/>
  <c r="I164" i="2"/>
  <c r="I351" i="2"/>
  <c r="I672" i="2"/>
  <c r="I949" i="2"/>
  <c r="I790" i="2"/>
  <c r="I759" i="2"/>
  <c r="I750" i="2"/>
  <c r="I96" i="2"/>
  <c r="I919" i="2"/>
  <c r="I309" i="2"/>
  <c r="I687" i="2"/>
  <c r="I434" i="2"/>
  <c r="I905" i="2"/>
  <c r="I598" i="2"/>
  <c r="I12" i="2"/>
  <c r="I646" i="2"/>
  <c r="I15" i="2"/>
  <c r="I207" i="2"/>
  <c r="I861" i="2"/>
  <c r="I482" i="2"/>
  <c r="I984" i="2"/>
  <c r="I168" i="2"/>
  <c r="I811" i="2"/>
  <c r="I660" i="2"/>
  <c r="I368" i="2"/>
  <c r="I244" i="2"/>
  <c r="I50" i="2"/>
  <c r="I547" i="2"/>
  <c r="I814" i="2"/>
  <c r="I579" i="2"/>
  <c r="I648" i="2"/>
  <c r="I541" i="2"/>
  <c r="I993" i="2"/>
  <c r="I532" i="2"/>
  <c r="I886" i="2"/>
  <c r="I106" i="2"/>
  <c r="I644" i="2"/>
  <c r="I107" i="2"/>
  <c r="I552" i="2"/>
  <c r="I154" i="2"/>
  <c r="I342" i="2"/>
  <c r="I433" i="2"/>
  <c r="I267" i="2"/>
  <c r="I44" i="2"/>
  <c r="I597" i="2"/>
  <c r="I523" i="2"/>
  <c r="I954" i="2"/>
  <c r="I169" i="2"/>
  <c r="I564" i="2"/>
  <c r="I426" i="2"/>
  <c r="I981" i="2"/>
  <c r="I522" i="2"/>
  <c r="I395" i="2"/>
  <c r="I580" i="2"/>
  <c r="I408" i="2"/>
  <c r="I54" i="2"/>
  <c r="I794" i="2"/>
  <c r="I822" i="2"/>
  <c r="I516" i="2"/>
  <c r="I827" i="2"/>
  <c r="I846" i="2"/>
  <c r="I904" i="2"/>
  <c r="I543" i="2"/>
  <c r="I514" i="2"/>
  <c r="I871" i="2"/>
  <c r="I708" i="2"/>
  <c r="I653" i="2"/>
  <c r="I75" i="2"/>
  <c r="I889" i="2"/>
  <c r="I187" i="2"/>
  <c r="I704" i="2"/>
  <c r="I27" i="2"/>
  <c r="I911" i="2"/>
  <c r="I985" i="2"/>
  <c r="I212" i="2"/>
  <c r="I390" i="2"/>
  <c r="I90" i="2"/>
  <c r="I777" i="2"/>
  <c r="I714" i="2"/>
  <c r="I379" i="2"/>
  <c r="I132" i="2"/>
  <c r="I841" i="2"/>
  <c r="I868" i="2"/>
  <c r="I176" i="2"/>
  <c r="I73" i="2"/>
  <c r="I273" i="2"/>
  <c r="I403" i="2"/>
  <c r="I486" i="2"/>
  <c r="I711" i="2"/>
  <c r="I994" i="2"/>
  <c r="I966" i="2"/>
  <c r="I882" i="2"/>
  <c r="I898" i="2"/>
  <c r="I656" i="2"/>
  <c r="I666" i="2"/>
  <c r="I247" i="2"/>
  <c r="I863" i="2"/>
  <c r="I200" i="2"/>
  <c r="I812" i="2"/>
  <c r="I583" i="2"/>
  <c r="I902" i="2"/>
  <c r="I917" i="2"/>
  <c r="I288" i="2"/>
  <c r="I763" i="2"/>
  <c r="I498" i="2"/>
  <c r="I741" i="2"/>
  <c r="I810" i="2"/>
  <c r="I495" i="2"/>
  <c r="I955" i="2"/>
  <c r="I160" i="2"/>
  <c r="I423" i="2"/>
  <c r="I618" i="2"/>
  <c r="I120" i="2"/>
  <c r="I716" i="2"/>
  <c r="I925" i="2"/>
  <c r="I74" i="2"/>
  <c r="I399" i="2"/>
  <c r="I525" i="2"/>
  <c r="I690" i="2"/>
  <c r="I779" i="2"/>
  <c r="I465" i="2"/>
  <c r="I222" i="2"/>
  <c r="I835" i="2"/>
  <c r="I36" i="2"/>
  <c r="I352" i="2"/>
  <c r="I345" i="2"/>
  <c r="I119" i="2"/>
  <c r="I782" i="2"/>
  <c r="I938" i="2"/>
  <c r="I721" i="2"/>
  <c r="I173" i="2"/>
  <c r="I362" i="2"/>
  <c r="I485" i="2"/>
  <c r="I204" i="2"/>
  <c r="I77" i="2"/>
  <c r="I924" i="2"/>
  <c r="I302" i="2"/>
  <c r="I743" i="2"/>
  <c r="I645" i="2"/>
  <c r="I856" i="2"/>
  <c r="I627" i="2"/>
  <c r="I242" i="2"/>
  <c r="I277" i="2"/>
  <c r="I53" i="2"/>
  <c r="I422" i="2"/>
  <c r="I319" i="2"/>
  <c r="I813" i="2"/>
  <c r="I91" i="2"/>
  <c r="I944" i="2"/>
  <c r="I880" i="2"/>
  <c r="I224" i="2"/>
  <c r="I957" i="2"/>
  <c r="I831" i="2"/>
  <c r="I289" i="2"/>
  <c r="I639" i="2"/>
  <c r="I133" i="2"/>
  <c r="I346" i="2"/>
  <c r="I192" i="2"/>
  <c r="I450" i="2"/>
  <c r="I61" i="2"/>
  <c r="I582" i="2"/>
  <c r="I389" i="2"/>
  <c r="I573" i="2"/>
  <c r="I751" i="2"/>
  <c r="I153" i="2"/>
  <c r="I282" i="2"/>
  <c r="I343" i="2"/>
  <c r="I235" i="2"/>
  <c r="I254" i="2"/>
  <c r="I181" i="2"/>
  <c r="I416" i="2"/>
  <c r="I291" i="2"/>
  <c r="I584" i="2"/>
  <c r="I145" i="2"/>
  <c r="I684" i="2"/>
  <c r="I611" i="2"/>
  <c r="I605" i="2"/>
  <c r="I712" i="2"/>
  <c r="I349" i="2"/>
  <c r="I934" i="2"/>
  <c r="I223" i="2"/>
  <c r="I574" i="2"/>
  <c r="I975" i="2"/>
  <c r="I378" i="2"/>
  <c r="I838" i="2"/>
  <c r="I671" i="2"/>
  <c r="I80" i="2"/>
  <c r="I770" i="2"/>
  <c r="I104" i="2"/>
  <c r="I38" i="2"/>
  <c r="I805" i="2"/>
  <c r="I134" i="2"/>
  <c r="I420" i="2"/>
  <c r="I534" i="2"/>
  <c r="I820" i="2"/>
  <c r="I674" i="2"/>
  <c r="I539" i="2"/>
  <c r="I527" i="2"/>
  <c r="I335" i="2"/>
  <c r="I471" i="2"/>
  <c r="I682" i="2"/>
  <c r="I43" i="2"/>
  <c r="I528" i="2"/>
  <c r="I728" i="2"/>
  <c r="I180" i="2"/>
  <c r="I697" i="2"/>
  <c r="I78" i="2"/>
  <c r="I659" i="2"/>
  <c r="I142" i="2"/>
  <c r="I206" i="2"/>
  <c r="I25" i="2"/>
  <c r="I839" i="2"/>
  <c r="I239" i="2"/>
  <c r="I16" i="2"/>
  <c r="I477" i="2"/>
  <c r="I461" i="2"/>
  <c r="I998" i="2"/>
  <c r="I866" i="2"/>
  <c r="I715" i="2"/>
  <c r="I65" i="2"/>
  <c r="I375" i="2"/>
  <c r="I7" i="2"/>
  <c r="I951" i="2"/>
  <c r="I625" i="2"/>
  <c r="I237" i="2"/>
  <c r="I647" i="2"/>
  <c r="I470" i="2"/>
  <c r="I845" i="2"/>
  <c r="I57" i="2"/>
  <c r="I837" i="2"/>
  <c r="I460" i="2"/>
  <c r="I431" i="2"/>
  <c r="I725" i="2"/>
  <c r="I456" i="2"/>
  <c r="I341" i="2"/>
  <c r="I963" i="2"/>
  <c r="I830" i="2"/>
  <c r="I366" i="2"/>
  <c r="I744" i="2"/>
  <c r="I676" i="2"/>
  <c r="I803" i="2"/>
  <c r="I606" i="2"/>
  <c r="I430" i="2"/>
  <c r="I494" i="2"/>
  <c r="I387" i="2"/>
  <c r="I874" i="2"/>
  <c r="I320" i="2"/>
  <c r="I392" i="2"/>
  <c r="I723" i="2"/>
  <c r="I536" i="2"/>
  <c r="I285" i="2"/>
  <c r="I105" i="2"/>
  <c r="I540" i="2"/>
  <c r="I30" i="2"/>
  <c r="I780" i="2"/>
  <c r="I557" i="2"/>
  <c r="I632" i="2"/>
  <c r="I736" i="2"/>
  <c r="I278" i="2"/>
  <c r="I472" i="2"/>
  <c r="I258" i="2"/>
  <c r="I561" i="2"/>
  <c r="I227" i="2"/>
  <c r="I840" i="2"/>
  <c r="I737" i="2"/>
  <c r="I241" i="2"/>
  <c r="I161" i="2"/>
  <c r="I148" i="2"/>
  <c r="I468" i="2"/>
  <c r="I82" i="2"/>
  <c r="I292" i="2"/>
  <c r="I802" i="2"/>
  <c r="I817" i="2"/>
  <c r="I205" i="2"/>
  <c r="I359" i="2"/>
  <c r="I240" i="2"/>
  <c r="I950" i="2"/>
  <c r="I948" i="2"/>
  <c r="I808" i="2"/>
  <c r="I865" i="2"/>
  <c r="I565" i="2"/>
  <c r="I996" i="2"/>
  <c r="I307" i="2"/>
  <c r="I931" i="2"/>
  <c r="I588" i="2"/>
  <c r="I608" i="2"/>
  <c r="I439" i="2"/>
  <c r="I941" i="2"/>
  <c r="I128" i="2"/>
  <c r="I385" i="2"/>
  <c r="I167" i="2"/>
  <c r="I308" i="2"/>
  <c r="I859" i="2"/>
  <c r="I367" i="2"/>
  <c r="I305" i="2"/>
  <c r="I459" i="2"/>
  <c r="I457" i="2"/>
  <c r="I45" i="2"/>
  <c r="I271" i="2"/>
  <c r="I131" i="2"/>
  <c r="I720" i="2"/>
  <c r="I139" i="2"/>
  <c r="I301" i="2"/>
  <c r="I110" i="2"/>
  <c r="I549" i="2"/>
  <c r="I496" i="2"/>
  <c r="I97" i="2"/>
  <c r="I893" i="2"/>
  <c r="I336" i="2"/>
  <c r="I867" i="2"/>
  <c r="I249" i="2"/>
  <c r="I967" i="2"/>
  <c r="I613" i="2"/>
  <c r="I853" i="2"/>
  <c r="I264" i="2"/>
  <c r="I69" i="2"/>
  <c r="I2" i="2"/>
  <c r="I927" i="2"/>
  <c r="I881" i="2"/>
  <c r="I484" i="2"/>
  <c r="I796" i="2"/>
  <c r="I24" i="2"/>
  <c r="I325" i="2"/>
  <c r="I125" i="2"/>
  <c r="I189" i="2"/>
  <c r="I556" i="2"/>
  <c r="I877" i="2"/>
  <c r="I864" i="2"/>
  <c r="I876" i="2"/>
  <c r="I590" i="2"/>
  <c r="I159" i="2"/>
  <c r="I407" i="2"/>
  <c r="I294" i="2"/>
  <c r="I68" i="2"/>
  <c r="I47" i="2"/>
  <c r="I59" i="2"/>
  <c r="I130" i="2"/>
  <c r="I651" i="2"/>
  <c r="I202" i="2"/>
  <c r="I245" i="2"/>
  <c r="I13" i="2"/>
  <c r="I652" i="2"/>
  <c r="I46" i="2"/>
  <c r="I766" i="2"/>
  <c r="I508" i="2"/>
  <c r="I261" i="2"/>
  <c r="I695" i="2"/>
  <c r="I60" i="2"/>
  <c r="I709" i="2"/>
  <c r="I703" i="2"/>
  <c r="I591" i="2"/>
  <c r="I760" i="2"/>
  <c r="I768" i="2"/>
  <c r="I850" i="2"/>
  <c r="I228" i="2"/>
  <c r="I622" i="2"/>
  <c r="I364" i="2"/>
  <c r="I914" i="2"/>
  <c r="I177" i="2"/>
  <c r="I170" i="2"/>
  <c r="I467" i="2"/>
  <c r="I537" i="2"/>
  <c r="I354" i="2"/>
  <c r="I870" i="2"/>
  <c r="I991" i="2"/>
  <c r="I146" i="2"/>
  <c r="I531" i="2"/>
  <c r="I640" i="2"/>
  <c r="I604" i="2"/>
  <c r="I193" i="2"/>
  <c r="I610" i="2"/>
  <c r="I662" i="2"/>
  <c r="I825" i="2"/>
  <c r="I209" i="2"/>
  <c r="I761" i="2"/>
  <c r="I503" i="2"/>
  <c r="I630" i="2"/>
  <c r="I512" i="2"/>
  <c r="I620" i="2"/>
  <c r="I663" i="2"/>
  <c r="I542" i="2"/>
  <c r="I397" i="2"/>
  <c r="I986" i="2"/>
  <c r="I172" i="2"/>
  <c r="I726" i="2"/>
  <c r="I869" i="2"/>
  <c r="I685" i="2"/>
  <c r="I478" i="2"/>
  <c r="I799" i="2"/>
  <c r="I323" i="2"/>
  <c r="I324" i="2"/>
  <c r="I559" i="2"/>
  <c r="I816" i="2"/>
  <c r="I586" i="2"/>
  <c r="I52" i="2"/>
  <c r="I793" i="2"/>
  <c r="I930" i="2"/>
  <c r="I600" i="2"/>
  <c r="I710" i="2"/>
  <c r="I126" i="2"/>
  <c r="I502" i="2"/>
  <c r="I668" i="2"/>
  <c r="I601" i="2"/>
  <c r="I890" i="2"/>
  <c r="I862" i="2"/>
  <c r="I317" i="2"/>
  <c r="I692" i="2"/>
  <c r="I231" i="2"/>
  <c r="I795" i="2"/>
  <c r="I946" i="2"/>
  <c r="I391" i="2"/>
  <c r="I121" i="2"/>
  <c r="I182" i="2"/>
  <c r="I394" i="2"/>
  <c r="I138" i="2"/>
  <c r="I801" i="2"/>
  <c r="I380" i="2"/>
  <c r="I440" i="2"/>
  <c r="I405" i="2"/>
  <c r="I735" i="2"/>
  <c r="I358" i="2"/>
  <c r="I253" i="2"/>
  <c r="I740" i="2"/>
  <c r="I854" i="2"/>
  <c r="I71" i="2"/>
  <c r="I409" i="2"/>
  <c r="I297" i="2"/>
  <c r="I428" i="2"/>
  <c r="I638" i="2"/>
  <c r="I476" i="2"/>
  <c r="I321" i="2"/>
  <c r="I353" i="2"/>
  <c r="I572" i="2"/>
  <c r="I858" i="2"/>
  <c r="I400" i="2"/>
  <c r="I451" i="2"/>
  <c r="I520" i="2"/>
  <c r="I977" i="2"/>
  <c r="I129" i="2"/>
  <c r="I421" i="2"/>
  <c r="I274" i="2"/>
  <c r="I233" i="2"/>
  <c r="I203" i="2"/>
  <c r="I667" i="2"/>
  <c r="I992" i="2"/>
  <c r="I377" i="2"/>
  <c r="I513" i="2"/>
  <c r="I885" i="2"/>
  <c r="I641" i="2"/>
  <c r="I94" i="2"/>
  <c r="I340" i="2"/>
  <c r="I281" i="2"/>
  <c r="I462" i="2"/>
  <c r="I269" i="2"/>
  <c r="I908" i="2"/>
  <c r="I753" i="2"/>
  <c r="I538" i="2"/>
  <c r="I903" i="2"/>
  <c r="I800" i="2"/>
  <c r="I767" i="2"/>
  <c r="I178" i="2"/>
  <c r="I701" i="2"/>
  <c r="I558" i="2"/>
  <c r="I32" i="2"/>
  <c r="I569" i="2"/>
  <c r="I64" i="2"/>
  <c r="I248" i="2"/>
  <c r="I982" i="2"/>
  <c r="I35" i="2"/>
  <c r="I20" i="2"/>
  <c r="I58" i="2"/>
  <c r="I500" i="2"/>
  <c r="I259" i="2"/>
  <c r="I10" i="2"/>
  <c r="I188" i="2"/>
  <c r="I560" i="2"/>
  <c r="I56" i="2"/>
  <c r="I348" i="2"/>
  <c r="I806" i="2"/>
  <c r="I696" i="2"/>
  <c r="I894" i="2"/>
  <c r="I474" i="2"/>
  <c r="I554" i="2"/>
  <c r="I952" i="2"/>
  <c r="I230" i="2"/>
  <c r="I410" i="2"/>
  <c r="I834" i="2"/>
  <c r="I789" i="2"/>
  <c r="I103" i="2"/>
  <c r="I425" i="2"/>
  <c r="I678" i="2"/>
  <c r="I912" i="2"/>
  <c r="I300" i="2"/>
  <c r="I363" i="2"/>
  <c r="I587" i="2"/>
  <c r="I603" i="2"/>
  <c r="I578" i="2"/>
  <c r="I943" i="2"/>
  <c r="I745" i="2"/>
  <c r="I791" i="2"/>
  <c r="I424" i="2"/>
  <c r="I22" i="2"/>
  <c r="I940" i="2"/>
  <c r="I198" i="2"/>
  <c r="I165" i="2"/>
  <c r="I755" i="2"/>
  <c r="I786" i="2"/>
  <c r="I442" i="2"/>
  <c r="I175" i="2"/>
  <c r="I818" i="2"/>
  <c r="I445" i="2"/>
  <c r="I787" i="2"/>
  <c r="I499" i="2"/>
  <c r="I910" i="2"/>
  <c r="I220" i="2"/>
  <c r="I717" i="2"/>
  <c r="I939" i="2"/>
  <c r="I920" i="2"/>
  <c r="I347" i="2"/>
  <c r="I999" i="2"/>
  <c r="I727" i="2"/>
  <c r="I757" i="2"/>
  <c r="I631" i="2"/>
  <c r="I447" i="2"/>
  <c r="I196" i="2"/>
  <c r="I286" i="2"/>
  <c r="I980" i="2"/>
  <c r="I713" i="2"/>
  <c r="I804" i="2"/>
  <c r="I628" i="2"/>
  <c r="I635" i="2"/>
  <c r="I37" i="2"/>
  <c r="I201" i="2"/>
  <c r="I546" i="2"/>
  <c r="I453" i="2"/>
  <c r="I974" i="2"/>
  <c r="I369" i="2"/>
  <c r="I896" i="2"/>
  <c r="I783" i="2"/>
  <c r="I515" i="2"/>
  <c r="I730" i="2"/>
  <c r="I746" i="2"/>
  <c r="I127" i="2"/>
  <c r="I489" i="2"/>
  <c r="I393" i="2"/>
  <c r="I443" i="2"/>
  <c r="I350" i="2"/>
  <c r="I466" i="2"/>
  <c r="I836" i="2"/>
  <c r="I901" i="2"/>
  <c r="I742" i="2"/>
  <c r="I506" i="2"/>
  <c r="I875" i="2"/>
  <c r="I906" i="2"/>
  <c r="I114" i="2"/>
  <c r="I619" i="2"/>
  <c r="I386" i="2"/>
  <c r="I844" i="2"/>
  <c r="I84" i="2"/>
  <c r="I847" i="2"/>
  <c r="I33" i="2"/>
  <c r="I849" i="2"/>
  <c r="I376" i="2"/>
  <c r="I577" i="2"/>
  <c r="I276" i="2"/>
  <c r="I355" i="2"/>
  <c r="I487" i="2"/>
  <c r="I593" i="2"/>
  <c r="I41" i="2"/>
  <c r="I313" i="2"/>
  <c r="I571" i="2"/>
  <c r="I326" i="2"/>
  <c r="I945" i="2"/>
  <c r="I304" i="2"/>
  <c r="I964" i="2"/>
  <c r="I79" i="2"/>
  <c r="I330" i="2"/>
  <c r="I417" i="2"/>
  <c r="I987" i="2"/>
  <c r="I334" i="2"/>
  <c r="I548" i="2"/>
  <c r="I290" i="2"/>
  <c r="I602" i="2"/>
  <c r="I384" i="2"/>
  <c r="I592" i="2"/>
  <c r="I961" i="2"/>
  <c r="I756" i="2"/>
  <c r="I357" i="2"/>
  <c r="I677" i="2"/>
  <c r="I636" i="2"/>
  <c r="I40" i="2"/>
  <c r="I157" i="2"/>
  <c r="I225" i="2"/>
  <c r="I311" i="2"/>
  <c r="I897" i="2"/>
  <c r="I143" i="2"/>
  <c r="I34" i="2"/>
  <c r="I152" i="2"/>
  <c r="I935" i="2"/>
  <c r="I655" i="2"/>
  <c r="I481" i="2"/>
  <c r="I429" i="2"/>
  <c r="I664" i="2"/>
  <c r="I123" i="2"/>
  <c r="I909" i="2"/>
  <c r="I857" i="2"/>
  <c r="I942" i="2"/>
  <c r="I337" i="2"/>
  <c r="I404" i="2"/>
  <c r="I732" i="2"/>
  <c r="I183" i="2"/>
  <c r="I933" i="2"/>
  <c r="I262" i="2"/>
  <c r="I637" i="2"/>
  <c r="I283" i="2"/>
  <c r="I788" i="2"/>
  <c r="I959" i="2"/>
  <c r="B883" i="2"/>
  <c r="D688" i="2"/>
  <c r="H688" i="2" s="1"/>
  <c r="D883" i="2"/>
  <c r="H883" i="2" s="1"/>
  <c r="D418" i="2"/>
  <c r="H418" i="2" s="1"/>
  <c r="D92" i="2"/>
  <c r="H92" i="2" s="1"/>
  <c r="D669" i="2"/>
  <c r="H669" i="2" s="1"/>
  <c r="D488" i="2"/>
  <c r="H488" i="2" s="1"/>
  <c r="D731" i="2"/>
  <c r="H731" i="2" s="1"/>
  <c r="D626" i="2"/>
  <c r="H626" i="2" s="1"/>
  <c r="D887" i="2"/>
  <c r="H887" i="2" s="1"/>
  <c r="D797" i="2"/>
  <c r="H797" i="2" s="1"/>
  <c r="D657" i="2"/>
  <c r="H657" i="2" s="1"/>
  <c r="D581" i="2"/>
  <c r="H581" i="2" s="1"/>
  <c r="D316" i="2"/>
  <c r="H316" i="2" s="1"/>
  <c r="D396" i="2"/>
  <c r="H396" i="2" s="1"/>
  <c r="D698" i="2"/>
  <c r="H698" i="2" s="1"/>
  <c r="D18" i="2"/>
  <c r="H18" i="2" s="1"/>
  <c r="D629" i="2"/>
  <c r="D51" i="2"/>
  <c r="H51" i="2" s="1"/>
  <c r="D873" i="2"/>
  <c r="H873" i="2" s="1"/>
  <c r="D575" i="2"/>
  <c r="H575" i="2" s="1"/>
  <c r="D774" i="2"/>
  <c r="H774" i="2" s="1"/>
  <c r="D976" i="2"/>
  <c r="D891" i="2"/>
  <c r="H891" i="2" s="1"/>
  <c r="D463" i="2"/>
  <c r="H463" i="2" s="1"/>
  <c r="D116" i="2"/>
  <c r="H116" i="2" s="1"/>
  <c r="D66" i="2"/>
  <c r="H66" i="2" s="1"/>
  <c r="D705" i="2"/>
  <c r="H705" i="2" s="1"/>
  <c r="D93" i="2"/>
  <c r="H93" i="2" s="1"/>
  <c r="D275" i="2"/>
  <c r="H275" i="2" s="1"/>
  <c r="D990" i="2"/>
  <c r="H990" i="2" s="1"/>
  <c r="D243" i="2"/>
  <c r="H243" i="2" s="1"/>
  <c r="D454" i="2"/>
  <c r="H454" i="2" s="1"/>
  <c r="D214" i="2"/>
  <c r="H214" i="2" s="1"/>
  <c r="D738" i="2"/>
  <c r="H738" i="2" s="1"/>
  <c r="D208" i="2"/>
  <c r="H208" i="2" s="1"/>
  <c r="D55" i="2"/>
  <c r="H55" i="2" s="1"/>
  <c r="D567" i="2"/>
  <c r="H567" i="2" s="1"/>
  <c r="D829" i="2"/>
  <c r="H829" i="2" s="1"/>
  <c r="D252" i="2"/>
  <c r="H252" i="2" s="1"/>
  <c r="D469" i="2"/>
  <c r="H469" i="2" s="1"/>
  <c r="D900" i="2"/>
  <c r="H900" i="2" s="1"/>
  <c r="D190" i="2"/>
  <c r="H190" i="2" s="1"/>
  <c r="D510" i="2"/>
  <c r="H510" i="2" s="1"/>
  <c r="D749" i="2"/>
  <c r="H749" i="2" s="1"/>
  <c r="D147" i="2"/>
  <c r="H147" i="2" s="1"/>
  <c r="D234" i="2"/>
  <c r="H234" i="2" s="1"/>
  <c r="D773" i="2"/>
  <c r="H773" i="2" s="1"/>
  <c r="D8" i="2"/>
  <c r="D913" i="2"/>
  <c r="D211" i="2"/>
  <c r="H211" i="2" s="1"/>
  <c r="D475" i="2"/>
  <c r="H475" i="2" s="1"/>
  <c r="D29" i="2"/>
  <c r="H29" i="2" s="1"/>
  <c r="D4" i="2"/>
  <c r="H4" i="2" s="1"/>
  <c r="D14" i="2"/>
  <c r="H14" i="2" s="1"/>
  <c r="D679" i="2"/>
  <c r="H679" i="2" s="1"/>
  <c r="D607" i="2"/>
  <c r="H607" i="2" s="1"/>
  <c r="D815" i="2"/>
  <c r="H815" i="2" s="1"/>
  <c r="D149" i="2"/>
  <c r="H149" i="2" s="1"/>
  <c r="D39" i="2"/>
  <c r="H39" i="2" s="1"/>
  <c r="D108" i="2"/>
  <c r="H108" i="2" s="1"/>
  <c r="D310" i="2"/>
  <c r="H310" i="2" s="1"/>
  <c r="D194" i="2"/>
  <c r="H194" i="2" s="1"/>
  <c r="D102" i="2"/>
  <c r="H102" i="2" s="1"/>
  <c r="D969" i="2"/>
  <c r="H969" i="2" s="1"/>
  <c r="D570" i="2"/>
  <c r="H570" i="2" s="1"/>
  <c r="D895" i="2"/>
  <c r="H895" i="2" s="1"/>
  <c r="D401" i="2"/>
  <c r="H401" i="2" s="1"/>
  <c r="D594" i="2"/>
  <c r="H594" i="2" s="1"/>
  <c r="D446" i="2"/>
  <c r="D406" i="2"/>
  <c r="D412" i="2"/>
  <c r="H412" i="2" s="1"/>
  <c r="D566" i="2"/>
  <c r="H566" i="2" s="1"/>
  <c r="D155" i="2"/>
  <c r="H155" i="2" s="1"/>
  <c r="D616" i="2"/>
  <c r="H616" i="2" s="1"/>
  <c r="D303" i="2"/>
  <c r="H303" i="2" s="1"/>
  <c r="D754" i="2"/>
  <c r="H754" i="2" s="1"/>
  <c r="D497" i="2"/>
  <c r="H497" i="2" s="1"/>
  <c r="D287" i="2"/>
  <c r="H287" i="2" s="1"/>
  <c r="D87" i="2"/>
  <c r="H87" i="2" s="1"/>
  <c r="D215" i="2"/>
  <c r="H215" i="2" s="1"/>
  <c r="D492" i="2"/>
  <c r="D122" i="2"/>
  <c r="H122" i="2" s="1"/>
  <c r="D764" i="2"/>
  <c r="H764" i="2" s="1"/>
  <c r="D219" i="2"/>
  <c r="H219" i="2" s="1"/>
  <c r="D265" i="2"/>
  <c r="D922" i="2"/>
  <c r="D166" i="2"/>
  <c r="H166" i="2" s="1"/>
  <c r="D733" i="2"/>
  <c r="H733" i="2" s="1"/>
  <c r="D260" i="2"/>
  <c r="H260" i="2" s="1"/>
  <c r="D112" i="2"/>
  <c r="H112" i="2" s="1"/>
  <c r="D693" i="2"/>
  <c r="H693" i="2" s="1"/>
  <c r="D507" i="2"/>
  <c r="H507" i="2" s="1"/>
  <c r="D778" i="2"/>
  <c r="H778" i="2" s="1"/>
  <c r="D11" i="2"/>
  <c r="H11" i="2" s="1"/>
  <c r="D962" i="2"/>
  <c r="H962" i="2" s="1"/>
  <c r="D700" i="2"/>
  <c r="H700" i="2" s="1"/>
  <c r="D85" i="2"/>
  <c r="H85" i="2" s="1"/>
  <c r="D798" i="2"/>
  <c r="H798" i="2" s="1"/>
  <c r="D199" i="2"/>
  <c r="H199" i="2" s="1"/>
  <c r="D344" i="2"/>
  <c r="H344" i="2" s="1"/>
  <c r="D137" i="2"/>
  <c r="H137" i="2" s="1"/>
  <c r="D135" i="2"/>
  <c r="H135" i="2" s="1"/>
  <c r="D413" i="2"/>
  <c r="H413" i="2" s="1"/>
  <c r="D156" i="2"/>
  <c r="H156" i="2" s="1"/>
  <c r="D236" i="2"/>
  <c r="H236" i="2" s="1"/>
  <c r="D419" i="2"/>
  <c r="H419" i="2" s="1"/>
  <c r="D658" i="2"/>
  <c r="H658" i="2" s="1"/>
  <c r="D526" i="2"/>
  <c r="H526" i="2" s="1"/>
  <c r="D280" i="2"/>
  <c r="H280" i="2" s="1"/>
  <c r="D88" i="2"/>
  <c r="H88" i="2" s="1"/>
  <c r="D213" i="2"/>
  <c r="H213" i="2" s="1"/>
  <c r="D936" i="2"/>
  <c r="D550" i="2"/>
  <c r="H550" i="2" s="1"/>
  <c r="D111" i="2"/>
  <c r="H111" i="2" s="1"/>
  <c r="D5" i="2"/>
  <c r="H5" i="2" s="1"/>
  <c r="D255" i="2"/>
  <c r="H255" i="2" s="1"/>
  <c r="D785" i="2"/>
  <c r="H785" i="2" s="1"/>
  <c r="D186" i="2"/>
  <c r="D551" i="2"/>
  <c r="D851" i="2"/>
  <c r="H851" i="2" s="1"/>
  <c r="D819" i="2"/>
  <c r="H819" i="2" s="1"/>
  <c r="D633" i="2"/>
  <c r="H633" i="2" s="1"/>
  <c r="D784" i="2"/>
  <c r="H784" i="2" s="1"/>
  <c r="D706" i="2"/>
  <c r="H706" i="2" s="1"/>
  <c r="D807" i="2"/>
  <c r="H807" i="2" s="1"/>
  <c r="D718" i="2"/>
  <c r="H718" i="2" s="1"/>
  <c r="D589" i="2"/>
  <c r="H589" i="2" s="1"/>
  <c r="D947" i="2"/>
  <c r="H947" i="2" s="1"/>
  <c r="D117" i="2"/>
  <c r="H117" i="2" s="1"/>
  <c r="D765" i="2"/>
  <c r="H765" i="2" s="1"/>
  <c r="D415" i="2"/>
  <c r="H415" i="2" s="1"/>
  <c r="D361" i="2"/>
  <c r="H361" i="2" s="1"/>
  <c r="D681" i="2"/>
  <c r="H681" i="2" s="1"/>
  <c r="D250" i="2"/>
  <c r="D329" i="2"/>
  <c r="D972" i="2"/>
  <c r="H972" i="2" s="1"/>
  <c r="D670" i="2"/>
  <c r="H670" i="2" s="1"/>
  <c r="D314" i="2"/>
  <c r="H314" i="2" s="1"/>
  <c r="D174" i="2"/>
  <c r="H174" i="2" s="1"/>
  <c r="D333" i="2"/>
  <c r="H333" i="2" s="1"/>
  <c r="D907" i="2"/>
  <c r="H907" i="2" s="1"/>
  <c r="D699" i="2"/>
  <c r="H699" i="2" s="1"/>
  <c r="D929" i="2"/>
  <c r="H929" i="2" s="1"/>
  <c r="D752" i="2"/>
  <c r="D141" i="2"/>
  <c r="H141" i="2" s="1"/>
  <c r="D544" i="2"/>
  <c r="H544" i="2" s="1"/>
  <c r="D284" i="2"/>
  <c r="H284" i="2" s="1"/>
  <c r="D960" i="2"/>
  <c r="H960" i="2" s="1"/>
  <c r="D210" i="2"/>
  <c r="H210" i="2" s="1"/>
  <c r="D926" i="2"/>
  <c r="D823" i="2"/>
  <c r="D298" i="2"/>
  <c r="H298" i="2" s="1"/>
  <c r="D197" i="2"/>
  <c r="H197" i="2" s="1"/>
  <c r="D832" i="2"/>
  <c r="H832" i="2" s="1"/>
  <c r="D843" i="2"/>
  <c r="H843" i="2" s="1"/>
  <c r="D232" i="2"/>
  <c r="H232" i="2" s="1"/>
  <c r="D26" i="2"/>
  <c r="H26" i="2" s="1"/>
  <c r="D3" i="2"/>
  <c r="H3" i="2" s="1"/>
  <c r="D21" i="2"/>
  <c r="H21" i="2" s="1"/>
  <c r="D879" i="2"/>
  <c r="H879" i="2" s="1"/>
  <c r="D372" i="2"/>
  <c r="H372" i="2" s="1"/>
  <c r="D923" i="2"/>
  <c r="H923" i="2" s="1"/>
  <c r="D691" i="2"/>
  <c r="H691" i="2" s="1"/>
  <c r="D315" i="2"/>
  <c r="H315" i="2" s="1"/>
  <c r="D185" i="2"/>
  <c r="H185" i="2" s="1"/>
  <c r="D533" i="2"/>
  <c r="H533" i="2" s="1"/>
  <c r="D195" i="2"/>
  <c r="H195" i="2" s="1"/>
  <c r="D452" i="2"/>
  <c r="H452" i="2" s="1"/>
  <c r="D296" i="2"/>
  <c r="H296" i="2" s="1"/>
  <c r="D338" i="2"/>
  <c r="H338" i="2" s="1"/>
  <c r="D31" i="2"/>
  <c r="H31" i="2" s="1"/>
  <c r="D563" i="2"/>
  <c r="H563" i="2" s="1"/>
  <c r="D414" i="2"/>
  <c r="H414" i="2" s="1"/>
  <c r="D973" i="2"/>
  <c r="H973" i="2" s="1"/>
  <c r="D505" i="2"/>
  <c r="H505" i="2" s="1"/>
  <c r="D888" i="2"/>
  <c r="D848" i="2"/>
  <c r="H848" i="2" s="1"/>
  <c r="D151" i="2"/>
  <c r="H151" i="2" s="1"/>
  <c r="D719" i="2"/>
  <c r="H719" i="2" s="1"/>
  <c r="D568" i="2"/>
  <c r="H568" i="2" s="1"/>
  <c r="D729" i="2"/>
  <c r="H729" i="2" s="1"/>
  <c r="D140" i="2"/>
  <c r="H140" i="2" s="1"/>
  <c r="D458" i="2"/>
  <c r="H458" i="2" s="1"/>
  <c r="D826" i="2"/>
  <c r="D6" i="2"/>
  <c r="H6" i="2" s="1"/>
  <c r="D978" i="2"/>
  <c r="H978" i="2" s="1"/>
  <c r="D435" i="2"/>
  <c r="H435" i="2" s="1"/>
  <c r="D769" i="2"/>
  <c r="D624" i="2"/>
  <c r="H624" i="2" s="1"/>
  <c r="D988" i="2"/>
  <c r="H988" i="2" s="1"/>
  <c r="D762" i="2"/>
  <c r="H762" i="2" s="1"/>
  <c r="D545" i="2"/>
  <c r="H545" i="2" s="1"/>
  <c r="D937" i="2"/>
  <c r="H937" i="2" s="1"/>
  <c r="D821" i="2"/>
  <c r="H821" i="2" s="1"/>
  <c r="D272" i="2"/>
  <c r="H272" i="2" s="1"/>
  <c r="D62" i="2"/>
  <c r="H62" i="2" s="1"/>
  <c r="D979" i="2"/>
  <c r="H979" i="2" s="1"/>
  <c r="D118" i="2"/>
  <c r="H118" i="2" s="1"/>
  <c r="D216" i="2"/>
  <c r="H216" i="2" s="1"/>
  <c r="D322" i="2"/>
  <c r="D229" i="2"/>
  <c r="H229" i="2" s="1"/>
  <c r="D989" i="2"/>
  <c r="H989" i="2" s="1"/>
  <c r="D884" i="2"/>
  <c r="H884" i="2" s="1"/>
  <c r="D328" i="2"/>
  <c r="D958" i="2"/>
  <c r="H958" i="2" s="1"/>
  <c r="D383" i="2"/>
  <c r="H383" i="2" s="1"/>
  <c r="D724" i="2"/>
  <c r="H724" i="2" s="1"/>
  <c r="D694" i="2"/>
  <c r="D432" i="2"/>
  <c r="H432" i="2" s="1"/>
  <c r="D781" i="2"/>
  <c r="H781" i="2" s="1"/>
  <c r="D892" i="2"/>
  <c r="H892" i="2" s="1"/>
  <c r="D293" i="2"/>
  <c r="H293" i="2" s="1"/>
  <c r="D171" i="2"/>
  <c r="H171" i="2" s="1"/>
  <c r="D124" i="2"/>
  <c r="H124" i="2" s="1"/>
  <c r="D491" i="2"/>
  <c r="H491" i="2" s="1"/>
  <c r="D758" i="2"/>
  <c r="H758" i="2" s="1"/>
  <c r="D983" i="2"/>
  <c r="H983" i="2" s="1"/>
  <c r="D956" i="2"/>
  <c r="H956" i="2" s="1"/>
  <c r="D398" i="2"/>
  <c r="H398" i="2" s="1"/>
  <c r="D971" i="2"/>
  <c r="H971" i="2" s="1"/>
  <c r="D101" i="2"/>
  <c r="D649" i="2"/>
  <c r="D268" i="2"/>
  <c r="H268" i="2" s="1"/>
  <c r="D722" i="2"/>
  <c r="H722" i="2" s="1"/>
  <c r="D86" i="2"/>
  <c r="H86" i="2" s="1"/>
  <c r="D479" i="2"/>
  <c r="H479" i="2" s="1"/>
  <c r="D501" i="2"/>
  <c r="H501" i="2" s="1"/>
  <c r="D238" i="2"/>
  <c r="H238" i="2" s="1"/>
  <c r="D1000" i="2"/>
  <c r="H1000" i="2" s="1"/>
  <c r="D643" i="2"/>
  <c r="H643" i="2" s="1"/>
  <c r="D158" i="2"/>
  <c r="H158" i="2" s="1"/>
  <c r="D650" i="2"/>
  <c r="H650" i="2" s="1"/>
  <c r="D221" i="2"/>
  <c r="H221" i="2" s="1"/>
  <c r="D483" i="2"/>
  <c r="H483" i="2" s="1"/>
  <c r="D562" i="2"/>
  <c r="H562" i="2" s="1"/>
  <c r="D437" i="2"/>
  <c r="H437" i="2" s="1"/>
  <c r="D621" i="2"/>
  <c r="H621" i="2" s="1"/>
  <c r="D444" i="2"/>
  <c r="H444" i="2" s="1"/>
  <c r="D113" i="2"/>
  <c r="H113" i="2" s="1"/>
  <c r="D792" i="2"/>
  <c r="D191" i="2"/>
  <c r="H191" i="2" s="1"/>
  <c r="D918" i="2"/>
  <c r="H918" i="2" s="1"/>
  <c r="D517" i="2"/>
  <c r="H517" i="2" s="1"/>
  <c r="D217" i="2"/>
  <c r="H217" i="2" s="1"/>
  <c r="D707" i="2"/>
  <c r="H707" i="2" s="1"/>
  <c r="D256" i="2"/>
  <c r="H256" i="2" s="1"/>
  <c r="D493" i="2"/>
  <c r="H493" i="2" s="1"/>
  <c r="D179" i="2"/>
  <c r="H179" i="2" s="1"/>
  <c r="D852" i="2"/>
  <c r="H852" i="2" s="1"/>
  <c r="D524" i="2"/>
  <c r="H524" i="2" s="1"/>
  <c r="D67" i="2"/>
  <c r="H67" i="2" s="1"/>
  <c r="D521" i="2"/>
  <c r="H521" i="2" s="1"/>
  <c r="D585" i="2"/>
  <c r="D842" i="2"/>
  <c r="D599" i="2"/>
  <c r="H599" i="2" s="1"/>
  <c r="D99" i="2"/>
  <c r="H99" i="2" s="1"/>
  <c r="D441" i="2"/>
  <c r="H441" i="2" s="1"/>
  <c r="D365" i="2"/>
  <c r="H365" i="2" s="1"/>
  <c r="D455" i="2"/>
  <c r="H455" i="2" s="1"/>
  <c r="D371" i="2"/>
  <c r="H371" i="2" s="1"/>
  <c r="D683" i="2"/>
  <c r="H683" i="2" s="1"/>
  <c r="D162" i="2"/>
  <c r="H162" i="2" s="1"/>
  <c r="D449" i="2"/>
  <c r="H449" i="2" s="1"/>
  <c r="D530" i="2"/>
  <c r="H530" i="2" s="1"/>
  <c r="D251" i="2"/>
  <c r="H251" i="2" s="1"/>
  <c r="D23" i="2"/>
  <c r="H23" i="2" s="1"/>
  <c r="D661" i="2"/>
  <c r="H661" i="2" s="1"/>
  <c r="D617" i="2"/>
  <c r="H617" i="2" s="1"/>
  <c r="D48" i="2"/>
  <c r="H48" i="2" s="1"/>
  <c r="D673" i="2"/>
  <c r="H673" i="2" s="1"/>
  <c r="D504" i="2"/>
  <c r="D642" i="2"/>
  <c r="D327" i="2"/>
  <c r="H327" i="2" s="1"/>
  <c r="D318" i="2"/>
  <c r="H318" i="2" s="1"/>
  <c r="D739" i="2"/>
  <c r="H739" i="2" s="1"/>
  <c r="D81" i="2"/>
  <c r="H81" i="2" s="1"/>
  <c r="D19" i="2"/>
  <c r="H19" i="2" s="1"/>
  <c r="D17" i="2"/>
  <c r="H17" i="2" s="1"/>
  <c r="D995" i="2"/>
  <c r="H995" i="2" s="1"/>
  <c r="D609" i="2"/>
  <c r="H609" i="2" s="1"/>
  <c r="D95" i="2"/>
  <c r="H95" i="2" s="1"/>
  <c r="D878" i="2"/>
  <c r="H878" i="2" s="1"/>
  <c r="D436" i="2"/>
  <c r="H436" i="2" s="1"/>
  <c r="D370" i="2"/>
  <c r="H370" i="2" s="1"/>
  <c r="D381" i="2"/>
  <c r="H381" i="2" s="1"/>
  <c r="D83" i="2"/>
  <c r="H83" i="2" s="1"/>
  <c r="D915" i="2"/>
  <c r="D299" i="2"/>
  <c r="D916" i="2"/>
  <c r="H916" i="2" s="1"/>
  <c r="D772" i="2"/>
  <c r="H772" i="2" s="1"/>
  <c r="D775" i="2"/>
  <c r="H775" i="2" s="1"/>
  <c r="D734" i="2"/>
  <c r="H734" i="2" s="1"/>
  <c r="D115" i="2"/>
  <c r="H115" i="2" s="1"/>
  <c r="D360" i="2"/>
  <c r="H360" i="2" s="1"/>
  <c r="D473" i="2"/>
  <c r="H473" i="2" s="1"/>
  <c r="D654" i="2"/>
  <c r="H654" i="2" s="1"/>
  <c r="D519" i="2"/>
  <c r="H519" i="2" s="1"/>
  <c r="D555" i="2"/>
  <c r="H555" i="2" s="1"/>
  <c r="D872" i="2"/>
  <c r="H872" i="2" s="1"/>
  <c r="D680" i="2"/>
  <c r="H680" i="2" s="1"/>
  <c r="D634" i="2"/>
  <c r="H634" i="2" s="1"/>
  <c r="D332" i="2"/>
  <c r="H332" i="2" s="1"/>
  <c r="D279" i="2"/>
  <c r="H279" i="2" s="1"/>
  <c r="D747" i="2"/>
  <c r="D438" i="2"/>
  <c r="H438" i="2" s="1"/>
  <c r="D490" i="2"/>
  <c r="H490" i="2" s="1"/>
  <c r="D776" i="2"/>
  <c r="H776" i="2" s="1"/>
  <c r="D965" i="2"/>
  <c r="H965" i="2" s="1"/>
  <c r="D100" i="2"/>
  <c r="H100" i="2" s="1"/>
  <c r="D218" i="2"/>
  <c r="H218" i="2" s="1"/>
  <c r="D411" i="2"/>
  <c r="H411" i="2" s="1"/>
  <c r="D70" i="2"/>
  <c r="H70" i="2" s="1"/>
  <c r="D576" i="2"/>
  <c r="H576" i="2" s="1"/>
  <c r="D9" i="2"/>
  <c r="H9" i="2" s="1"/>
  <c r="D339" i="2"/>
  <c r="H339" i="2" s="1"/>
  <c r="D748" i="2"/>
  <c r="H748" i="2" s="1"/>
  <c r="D833" i="2"/>
  <c r="H833" i="2" s="1"/>
  <c r="D623" i="2"/>
  <c r="H623" i="2" s="1"/>
  <c r="D612" i="2"/>
  <c r="H612" i="2" s="1"/>
  <c r="D448" i="2"/>
  <c r="H448" i="2" s="1"/>
  <c r="D312" i="2"/>
  <c r="H312" i="2" s="1"/>
  <c r="D970" i="2"/>
  <c r="H970" i="2" s="1"/>
  <c r="D98" i="2"/>
  <c r="H98" i="2" s="1"/>
  <c r="D89" i="2"/>
  <c r="D509" i="2"/>
  <c r="D932" i="2"/>
  <c r="H932" i="2" s="1"/>
  <c r="D144" i="2"/>
  <c r="H144" i="2" s="1"/>
  <c r="D356" i="2"/>
  <c r="H356" i="2" s="1"/>
  <c r="D49" i="2"/>
  <c r="H49" i="2" s="1"/>
  <c r="D184" i="2"/>
  <c r="H184" i="2" s="1"/>
  <c r="D921" i="2"/>
  <c r="H921" i="2" s="1"/>
  <c r="D824" i="2"/>
  <c r="H824" i="2" s="1"/>
  <c r="D809" i="2"/>
  <c r="H809" i="2" s="1"/>
  <c r="D553" i="2"/>
  <c r="H553" i="2" s="1"/>
  <c r="D306" i="2"/>
  <c r="H306" i="2" s="1"/>
  <c r="D464" i="2"/>
  <c r="D388" i="2"/>
  <c r="H388" i="2" s="1"/>
  <c r="D997" i="2"/>
  <c r="H997" i="2" s="1"/>
  <c r="D382" i="2"/>
  <c r="H382" i="2" s="1"/>
  <c r="D535" i="2"/>
  <c r="D246" i="2"/>
  <c r="D953" i="2"/>
  <c r="H953" i="2" s="1"/>
  <c r="D263" i="2"/>
  <c r="H263" i="2" s="1"/>
  <c r="D373" i="2"/>
  <c r="H373" i="2" s="1"/>
  <c r="D28" i="2"/>
  <c r="H28" i="2" s="1"/>
  <c r="D402" i="2"/>
  <c r="H402" i="2" s="1"/>
  <c r="D595" i="2"/>
  <c r="H595" i="2" s="1"/>
  <c r="D270" i="2"/>
  <c r="H270" i="2" s="1"/>
  <c r="D427" i="2"/>
  <c r="H427" i="2" s="1"/>
  <c r="D828" i="2"/>
  <c r="H828" i="2" s="1"/>
  <c r="D860" i="2"/>
  <c r="H860" i="2" s="1"/>
  <c r="D511" i="2"/>
  <c r="H511" i="2" s="1"/>
  <c r="D374" i="2"/>
  <c r="H374" i="2" s="1"/>
  <c r="D150" i="2"/>
  <c r="H150" i="2" s="1"/>
  <c r="D899" i="2"/>
  <c r="H899" i="2" s="1"/>
  <c r="D109" i="2"/>
  <c r="D771" i="2"/>
  <c r="D689" i="2"/>
  <c r="H689" i="2" s="1"/>
  <c r="D615" i="2"/>
  <c r="H615" i="2" s="1"/>
  <c r="D226" i="2"/>
  <c r="H226" i="2" s="1"/>
  <c r="D686" i="2"/>
  <c r="H686" i="2" s="1"/>
  <c r="D675" i="2"/>
  <c r="H675" i="2" s="1"/>
  <c r="D665" i="2"/>
  <c r="H665" i="2" s="1"/>
  <c r="D163" i="2"/>
  <c r="H163" i="2" s="1"/>
  <c r="D518" i="2"/>
  <c r="H518" i="2" s="1"/>
  <c r="D266" i="2"/>
  <c r="H266" i="2" s="1"/>
  <c r="D331" i="2"/>
  <c r="H331" i="2" s="1"/>
  <c r="D480" i="2"/>
  <c r="H480" i="2" s="1"/>
  <c r="D855" i="2"/>
  <c r="H855" i="2" s="1"/>
  <c r="D257" i="2"/>
  <c r="H257" i="2" s="1"/>
  <c r="D136" i="2"/>
  <c r="H136" i="2" s="1"/>
  <c r="D295" i="2"/>
  <c r="H295" i="2" s="1"/>
  <c r="D76" i="2"/>
  <c r="H76" i="2" s="1"/>
  <c r="D596" i="2"/>
  <c r="H596" i="2" s="1"/>
  <c r="D702" i="2"/>
  <c r="H702" i="2" s="1"/>
  <c r="D529" i="2"/>
  <c r="H529" i="2" s="1"/>
  <c r="D614" i="2"/>
  <c r="H614" i="2" s="1"/>
  <c r="D72" i="2"/>
  <c r="H72" i="2" s="1"/>
  <c r="D968" i="2"/>
  <c r="H968" i="2" s="1"/>
  <c r="D42" i="2"/>
  <c r="H42" i="2" s="1"/>
  <c r="D63" i="2"/>
  <c r="H63" i="2" s="1"/>
  <c r="D928" i="2"/>
  <c r="H928" i="2" s="1"/>
  <c r="D164" i="2"/>
  <c r="H164" i="2" s="1"/>
  <c r="D351" i="2"/>
  <c r="H351" i="2" s="1"/>
  <c r="D672" i="2"/>
  <c r="H672" i="2" s="1"/>
  <c r="D949" i="2"/>
  <c r="H949" i="2" s="1"/>
  <c r="D790" i="2"/>
  <c r="H790" i="2" s="1"/>
  <c r="D759" i="2"/>
  <c r="H759" i="2" s="1"/>
  <c r="D750" i="2"/>
  <c r="H750" i="2" s="1"/>
  <c r="D96" i="2"/>
  <c r="D919" i="2"/>
  <c r="H919" i="2" s="1"/>
  <c r="D309" i="2"/>
  <c r="H309" i="2" s="1"/>
  <c r="D687" i="2"/>
  <c r="H687" i="2" s="1"/>
  <c r="D434" i="2"/>
  <c r="H434" i="2" s="1"/>
  <c r="D905" i="2"/>
  <c r="H905" i="2" s="1"/>
  <c r="D598" i="2"/>
  <c r="H598" i="2" s="1"/>
  <c r="D12" i="2"/>
  <c r="H12" i="2" s="1"/>
  <c r="D646" i="2"/>
  <c r="H646" i="2" s="1"/>
  <c r="D15" i="2"/>
  <c r="H15" i="2" s="1"/>
  <c r="D207" i="2"/>
  <c r="H207" i="2" s="1"/>
  <c r="D861" i="2"/>
  <c r="H861" i="2" s="1"/>
  <c r="D482" i="2"/>
  <c r="H482" i="2" s="1"/>
  <c r="D984" i="2"/>
  <c r="H984" i="2" s="1"/>
  <c r="D168" i="2"/>
  <c r="H168" i="2" s="1"/>
  <c r="D811" i="2"/>
  <c r="H811" i="2" s="1"/>
  <c r="D660" i="2"/>
  <c r="D368" i="2"/>
  <c r="H368" i="2" s="1"/>
  <c r="D244" i="2"/>
  <c r="H244" i="2" s="1"/>
  <c r="D50" i="2"/>
  <c r="H50" i="2" s="1"/>
  <c r="D547" i="2"/>
  <c r="H547" i="2" s="1"/>
  <c r="D814" i="2"/>
  <c r="H814" i="2" s="1"/>
  <c r="D579" i="2"/>
  <c r="H579" i="2" s="1"/>
  <c r="D648" i="2"/>
  <c r="H648" i="2" s="1"/>
  <c r="D541" i="2"/>
  <c r="H541" i="2" s="1"/>
  <c r="D993" i="2"/>
  <c r="H993" i="2" s="1"/>
  <c r="D532" i="2"/>
  <c r="H532" i="2" s="1"/>
  <c r="D886" i="2"/>
  <c r="H886" i="2" s="1"/>
  <c r="D106" i="2"/>
  <c r="H106" i="2" s="1"/>
  <c r="D644" i="2"/>
  <c r="H644" i="2" s="1"/>
  <c r="D107" i="2"/>
  <c r="H107" i="2" s="1"/>
  <c r="D552" i="2"/>
  <c r="H552" i="2" s="1"/>
  <c r="D154" i="2"/>
  <c r="H154" i="2" s="1"/>
  <c r="D342" i="2"/>
  <c r="H342" i="2" s="1"/>
  <c r="D433" i="2"/>
  <c r="H433" i="2" s="1"/>
  <c r="D267" i="2"/>
  <c r="H267" i="2" s="1"/>
  <c r="D44" i="2"/>
  <c r="H44" i="2" s="1"/>
  <c r="D597" i="2"/>
  <c r="H597" i="2" s="1"/>
  <c r="D523" i="2"/>
  <c r="H523" i="2" s="1"/>
  <c r="D954" i="2"/>
  <c r="H954" i="2" s="1"/>
  <c r="D169" i="2"/>
  <c r="H169" i="2" s="1"/>
  <c r="D564" i="2"/>
  <c r="H564" i="2" s="1"/>
  <c r="D426" i="2"/>
  <c r="D981" i="2"/>
  <c r="H981" i="2" s="1"/>
  <c r="D522" i="2"/>
  <c r="H522" i="2" s="1"/>
  <c r="D395" i="2"/>
  <c r="H395" i="2" s="1"/>
  <c r="D580" i="2"/>
  <c r="H580" i="2" s="1"/>
  <c r="D408" i="2"/>
  <c r="H408" i="2" s="1"/>
  <c r="D54" i="2"/>
  <c r="H54" i="2" s="1"/>
  <c r="D794" i="2"/>
  <c r="H794" i="2" s="1"/>
  <c r="D822" i="2"/>
  <c r="H822" i="2" s="1"/>
  <c r="D516" i="2"/>
  <c r="H516" i="2" s="1"/>
  <c r="D827" i="2"/>
  <c r="H827" i="2" s="1"/>
  <c r="D846" i="2"/>
  <c r="H846" i="2" s="1"/>
  <c r="D904" i="2"/>
  <c r="H904" i="2" s="1"/>
  <c r="D543" i="2"/>
  <c r="H543" i="2" s="1"/>
  <c r="D514" i="2"/>
  <c r="H514" i="2" s="1"/>
  <c r="D871" i="2"/>
  <c r="H871" i="2" s="1"/>
  <c r="D708" i="2"/>
  <c r="H708" i="2" s="1"/>
  <c r="D653" i="2"/>
  <c r="H653" i="2" s="1"/>
  <c r="D75" i="2"/>
  <c r="H75" i="2" s="1"/>
  <c r="D889" i="2"/>
  <c r="H889" i="2" s="1"/>
  <c r="D187" i="2"/>
  <c r="H187" i="2" s="1"/>
  <c r="D704" i="2"/>
  <c r="H704" i="2" s="1"/>
  <c r="D27" i="2"/>
  <c r="H27" i="2" s="1"/>
  <c r="D911" i="2"/>
  <c r="H911" i="2" s="1"/>
  <c r="D985" i="2"/>
  <c r="H985" i="2" s="1"/>
  <c r="D212" i="2"/>
  <c r="H212" i="2" s="1"/>
  <c r="D390" i="2"/>
  <c r="H390" i="2" s="1"/>
  <c r="D90" i="2"/>
  <c r="H90" i="2" s="1"/>
  <c r="D777" i="2"/>
  <c r="H777" i="2" s="1"/>
  <c r="D714" i="2"/>
  <c r="H714" i="2" s="1"/>
  <c r="D379" i="2"/>
  <c r="H379" i="2" s="1"/>
  <c r="D132" i="2"/>
  <c r="H132" i="2" s="1"/>
  <c r="D841" i="2"/>
  <c r="H841" i="2" s="1"/>
  <c r="D868" i="2"/>
  <c r="H868" i="2" s="1"/>
  <c r="D176" i="2"/>
  <c r="H176" i="2" s="1"/>
  <c r="D73" i="2"/>
  <c r="H73" i="2" s="1"/>
  <c r="D273" i="2"/>
  <c r="H273" i="2" s="1"/>
  <c r="D403" i="2"/>
  <c r="H403" i="2" s="1"/>
  <c r="D486" i="2"/>
  <c r="H486" i="2" s="1"/>
  <c r="D711" i="2"/>
  <c r="H711" i="2" s="1"/>
  <c r="D994" i="2"/>
  <c r="H994" i="2" s="1"/>
  <c r="D966" i="2"/>
  <c r="H966" i="2" s="1"/>
  <c r="D882" i="2"/>
  <c r="H882" i="2" s="1"/>
  <c r="D898" i="2"/>
  <c r="H898" i="2" s="1"/>
  <c r="D656" i="2"/>
  <c r="H656" i="2" s="1"/>
  <c r="D666" i="2"/>
  <c r="D247" i="2"/>
  <c r="D863" i="2"/>
  <c r="H863" i="2" s="1"/>
  <c r="D200" i="2"/>
  <c r="H200" i="2" s="1"/>
  <c r="D812" i="2"/>
  <c r="H812" i="2" s="1"/>
  <c r="D583" i="2"/>
  <c r="H583" i="2" s="1"/>
  <c r="D902" i="2"/>
  <c r="H902" i="2" s="1"/>
  <c r="D917" i="2"/>
  <c r="H917" i="2" s="1"/>
  <c r="D288" i="2"/>
  <c r="H288" i="2" s="1"/>
  <c r="D763" i="2"/>
  <c r="H763" i="2" s="1"/>
  <c r="D498" i="2"/>
  <c r="H498" i="2" s="1"/>
  <c r="D741" i="2"/>
  <c r="H741" i="2" s="1"/>
  <c r="D810" i="2"/>
  <c r="H810" i="2" s="1"/>
  <c r="D495" i="2"/>
  <c r="H495" i="2" s="1"/>
  <c r="D955" i="2"/>
  <c r="H955" i="2" s="1"/>
  <c r="D160" i="2"/>
  <c r="H160" i="2" s="1"/>
  <c r="D423" i="2"/>
  <c r="D618" i="2"/>
  <c r="D120" i="2"/>
  <c r="H120" i="2" s="1"/>
  <c r="D716" i="2"/>
  <c r="D925" i="2"/>
  <c r="H925" i="2" s="1"/>
  <c r="D74" i="2"/>
  <c r="H74" i="2" s="1"/>
  <c r="D399" i="2"/>
  <c r="H399" i="2" s="1"/>
  <c r="D525" i="2"/>
  <c r="H525" i="2" s="1"/>
  <c r="D690" i="2"/>
  <c r="H690" i="2" s="1"/>
  <c r="D779" i="2"/>
  <c r="H779" i="2" s="1"/>
  <c r="D465" i="2"/>
  <c r="H465" i="2" s="1"/>
  <c r="D222" i="2"/>
  <c r="H222" i="2" s="1"/>
  <c r="D835" i="2"/>
  <c r="H835" i="2" s="1"/>
  <c r="D36" i="2"/>
  <c r="H36" i="2" s="1"/>
  <c r="D352" i="2"/>
  <c r="H352" i="2" s="1"/>
  <c r="D345" i="2"/>
  <c r="H345" i="2" s="1"/>
  <c r="D119" i="2"/>
  <c r="H119" i="2" s="1"/>
  <c r="D782" i="2"/>
  <c r="H782" i="2" s="1"/>
  <c r="D938" i="2"/>
  <c r="H938" i="2" s="1"/>
  <c r="D721" i="2"/>
  <c r="H721" i="2" s="1"/>
  <c r="D173" i="2"/>
  <c r="H173" i="2" s="1"/>
  <c r="D362" i="2"/>
  <c r="H362" i="2" s="1"/>
  <c r="D485" i="2"/>
  <c r="H485" i="2" s="1"/>
  <c r="D204" i="2"/>
  <c r="H204" i="2" s="1"/>
  <c r="D77" i="2"/>
  <c r="H77" i="2" s="1"/>
  <c r="D924" i="2"/>
  <c r="H924" i="2" s="1"/>
  <c r="D302" i="2"/>
  <c r="H302" i="2" s="1"/>
  <c r="D743" i="2"/>
  <c r="H743" i="2" s="1"/>
  <c r="D645" i="2"/>
  <c r="H645" i="2" s="1"/>
  <c r="D856" i="2"/>
  <c r="H856" i="2" s="1"/>
  <c r="D627" i="2"/>
  <c r="H627" i="2" s="1"/>
  <c r="D242" i="2"/>
  <c r="H242" i="2" s="1"/>
  <c r="D277" i="2"/>
  <c r="H277" i="2" s="1"/>
  <c r="D53" i="2"/>
  <c r="H53" i="2" s="1"/>
  <c r="D422" i="2"/>
  <c r="H422" i="2" s="1"/>
  <c r="D319" i="2"/>
  <c r="D813" i="2"/>
  <c r="H813" i="2" s="1"/>
  <c r="D91" i="2"/>
  <c r="H91" i="2" s="1"/>
  <c r="D944" i="2"/>
  <c r="H944" i="2" s="1"/>
  <c r="D880" i="2"/>
  <c r="H880" i="2" s="1"/>
  <c r="D224" i="2"/>
  <c r="H224" i="2" s="1"/>
  <c r="D957" i="2"/>
  <c r="H957" i="2" s="1"/>
  <c r="D831" i="2"/>
  <c r="H831" i="2" s="1"/>
  <c r="D289" i="2"/>
  <c r="H289" i="2" s="1"/>
  <c r="D639" i="2"/>
  <c r="H639" i="2" s="1"/>
  <c r="D133" i="2"/>
  <c r="H133" i="2" s="1"/>
  <c r="D346" i="2"/>
  <c r="H346" i="2" s="1"/>
  <c r="D192" i="2"/>
  <c r="H192" i="2" s="1"/>
  <c r="D450" i="2"/>
  <c r="H450" i="2" s="1"/>
  <c r="D61" i="2"/>
  <c r="H61" i="2" s="1"/>
  <c r="D582" i="2"/>
  <c r="H582" i="2" s="1"/>
  <c r="D389" i="2"/>
  <c r="H389" i="2" s="1"/>
  <c r="D573" i="2"/>
  <c r="H573" i="2" s="1"/>
  <c r="D751" i="2"/>
  <c r="H751" i="2" s="1"/>
  <c r="D153" i="2"/>
  <c r="H153" i="2" s="1"/>
  <c r="D282" i="2"/>
  <c r="H282" i="2" s="1"/>
  <c r="D343" i="2"/>
  <c r="H343" i="2" s="1"/>
  <c r="D235" i="2"/>
  <c r="H235" i="2" s="1"/>
  <c r="D254" i="2"/>
  <c r="H254" i="2" s="1"/>
  <c r="D181" i="2"/>
  <c r="H181" i="2" s="1"/>
  <c r="D416" i="2"/>
  <c r="H416" i="2" s="1"/>
  <c r="D291" i="2"/>
  <c r="H291" i="2" s="1"/>
  <c r="D584" i="2"/>
  <c r="H584" i="2" s="1"/>
  <c r="D145" i="2"/>
  <c r="H145" i="2" s="1"/>
  <c r="D684" i="2"/>
  <c r="H684" i="2" s="1"/>
  <c r="D611" i="2"/>
  <c r="H611" i="2" s="1"/>
  <c r="D605" i="2"/>
  <c r="H605" i="2" s="1"/>
  <c r="D712" i="2"/>
  <c r="D349" i="2"/>
  <c r="H349" i="2" s="1"/>
  <c r="D934" i="2"/>
  <c r="H934" i="2" s="1"/>
  <c r="D223" i="2"/>
  <c r="H223" i="2" s="1"/>
  <c r="D574" i="2"/>
  <c r="H574" i="2" s="1"/>
  <c r="D975" i="2"/>
  <c r="H975" i="2" s="1"/>
  <c r="D378" i="2"/>
  <c r="H378" i="2" s="1"/>
  <c r="D838" i="2"/>
  <c r="H838" i="2" s="1"/>
  <c r="D671" i="2"/>
  <c r="H671" i="2" s="1"/>
  <c r="D80" i="2"/>
  <c r="H80" i="2" s="1"/>
  <c r="D770" i="2"/>
  <c r="H770" i="2" s="1"/>
  <c r="D104" i="2"/>
  <c r="H104" i="2" s="1"/>
  <c r="D38" i="2"/>
  <c r="H38" i="2" s="1"/>
  <c r="D805" i="2"/>
  <c r="H805" i="2" s="1"/>
  <c r="D134" i="2"/>
  <c r="H134" i="2" s="1"/>
  <c r="D420" i="2"/>
  <c r="H420" i="2" s="1"/>
  <c r="D534" i="2"/>
  <c r="H534" i="2" s="1"/>
  <c r="D820" i="2"/>
  <c r="H820" i="2" s="1"/>
  <c r="D674" i="2"/>
  <c r="H674" i="2" s="1"/>
  <c r="D539" i="2"/>
  <c r="H539" i="2" s="1"/>
  <c r="D527" i="2"/>
  <c r="H527" i="2" s="1"/>
  <c r="D335" i="2"/>
  <c r="H335" i="2" s="1"/>
  <c r="D471" i="2"/>
  <c r="H471" i="2" s="1"/>
  <c r="D682" i="2"/>
  <c r="H682" i="2" s="1"/>
  <c r="D43" i="2"/>
  <c r="H43" i="2" s="1"/>
  <c r="D528" i="2"/>
  <c r="H528" i="2" s="1"/>
  <c r="D728" i="2"/>
  <c r="H728" i="2" s="1"/>
  <c r="D180" i="2"/>
  <c r="H180" i="2" s="1"/>
  <c r="D697" i="2"/>
  <c r="H697" i="2" s="1"/>
  <c r="D78" i="2"/>
  <c r="H78" i="2" s="1"/>
  <c r="D659" i="2"/>
  <c r="H659" i="2" s="1"/>
  <c r="D142" i="2"/>
  <c r="H142" i="2" s="1"/>
  <c r="D206" i="2"/>
  <c r="H206" i="2" s="1"/>
  <c r="D25" i="2"/>
  <c r="H25" i="2" s="1"/>
  <c r="D839" i="2"/>
  <c r="H839" i="2" s="1"/>
  <c r="D239" i="2"/>
  <c r="H239" i="2" s="1"/>
  <c r="D16" i="2"/>
  <c r="H16" i="2" s="1"/>
  <c r="D477" i="2"/>
  <c r="D461" i="2"/>
  <c r="H461" i="2" s="1"/>
  <c r="D998" i="2"/>
  <c r="H998" i="2" s="1"/>
  <c r="D866" i="2"/>
  <c r="H866" i="2" s="1"/>
  <c r="D715" i="2"/>
  <c r="H715" i="2" s="1"/>
  <c r="D65" i="2"/>
  <c r="H65" i="2" s="1"/>
  <c r="D375" i="2"/>
  <c r="H375" i="2" s="1"/>
  <c r="D7" i="2"/>
  <c r="H7" i="2" s="1"/>
  <c r="D951" i="2"/>
  <c r="H951" i="2" s="1"/>
  <c r="D625" i="2"/>
  <c r="H625" i="2" s="1"/>
  <c r="D237" i="2"/>
  <c r="H237" i="2" s="1"/>
  <c r="D647" i="2"/>
  <c r="H647" i="2" s="1"/>
  <c r="D470" i="2"/>
  <c r="H470" i="2" s="1"/>
  <c r="D845" i="2"/>
  <c r="H845" i="2" s="1"/>
  <c r="D57" i="2"/>
  <c r="H57" i="2" s="1"/>
  <c r="D837" i="2"/>
  <c r="H837" i="2" s="1"/>
  <c r="D460" i="2"/>
  <c r="H460" i="2" s="1"/>
  <c r="D431" i="2"/>
  <c r="H431" i="2" s="1"/>
  <c r="D725" i="2"/>
  <c r="H725" i="2" s="1"/>
  <c r="D456" i="2"/>
  <c r="H456" i="2" s="1"/>
  <c r="D341" i="2"/>
  <c r="H341" i="2" s="1"/>
  <c r="D963" i="2"/>
  <c r="H963" i="2" s="1"/>
  <c r="D830" i="2"/>
  <c r="H830" i="2" s="1"/>
  <c r="D366" i="2"/>
  <c r="H366" i="2" s="1"/>
  <c r="D744" i="2"/>
  <c r="H744" i="2" s="1"/>
  <c r="D676" i="2"/>
  <c r="H676" i="2" s="1"/>
  <c r="D803" i="2"/>
  <c r="H803" i="2" s="1"/>
  <c r="D606" i="2"/>
  <c r="H606" i="2" s="1"/>
  <c r="D430" i="2"/>
  <c r="H430" i="2" s="1"/>
  <c r="D494" i="2"/>
  <c r="H494" i="2" s="1"/>
  <c r="D387" i="2"/>
  <c r="H387" i="2" s="1"/>
  <c r="D874" i="2"/>
  <c r="H874" i="2" s="1"/>
  <c r="D320" i="2"/>
  <c r="H320" i="2" s="1"/>
  <c r="D392" i="2"/>
  <c r="H392" i="2" s="1"/>
  <c r="D723" i="2"/>
  <c r="H723" i="2" s="1"/>
  <c r="D536" i="2"/>
  <c r="H536" i="2" s="1"/>
  <c r="D285" i="2"/>
  <c r="H285" i="2" s="1"/>
  <c r="D105" i="2"/>
  <c r="H105" i="2" s="1"/>
  <c r="D540" i="2"/>
  <c r="H540" i="2" s="1"/>
  <c r="D30" i="2"/>
  <c r="H30" i="2" s="1"/>
  <c r="D780" i="2"/>
  <c r="H780" i="2" s="1"/>
  <c r="D557" i="2"/>
  <c r="H557" i="2" s="1"/>
  <c r="D632" i="2"/>
  <c r="H632" i="2" s="1"/>
  <c r="D736" i="2"/>
  <c r="H736" i="2" s="1"/>
  <c r="D278" i="2"/>
  <c r="H278" i="2" s="1"/>
  <c r="D472" i="2"/>
  <c r="H472" i="2" s="1"/>
  <c r="D258" i="2"/>
  <c r="H258" i="2" s="1"/>
  <c r="D561" i="2"/>
  <c r="H561" i="2" s="1"/>
  <c r="D227" i="2"/>
  <c r="H227" i="2" s="1"/>
  <c r="D840" i="2"/>
  <c r="H840" i="2" s="1"/>
  <c r="D737" i="2"/>
  <c r="H737" i="2" s="1"/>
  <c r="D241" i="2"/>
  <c r="D161" i="2"/>
  <c r="H161" i="2" s="1"/>
  <c r="D148" i="2"/>
  <c r="H148" i="2" s="1"/>
  <c r="D468" i="2"/>
  <c r="H468" i="2" s="1"/>
  <c r="D82" i="2"/>
  <c r="H82" i="2" s="1"/>
  <c r="D292" i="2"/>
  <c r="D802" i="2"/>
  <c r="D817" i="2"/>
  <c r="H817" i="2" s="1"/>
  <c r="D205" i="2"/>
  <c r="H205" i="2" s="1"/>
  <c r="D359" i="2"/>
  <c r="H359" i="2" s="1"/>
  <c r="D240" i="2"/>
  <c r="H240" i="2" s="1"/>
  <c r="D950" i="2"/>
  <c r="H950" i="2" s="1"/>
  <c r="D948" i="2"/>
  <c r="H948" i="2" s="1"/>
  <c r="D808" i="2"/>
  <c r="H808" i="2" s="1"/>
  <c r="D865" i="2"/>
  <c r="H865" i="2" s="1"/>
  <c r="D565" i="2"/>
  <c r="H565" i="2" s="1"/>
  <c r="D996" i="2"/>
  <c r="H996" i="2" s="1"/>
  <c r="D307" i="2"/>
  <c r="H307" i="2" s="1"/>
  <c r="D931" i="2"/>
  <c r="H931" i="2" s="1"/>
  <c r="D588" i="2"/>
  <c r="H588" i="2" s="1"/>
  <c r="D608" i="2"/>
  <c r="H608" i="2" s="1"/>
  <c r="D439" i="2"/>
  <c r="D941" i="2"/>
  <c r="D128" i="2"/>
  <c r="H128" i="2" s="1"/>
  <c r="D385" i="2"/>
  <c r="H385" i="2" s="1"/>
  <c r="D167" i="2"/>
  <c r="H167" i="2" s="1"/>
  <c r="D308" i="2"/>
  <c r="H308" i="2" s="1"/>
  <c r="D859" i="2"/>
  <c r="H859" i="2" s="1"/>
  <c r="D367" i="2"/>
  <c r="H367" i="2" s="1"/>
  <c r="D305" i="2"/>
  <c r="H305" i="2" s="1"/>
  <c r="D459" i="2"/>
  <c r="H459" i="2" s="1"/>
  <c r="D457" i="2"/>
  <c r="H457" i="2" s="1"/>
  <c r="D45" i="2"/>
  <c r="H45" i="2" s="1"/>
  <c r="D271" i="2"/>
  <c r="H271" i="2" s="1"/>
  <c r="D131" i="2"/>
  <c r="H131" i="2" s="1"/>
  <c r="D720" i="2"/>
  <c r="H720" i="2" s="1"/>
  <c r="D139" i="2"/>
  <c r="H139" i="2" s="1"/>
  <c r="D301" i="2"/>
  <c r="H301" i="2" s="1"/>
  <c r="D110" i="2"/>
  <c r="H110" i="2" s="1"/>
  <c r="D549" i="2"/>
  <c r="H549" i="2" s="1"/>
  <c r="D496" i="2"/>
  <c r="H496" i="2" s="1"/>
  <c r="D97" i="2"/>
  <c r="H97" i="2" s="1"/>
  <c r="D893" i="2"/>
  <c r="H893" i="2" s="1"/>
  <c r="D336" i="2"/>
  <c r="H336" i="2" s="1"/>
  <c r="D867" i="2"/>
  <c r="H867" i="2" s="1"/>
  <c r="D249" i="2"/>
  <c r="H249" i="2" s="1"/>
  <c r="D967" i="2"/>
  <c r="H967" i="2" s="1"/>
  <c r="D613" i="2"/>
  <c r="H613" i="2" s="1"/>
  <c r="D853" i="2"/>
  <c r="H853" i="2" s="1"/>
  <c r="D264" i="2"/>
  <c r="H264" i="2" s="1"/>
  <c r="D69" i="2"/>
  <c r="H69" i="2" s="1"/>
  <c r="D2" i="2"/>
  <c r="H2" i="2" s="1"/>
  <c r="D927" i="2"/>
  <c r="H927" i="2" s="1"/>
  <c r="D881" i="2"/>
  <c r="H881" i="2" s="1"/>
  <c r="D484" i="2"/>
  <c r="H484" i="2" s="1"/>
  <c r="D796" i="2"/>
  <c r="H796" i="2" s="1"/>
  <c r="D24" i="2"/>
  <c r="H24" i="2" s="1"/>
  <c r="D325" i="2"/>
  <c r="H325" i="2" s="1"/>
  <c r="D125" i="2"/>
  <c r="H125" i="2" s="1"/>
  <c r="D189" i="2"/>
  <c r="H189" i="2" s="1"/>
  <c r="D556" i="2"/>
  <c r="H556" i="2" s="1"/>
  <c r="D877" i="2"/>
  <c r="H877" i="2" s="1"/>
  <c r="D864" i="2"/>
  <c r="H864" i="2" s="1"/>
  <c r="D876" i="2"/>
  <c r="H876" i="2" s="1"/>
  <c r="D590" i="2"/>
  <c r="H590" i="2" s="1"/>
  <c r="D159" i="2"/>
  <c r="H159" i="2" s="1"/>
  <c r="D407" i="2"/>
  <c r="H407" i="2" s="1"/>
  <c r="D294" i="2"/>
  <c r="H294" i="2" s="1"/>
  <c r="D68" i="2"/>
  <c r="H68" i="2" s="1"/>
  <c r="D47" i="2"/>
  <c r="H47" i="2" s="1"/>
  <c r="D59" i="2"/>
  <c r="H59" i="2" s="1"/>
  <c r="D130" i="2"/>
  <c r="H130" i="2" s="1"/>
  <c r="D651" i="2"/>
  <c r="H651" i="2" s="1"/>
  <c r="D202" i="2"/>
  <c r="H202" i="2" s="1"/>
  <c r="D245" i="2"/>
  <c r="H245" i="2" s="1"/>
  <c r="D13" i="2"/>
  <c r="H13" i="2" s="1"/>
  <c r="D652" i="2"/>
  <c r="H652" i="2" s="1"/>
  <c r="D46" i="2"/>
  <c r="H46" i="2" s="1"/>
  <c r="D766" i="2"/>
  <c r="H766" i="2" s="1"/>
  <c r="D508" i="2"/>
  <c r="H508" i="2" s="1"/>
  <c r="D261" i="2"/>
  <c r="H261" i="2" s="1"/>
  <c r="D695" i="2"/>
  <c r="H695" i="2" s="1"/>
  <c r="D60" i="2"/>
  <c r="H60" i="2" s="1"/>
  <c r="D709" i="2"/>
  <c r="H709" i="2" s="1"/>
  <c r="D703" i="2"/>
  <c r="H703" i="2" s="1"/>
  <c r="D591" i="2"/>
  <c r="H591" i="2" s="1"/>
  <c r="D760" i="2"/>
  <c r="H760" i="2" s="1"/>
  <c r="D768" i="2"/>
  <c r="H768" i="2" s="1"/>
  <c r="D850" i="2"/>
  <c r="H850" i="2" s="1"/>
  <c r="D228" i="2"/>
  <c r="H228" i="2" s="1"/>
  <c r="D622" i="2"/>
  <c r="H622" i="2" s="1"/>
  <c r="D364" i="2"/>
  <c r="H364" i="2" s="1"/>
  <c r="D914" i="2"/>
  <c r="H914" i="2" s="1"/>
  <c r="D177" i="2"/>
  <c r="H177" i="2" s="1"/>
  <c r="D170" i="2"/>
  <c r="H170" i="2" s="1"/>
  <c r="D467" i="2"/>
  <c r="H467" i="2" s="1"/>
  <c r="D537" i="2"/>
  <c r="H537" i="2" s="1"/>
  <c r="D354" i="2"/>
  <c r="H354" i="2" s="1"/>
  <c r="D870" i="2"/>
  <c r="H870" i="2" s="1"/>
  <c r="D991" i="2"/>
  <c r="H991" i="2" s="1"/>
  <c r="D146" i="2"/>
  <c r="H146" i="2" s="1"/>
  <c r="D531" i="2"/>
  <c r="H531" i="2" s="1"/>
  <c r="D640" i="2"/>
  <c r="H640" i="2" s="1"/>
  <c r="D604" i="2"/>
  <c r="H604" i="2" s="1"/>
  <c r="D193" i="2"/>
  <c r="H193" i="2" s="1"/>
  <c r="D610" i="2"/>
  <c r="H610" i="2" s="1"/>
  <c r="D662" i="2"/>
  <c r="H662" i="2" s="1"/>
  <c r="D825" i="2"/>
  <c r="H825" i="2" s="1"/>
  <c r="D209" i="2"/>
  <c r="H209" i="2" s="1"/>
  <c r="D761" i="2"/>
  <c r="H761" i="2" s="1"/>
  <c r="D503" i="2"/>
  <c r="H503" i="2" s="1"/>
  <c r="D630" i="2"/>
  <c r="H630" i="2" s="1"/>
  <c r="D512" i="2"/>
  <c r="H512" i="2" s="1"/>
  <c r="D620" i="2"/>
  <c r="H620" i="2" s="1"/>
  <c r="D663" i="2"/>
  <c r="H663" i="2" s="1"/>
  <c r="D542" i="2"/>
  <c r="H542" i="2" s="1"/>
  <c r="D397" i="2"/>
  <c r="H397" i="2" s="1"/>
  <c r="D986" i="2"/>
  <c r="H986" i="2" s="1"/>
  <c r="D172" i="2"/>
  <c r="H172" i="2" s="1"/>
  <c r="D726" i="2"/>
  <c r="H726" i="2" s="1"/>
  <c r="D869" i="2"/>
  <c r="H869" i="2" s="1"/>
  <c r="D685" i="2"/>
  <c r="H685" i="2" s="1"/>
  <c r="D478" i="2"/>
  <c r="H478" i="2" s="1"/>
  <c r="D799" i="2"/>
  <c r="H799" i="2" s="1"/>
  <c r="D323" i="2"/>
  <c r="H323" i="2" s="1"/>
  <c r="D324" i="2"/>
  <c r="H324" i="2" s="1"/>
  <c r="D559" i="2"/>
  <c r="H559" i="2" s="1"/>
  <c r="D816" i="2"/>
  <c r="H816" i="2" s="1"/>
  <c r="D586" i="2"/>
  <c r="H586" i="2" s="1"/>
  <c r="D52" i="2"/>
  <c r="H52" i="2" s="1"/>
  <c r="D793" i="2"/>
  <c r="H793" i="2" s="1"/>
  <c r="D930" i="2"/>
  <c r="H930" i="2" s="1"/>
  <c r="D600" i="2"/>
  <c r="H600" i="2" s="1"/>
  <c r="D710" i="2"/>
  <c r="H710" i="2" s="1"/>
  <c r="D126" i="2"/>
  <c r="H126" i="2" s="1"/>
  <c r="D502" i="2"/>
  <c r="H502" i="2" s="1"/>
  <c r="D668" i="2"/>
  <c r="H668" i="2" s="1"/>
  <c r="D601" i="2"/>
  <c r="H601" i="2" s="1"/>
  <c r="D890" i="2"/>
  <c r="H890" i="2" s="1"/>
  <c r="D862" i="2"/>
  <c r="H862" i="2" s="1"/>
  <c r="D317" i="2"/>
  <c r="H317" i="2" s="1"/>
  <c r="D692" i="2"/>
  <c r="H692" i="2" s="1"/>
  <c r="D231" i="2"/>
  <c r="H231" i="2" s="1"/>
  <c r="D795" i="2"/>
  <c r="H795" i="2" s="1"/>
  <c r="D946" i="2"/>
  <c r="H946" i="2" s="1"/>
  <c r="D391" i="2"/>
  <c r="H391" i="2" s="1"/>
  <c r="D121" i="2"/>
  <c r="H121" i="2" s="1"/>
  <c r="D182" i="2"/>
  <c r="H182" i="2" s="1"/>
  <c r="D394" i="2"/>
  <c r="H394" i="2" s="1"/>
  <c r="D138" i="2"/>
  <c r="H138" i="2" s="1"/>
  <c r="D801" i="2"/>
  <c r="H801" i="2" s="1"/>
  <c r="D380" i="2"/>
  <c r="H380" i="2" s="1"/>
  <c r="D440" i="2"/>
  <c r="H440" i="2" s="1"/>
  <c r="D405" i="2"/>
  <c r="H405" i="2" s="1"/>
  <c r="D735" i="2"/>
  <c r="H735" i="2" s="1"/>
  <c r="D358" i="2"/>
  <c r="H358" i="2" s="1"/>
  <c r="D253" i="2"/>
  <c r="H253" i="2" s="1"/>
  <c r="D740" i="2"/>
  <c r="H740" i="2" s="1"/>
  <c r="D854" i="2"/>
  <c r="H854" i="2" s="1"/>
  <c r="D71" i="2"/>
  <c r="H71" i="2" s="1"/>
  <c r="D409" i="2"/>
  <c r="H409" i="2" s="1"/>
  <c r="D297" i="2"/>
  <c r="H297" i="2" s="1"/>
  <c r="D428" i="2"/>
  <c r="H428" i="2" s="1"/>
  <c r="D638" i="2"/>
  <c r="H638" i="2" s="1"/>
  <c r="D476" i="2"/>
  <c r="H476" i="2" s="1"/>
  <c r="D321" i="2"/>
  <c r="H321" i="2" s="1"/>
  <c r="D353" i="2"/>
  <c r="H353" i="2" s="1"/>
  <c r="D572" i="2"/>
  <c r="H572" i="2" s="1"/>
  <c r="D858" i="2"/>
  <c r="H858" i="2" s="1"/>
  <c r="D400" i="2"/>
  <c r="H400" i="2" s="1"/>
  <c r="D451" i="2"/>
  <c r="H451" i="2" s="1"/>
  <c r="D520" i="2"/>
  <c r="H520" i="2" s="1"/>
  <c r="D977" i="2"/>
  <c r="H977" i="2" s="1"/>
  <c r="D129" i="2"/>
  <c r="H129" i="2" s="1"/>
  <c r="D421" i="2"/>
  <c r="H421" i="2" s="1"/>
  <c r="D274" i="2"/>
  <c r="H274" i="2" s="1"/>
  <c r="D233" i="2"/>
  <c r="H233" i="2" s="1"/>
  <c r="D203" i="2"/>
  <c r="H203" i="2" s="1"/>
  <c r="D667" i="2"/>
  <c r="H667" i="2" s="1"/>
  <c r="D992" i="2"/>
  <c r="H992" i="2" s="1"/>
  <c r="D377" i="2"/>
  <c r="H377" i="2" s="1"/>
  <c r="D513" i="2"/>
  <c r="H513" i="2" s="1"/>
  <c r="D885" i="2"/>
  <c r="H885" i="2" s="1"/>
  <c r="D641" i="2"/>
  <c r="H641" i="2" s="1"/>
  <c r="D94" i="2"/>
  <c r="H94" i="2" s="1"/>
  <c r="D340" i="2"/>
  <c r="H340" i="2" s="1"/>
  <c r="D281" i="2"/>
  <c r="H281" i="2" s="1"/>
  <c r="D462" i="2"/>
  <c r="H462" i="2" s="1"/>
  <c r="D269" i="2"/>
  <c r="H269" i="2" s="1"/>
  <c r="D908" i="2"/>
  <c r="H908" i="2" s="1"/>
  <c r="D753" i="2"/>
  <c r="H753" i="2" s="1"/>
  <c r="D538" i="2"/>
  <c r="H538" i="2" s="1"/>
  <c r="D903" i="2"/>
  <c r="H903" i="2" s="1"/>
  <c r="D800" i="2"/>
  <c r="H800" i="2" s="1"/>
  <c r="D767" i="2"/>
  <c r="H767" i="2" s="1"/>
  <c r="D178" i="2"/>
  <c r="H178" i="2" s="1"/>
  <c r="D701" i="2"/>
  <c r="H701" i="2" s="1"/>
  <c r="D558" i="2"/>
  <c r="H558" i="2" s="1"/>
  <c r="D32" i="2"/>
  <c r="H32" i="2" s="1"/>
  <c r="D569" i="2"/>
  <c r="H569" i="2" s="1"/>
  <c r="D64" i="2"/>
  <c r="H64" i="2" s="1"/>
  <c r="D248" i="2"/>
  <c r="H248" i="2" s="1"/>
  <c r="D982" i="2"/>
  <c r="H982" i="2" s="1"/>
  <c r="D35" i="2"/>
  <c r="H35" i="2" s="1"/>
  <c r="D20" i="2"/>
  <c r="H20" i="2" s="1"/>
  <c r="D58" i="2"/>
  <c r="H58" i="2" s="1"/>
  <c r="D500" i="2"/>
  <c r="H500" i="2" s="1"/>
  <c r="D259" i="2"/>
  <c r="H259" i="2" s="1"/>
  <c r="D10" i="2"/>
  <c r="H10" i="2" s="1"/>
  <c r="D188" i="2"/>
  <c r="H188" i="2" s="1"/>
  <c r="D560" i="2"/>
  <c r="H560" i="2" s="1"/>
  <c r="D56" i="2"/>
  <c r="H56" i="2" s="1"/>
  <c r="D348" i="2"/>
  <c r="H348" i="2" s="1"/>
  <c r="D806" i="2"/>
  <c r="H806" i="2" s="1"/>
  <c r="D696" i="2"/>
  <c r="H696" i="2" s="1"/>
  <c r="D894" i="2"/>
  <c r="H894" i="2" s="1"/>
  <c r="D474" i="2"/>
  <c r="H474" i="2" s="1"/>
  <c r="D554" i="2"/>
  <c r="H554" i="2" s="1"/>
  <c r="D952" i="2"/>
  <c r="H952" i="2" s="1"/>
  <c r="D230" i="2"/>
  <c r="H230" i="2" s="1"/>
  <c r="D410" i="2"/>
  <c r="H410" i="2" s="1"/>
  <c r="D834" i="2"/>
  <c r="H834" i="2" s="1"/>
  <c r="D789" i="2"/>
  <c r="H789" i="2" s="1"/>
  <c r="D103" i="2"/>
  <c r="H103" i="2" s="1"/>
  <c r="D425" i="2"/>
  <c r="H425" i="2" s="1"/>
  <c r="D678" i="2"/>
  <c r="H678" i="2" s="1"/>
  <c r="D912" i="2"/>
  <c r="H912" i="2" s="1"/>
  <c r="D300" i="2"/>
  <c r="H300" i="2" s="1"/>
  <c r="D363" i="2"/>
  <c r="H363" i="2" s="1"/>
  <c r="D587" i="2"/>
  <c r="H587" i="2" s="1"/>
  <c r="D603" i="2"/>
  <c r="H603" i="2" s="1"/>
  <c r="D578" i="2"/>
  <c r="H578" i="2" s="1"/>
  <c r="D943" i="2"/>
  <c r="H943" i="2" s="1"/>
  <c r="D745" i="2"/>
  <c r="H745" i="2" s="1"/>
  <c r="D791" i="2"/>
  <c r="H791" i="2" s="1"/>
  <c r="D424" i="2"/>
  <c r="H424" i="2" s="1"/>
  <c r="D22" i="2"/>
  <c r="H22" i="2" s="1"/>
  <c r="D940" i="2"/>
  <c r="H940" i="2" s="1"/>
  <c r="D198" i="2"/>
  <c r="H198" i="2" s="1"/>
  <c r="D165" i="2"/>
  <c r="H165" i="2" s="1"/>
  <c r="D755" i="2"/>
  <c r="H755" i="2" s="1"/>
  <c r="D786" i="2"/>
  <c r="H786" i="2" s="1"/>
  <c r="D442" i="2"/>
  <c r="H442" i="2" s="1"/>
  <c r="D175" i="2"/>
  <c r="H175" i="2" s="1"/>
  <c r="D818" i="2"/>
  <c r="H818" i="2" s="1"/>
  <c r="D445" i="2"/>
  <c r="H445" i="2" s="1"/>
  <c r="D787" i="2"/>
  <c r="H787" i="2" s="1"/>
  <c r="D499" i="2"/>
  <c r="H499" i="2" s="1"/>
  <c r="D910" i="2"/>
  <c r="H910" i="2" s="1"/>
  <c r="D220" i="2"/>
  <c r="H220" i="2" s="1"/>
  <c r="D717" i="2"/>
  <c r="H717" i="2" s="1"/>
  <c r="D939" i="2"/>
  <c r="H939" i="2" s="1"/>
  <c r="D920" i="2"/>
  <c r="H920" i="2" s="1"/>
  <c r="D347" i="2"/>
  <c r="H347" i="2" s="1"/>
  <c r="D999" i="2"/>
  <c r="H999" i="2" s="1"/>
  <c r="D727" i="2"/>
  <c r="H727" i="2" s="1"/>
  <c r="D757" i="2"/>
  <c r="H757" i="2" s="1"/>
  <c r="D631" i="2"/>
  <c r="H631" i="2" s="1"/>
  <c r="D447" i="2"/>
  <c r="H447" i="2" s="1"/>
  <c r="D196" i="2"/>
  <c r="H196" i="2" s="1"/>
  <c r="D286" i="2"/>
  <c r="H286" i="2" s="1"/>
  <c r="D980" i="2"/>
  <c r="H980" i="2" s="1"/>
  <c r="D713" i="2"/>
  <c r="H713" i="2" s="1"/>
  <c r="D804" i="2"/>
  <c r="H804" i="2" s="1"/>
  <c r="D628" i="2"/>
  <c r="H628" i="2" s="1"/>
  <c r="D635" i="2"/>
  <c r="H635" i="2" s="1"/>
  <c r="D37" i="2"/>
  <c r="H37" i="2" s="1"/>
  <c r="D201" i="2"/>
  <c r="H201" i="2" s="1"/>
  <c r="D546" i="2"/>
  <c r="H546" i="2" s="1"/>
  <c r="D453" i="2"/>
  <c r="H453" i="2" s="1"/>
  <c r="D974" i="2"/>
  <c r="H974" i="2" s="1"/>
  <c r="D369" i="2"/>
  <c r="H369" i="2" s="1"/>
  <c r="D896" i="2"/>
  <c r="H896" i="2" s="1"/>
  <c r="D783" i="2"/>
  <c r="H783" i="2" s="1"/>
  <c r="D515" i="2"/>
  <c r="H515" i="2" s="1"/>
  <c r="D730" i="2"/>
  <c r="H730" i="2" s="1"/>
  <c r="D746" i="2"/>
  <c r="H746" i="2" s="1"/>
  <c r="D127" i="2"/>
  <c r="H127" i="2" s="1"/>
  <c r="D489" i="2"/>
  <c r="H489" i="2" s="1"/>
  <c r="D393" i="2"/>
  <c r="H393" i="2" s="1"/>
  <c r="D443" i="2"/>
  <c r="H443" i="2" s="1"/>
  <c r="D350" i="2"/>
  <c r="H350" i="2" s="1"/>
  <c r="D466" i="2"/>
  <c r="H466" i="2" s="1"/>
  <c r="D836" i="2"/>
  <c r="H836" i="2" s="1"/>
  <c r="D901" i="2"/>
  <c r="H901" i="2" s="1"/>
  <c r="D742" i="2"/>
  <c r="H742" i="2" s="1"/>
  <c r="D506" i="2"/>
  <c r="H506" i="2" s="1"/>
  <c r="D875" i="2"/>
  <c r="H875" i="2" s="1"/>
  <c r="D906" i="2"/>
  <c r="H906" i="2" s="1"/>
  <c r="D114" i="2"/>
  <c r="H114" i="2" s="1"/>
  <c r="D619" i="2"/>
  <c r="H619" i="2" s="1"/>
  <c r="D386" i="2"/>
  <c r="H386" i="2" s="1"/>
  <c r="D844" i="2"/>
  <c r="H844" i="2" s="1"/>
  <c r="D84" i="2"/>
  <c r="H84" i="2" s="1"/>
  <c r="D847" i="2"/>
  <c r="H847" i="2" s="1"/>
  <c r="D33" i="2"/>
  <c r="H33" i="2" s="1"/>
  <c r="D849" i="2"/>
  <c r="H849" i="2" s="1"/>
  <c r="D376" i="2"/>
  <c r="H376" i="2" s="1"/>
  <c r="D577" i="2"/>
  <c r="H577" i="2" s="1"/>
  <c r="D276" i="2"/>
  <c r="H276" i="2" s="1"/>
  <c r="D355" i="2"/>
  <c r="H355" i="2" s="1"/>
  <c r="D487" i="2"/>
  <c r="H487" i="2" s="1"/>
  <c r="D593" i="2"/>
  <c r="H593" i="2" s="1"/>
  <c r="D41" i="2"/>
  <c r="H41" i="2" s="1"/>
  <c r="D313" i="2"/>
  <c r="H313" i="2" s="1"/>
  <c r="D571" i="2"/>
  <c r="H571" i="2" s="1"/>
  <c r="D326" i="2"/>
  <c r="H326" i="2" s="1"/>
  <c r="D945" i="2"/>
  <c r="H945" i="2" s="1"/>
  <c r="D304" i="2"/>
  <c r="H304" i="2" s="1"/>
  <c r="D964" i="2"/>
  <c r="H964" i="2" s="1"/>
  <c r="D79" i="2"/>
  <c r="H79" i="2" s="1"/>
  <c r="D330" i="2"/>
  <c r="H330" i="2" s="1"/>
  <c r="D417" i="2"/>
  <c r="H417" i="2" s="1"/>
  <c r="D987" i="2"/>
  <c r="H987" i="2" s="1"/>
  <c r="D334" i="2"/>
  <c r="H334" i="2" s="1"/>
  <c r="D548" i="2"/>
  <c r="H548" i="2" s="1"/>
  <c r="D290" i="2"/>
  <c r="H290" i="2" s="1"/>
  <c r="D602" i="2"/>
  <c r="H602" i="2" s="1"/>
  <c r="D384" i="2"/>
  <c r="H384" i="2" s="1"/>
  <c r="D592" i="2"/>
  <c r="H592" i="2" s="1"/>
  <c r="D961" i="2"/>
  <c r="H961" i="2" s="1"/>
  <c r="D756" i="2"/>
  <c r="H756" i="2" s="1"/>
  <c r="D357" i="2"/>
  <c r="H357" i="2" s="1"/>
  <c r="D677" i="2"/>
  <c r="H677" i="2" s="1"/>
  <c r="D636" i="2"/>
  <c r="H636" i="2" s="1"/>
  <c r="D40" i="2"/>
  <c r="H40" i="2" s="1"/>
  <c r="D157" i="2"/>
  <c r="H157" i="2" s="1"/>
  <c r="D225" i="2"/>
  <c r="H225" i="2" s="1"/>
  <c r="D311" i="2"/>
  <c r="H311" i="2" s="1"/>
  <c r="D897" i="2"/>
  <c r="H897" i="2" s="1"/>
  <c r="D143" i="2"/>
  <c r="H143" i="2" s="1"/>
  <c r="D34" i="2"/>
  <c r="H34" i="2" s="1"/>
  <c r="D152" i="2"/>
  <c r="H152" i="2" s="1"/>
  <c r="D935" i="2"/>
  <c r="H935" i="2" s="1"/>
  <c r="D655" i="2"/>
  <c r="H655" i="2" s="1"/>
  <c r="D481" i="2"/>
  <c r="H481" i="2" s="1"/>
  <c r="D429" i="2"/>
  <c r="H429" i="2" s="1"/>
  <c r="D664" i="2"/>
  <c r="H664" i="2" s="1"/>
  <c r="D123" i="2"/>
  <c r="H123" i="2" s="1"/>
  <c r="D909" i="2"/>
  <c r="H909" i="2" s="1"/>
  <c r="D857" i="2"/>
  <c r="H857" i="2" s="1"/>
  <c r="D942" i="2"/>
  <c r="H942" i="2" s="1"/>
  <c r="D337" i="2"/>
  <c r="H337" i="2" s="1"/>
  <c r="D404" i="2"/>
  <c r="H404" i="2" s="1"/>
  <c r="D732" i="2"/>
  <c r="H732" i="2" s="1"/>
  <c r="D183" i="2"/>
  <c r="H183" i="2" s="1"/>
  <c r="D933" i="2"/>
  <c r="H933" i="2" s="1"/>
  <c r="D262" i="2"/>
  <c r="H262" i="2" s="1"/>
  <c r="D637" i="2"/>
  <c r="H637" i="2" s="1"/>
  <c r="D283" i="2"/>
  <c r="H283" i="2" s="1"/>
  <c r="D788" i="2"/>
  <c r="H788" i="2" s="1"/>
  <c r="D959" i="2"/>
  <c r="H959" i="2" s="1"/>
  <c r="C959" i="2"/>
  <c r="E959" i="2"/>
  <c r="E418" i="2"/>
  <c r="E92" i="2"/>
  <c r="E669" i="2"/>
  <c r="E488" i="2"/>
  <c r="E731" i="2"/>
  <c r="E626" i="2"/>
  <c r="E887" i="2"/>
  <c r="E797" i="2"/>
  <c r="E657" i="2"/>
  <c r="E581" i="2"/>
  <c r="E316" i="2"/>
  <c r="E396" i="2"/>
  <c r="E698" i="2"/>
  <c r="E18" i="2"/>
  <c r="E629" i="2"/>
  <c r="E51" i="2"/>
  <c r="E873" i="2"/>
  <c r="E575" i="2"/>
  <c r="E774" i="2"/>
  <c r="E976" i="2"/>
  <c r="E891" i="2"/>
  <c r="E463" i="2"/>
  <c r="E116" i="2"/>
  <c r="E66" i="2"/>
  <c r="E705" i="2"/>
  <c r="E93" i="2"/>
  <c r="E275" i="2"/>
  <c r="E990" i="2"/>
  <c r="E243" i="2"/>
  <c r="E454" i="2"/>
  <c r="E214" i="2"/>
  <c r="E738" i="2"/>
  <c r="E208" i="2"/>
  <c r="E55" i="2"/>
  <c r="E567" i="2"/>
  <c r="E829" i="2"/>
  <c r="E252" i="2"/>
  <c r="E469" i="2"/>
  <c r="E900" i="2"/>
  <c r="E190" i="2"/>
  <c r="E510" i="2"/>
  <c r="E749" i="2"/>
  <c r="E147" i="2"/>
  <c r="E234" i="2"/>
  <c r="E773" i="2"/>
  <c r="E8" i="2"/>
  <c r="E913" i="2"/>
  <c r="E211" i="2"/>
  <c r="E475" i="2"/>
  <c r="E29" i="2"/>
  <c r="E4" i="2"/>
  <c r="E14" i="2"/>
  <c r="E679" i="2"/>
  <c r="E607" i="2"/>
  <c r="E815" i="2"/>
  <c r="E149" i="2"/>
  <c r="E39" i="2"/>
  <c r="E108" i="2"/>
  <c r="E310" i="2"/>
  <c r="E194" i="2"/>
  <c r="E102" i="2"/>
  <c r="E969" i="2"/>
  <c r="E570" i="2"/>
  <c r="E895" i="2"/>
  <c r="E401" i="2"/>
  <c r="E594" i="2"/>
  <c r="E446" i="2"/>
  <c r="E406" i="2"/>
  <c r="E412" i="2"/>
  <c r="E566" i="2"/>
  <c r="E155" i="2"/>
  <c r="E616" i="2"/>
  <c r="E303" i="2"/>
  <c r="E754" i="2"/>
  <c r="E497" i="2"/>
  <c r="E287" i="2"/>
  <c r="E87" i="2"/>
  <c r="E215" i="2"/>
  <c r="E492" i="2"/>
  <c r="E122" i="2"/>
  <c r="E764" i="2"/>
  <c r="E219" i="2"/>
  <c r="E265" i="2"/>
  <c r="E922" i="2"/>
  <c r="E166" i="2"/>
  <c r="E733" i="2"/>
  <c r="E260" i="2"/>
  <c r="E112" i="2"/>
  <c r="E693" i="2"/>
  <c r="E507" i="2"/>
  <c r="E688" i="2"/>
  <c r="E778" i="2"/>
  <c r="E11" i="2"/>
  <c r="E962" i="2"/>
  <c r="E700" i="2"/>
  <c r="E85" i="2"/>
  <c r="E798" i="2"/>
  <c r="E199" i="2"/>
  <c r="E344" i="2"/>
  <c r="E137" i="2"/>
  <c r="E135" i="2"/>
  <c r="E413" i="2"/>
  <c r="E156" i="2"/>
  <c r="E236" i="2"/>
  <c r="E419" i="2"/>
  <c r="E658" i="2"/>
  <c r="E526" i="2"/>
  <c r="E280" i="2"/>
  <c r="E88" i="2"/>
  <c r="E213" i="2"/>
  <c r="E936" i="2"/>
  <c r="E550" i="2"/>
  <c r="E111" i="2"/>
  <c r="E5" i="2"/>
  <c r="E255" i="2"/>
  <c r="E785" i="2"/>
  <c r="E186" i="2"/>
  <c r="E551" i="2"/>
  <c r="E851" i="2"/>
  <c r="E819" i="2"/>
  <c r="E633" i="2"/>
  <c r="E784" i="2"/>
  <c r="E706" i="2"/>
  <c r="E807" i="2"/>
  <c r="E718" i="2"/>
  <c r="E589" i="2"/>
  <c r="E947" i="2"/>
  <c r="E117" i="2"/>
  <c r="E765" i="2"/>
  <c r="E415" i="2"/>
  <c r="E361" i="2"/>
  <c r="E681" i="2"/>
  <c r="E250" i="2"/>
  <c r="E329" i="2"/>
  <c r="E972" i="2"/>
  <c r="E670" i="2"/>
  <c r="E314" i="2"/>
  <c r="E174" i="2"/>
  <c r="E333" i="2"/>
  <c r="E907" i="2"/>
  <c r="E699" i="2"/>
  <c r="E929" i="2"/>
  <c r="E752" i="2"/>
  <c r="E141" i="2"/>
  <c r="E544" i="2"/>
  <c r="E284" i="2"/>
  <c r="E960" i="2"/>
  <c r="E210" i="2"/>
  <c r="E926" i="2"/>
  <c r="E823" i="2"/>
  <c r="E298" i="2"/>
  <c r="E197" i="2"/>
  <c r="E832" i="2"/>
  <c r="E843" i="2"/>
  <c r="E232" i="2"/>
  <c r="E26" i="2"/>
  <c r="E3" i="2"/>
  <c r="E21" i="2"/>
  <c r="E879" i="2"/>
  <c r="E372" i="2"/>
  <c r="E923" i="2"/>
  <c r="E691" i="2"/>
  <c r="E315" i="2"/>
  <c r="E185" i="2"/>
  <c r="E533" i="2"/>
  <c r="E195" i="2"/>
  <c r="E452" i="2"/>
  <c r="E296" i="2"/>
  <c r="E338" i="2"/>
  <c r="E31" i="2"/>
  <c r="E563" i="2"/>
  <c r="E414" i="2"/>
  <c r="E973" i="2"/>
  <c r="E505" i="2"/>
  <c r="E888" i="2"/>
  <c r="E848" i="2"/>
  <c r="E151" i="2"/>
  <c r="E719" i="2"/>
  <c r="E568" i="2"/>
  <c r="E729" i="2"/>
  <c r="E140" i="2"/>
  <c r="E458" i="2"/>
  <c r="E826" i="2"/>
  <c r="E6" i="2"/>
  <c r="E978" i="2"/>
  <c r="E435" i="2"/>
  <c r="E769" i="2"/>
  <c r="E624" i="2"/>
  <c r="E988" i="2"/>
  <c r="E762" i="2"/>
  <c r="E545" i="2"/>
  <c r="E937" i="2"/>
  <c r="E821" i="2"/>
  <c r="E272" i="2"/>
  <c r="E62" i="2"/>
  <c r="E979" i="2"/>
  <c r="E118" i="2"/>
  <c r="E216" i="2"/>
  <c r="E322" i="2"/>
  <c r="E229" i="2"/>
  <c r="E989" i="2"/>
  <c r="E884" i="2"/>
  <c r="E328" i="2"/>
  <c r="E958" i="2"/>
  <c r="E383" i="2"/>
  <c r="E724" i="2"/>
  <c r="E694" i="2"/>
  <c r="E432" i="2"/>
  <c r="E781" i="2"/>
  <c r="E892" i="2"/>
  <c r="E293" i="2"/>
  <c r="E171" i="2"/>
  <c r="E124" i="2"/>
  <c r="E491" i="2"/>
  <c r="E758" i="2"/>
  <c r="E983" i="2"/>
  <c r="E956" i="2"/>
  <c r="E398" i="2"/>
  <c r="E971" i="2"/>
  <c r="E101" i="2"/>
  <c r="E649" i="2"/>
  <c r="E268" i="2"/>
  <c r="E722" i="2"/>
  <c r="E86" i="2"/>
  <c r="E479" i="2"/>
  <c r="E501" i="2"/>
  <c r="E238" i="2"/>
  <c r="E1000" i="2"/>
  <c r="E643" i="2"/>
  <c r="E158" i="2"/>
  <c r="E650" i="2"/>
  <c r="E221" i="2"/>
  <c r="E483" i="2"/>
  <c r="E562" i="2"/>
  <c r="E437" i="2"/>
  <c r="E621" i="2"/>
  <c r="E444" i="2"/>
  <c r="E113" i="2"/>
  <c r="E792" i="2"/>
  <c r="E191" i="2"/>
  <c r="E918" i="2"/>
  <c r="E517" i="2"/>
  <c r="E217" i="2"/>
  <c r="E707" i="2"/>
  <c r="E256" i="2"/>
  <c r="E493" i="2"/>
  <c r="E179" i="2"/>
  <c r="E852" i="2"/>
  <c r="E524" i="2"/>
  <c r="E67" i="2"/>
  <c r="E521" i="2"/>
  <c r="E585" i="2"/>
  <c r="E842" i="2"/>
  <c r="E599" i="2"/>
  <c r="E99" i="2"/>
  <c r="E441" i="2"/>
  <c r="E365" i="2"/>
  <c r="E455" i="2"/>
  <c r="E371" i="2"/>
  <c r="E683" i="2"/>
  <c r="E162" i="2"/>
  <c r="E449" i="2"/>
  <c r="E530" i="2"/>
  <c r="E251" i="2"/>
  <c r="E23" i="2"/>
  <c r="E661" i="2"/>
  <c r="E617" i="2"/>
  <c r="E48" i="2"/>
  <c r="E673" i="2"/>
  <c r="E504" i="2"/>
  <c r="E642" i="2"/>
  <c r="E327" i="2"/>
  <c r="E318" i="2"/>
  <c r="E739" i="2"/>
  <c r="E81" i="2"/>
  <c r="E19" i="2"/>
  <c r="E17" i="2"/>
  <c r="E995" i="2"/>
  <c r="E609" i="2"/>
  <c r="E95" i="2"/>
  <c r="E878" i="2"/>
  <c r="E436" i="2"/>
  <c r="E370" i="2"/>
  <c r="E381" i="2"/>
  <c r="E83" i="2"/>
  <c r="E915" i="2"/>
  <c r="E299" i="2"/>
  <c r="E916" i="2"/>
  <c r="E772" i="2"/>
  <c r="E775" i="2"/>
  <c r="E734" i="2"/>
  <c r="E115" i="2"/>
  <c r="E360" i="2"/>
  <c r="E473" i="2"/>
  <c r="E654" i="2"/>
  <c r="E519" i="2"/>
  <c r="E555" i="2"/>
  <c r="E872" i="2"/>
  <c r="E680" i="2"/>
  <c r="E634" i="2"/>
  <c r="E332" i="2"/>
  <c r="E279" i="2"/>
  <c r="E747" i="2"/>
  <c r="E438" i="2"/>
  <c r="E490" i="2"/>
  <c r="E776" i="2"/>
  <c r="E965" i="2"/>
  <c r="E100" i="2"/>
  <c r="E218" i="2"/>
  <c r="E411" i="2"/>
  <c r="E70" i="2"/>
  <c r="E576" i="2"/>
  <c r="E9" i="2"/>
  <c r="E339" i="2"/>
  <c r="E748" i="2"/>
  <c r="E833" i="2"/>
  <c r="E623" i="2"/>
  <c r="E612" i="2"/>
  <c r="E448" i="2"/>
  <c r="E312" i="2"/>
  <c r="E970" i="2"/>
  <c r="E98" i="2"/>
  <c r="E89" i="2"/>
  <c r="E509" i="2"/>
  <c r="E932" i="2"/>
  <c r="E144" i="2"/>
  <c r="E356" i="2"/>
  <c r="E49" i="2"/>
  <c r="E184" i="2"/>
  <c r="E921" i="2"/>
  <c r="E824" i="2"/>
  <c r="E809" i="2"/>
  <c r="E553" i="2"/>
  <c r="E306" i="2"/>
  <c r="E464" i="2"/>
  <c r="E388" i="2"/>
  <c r="E997" i="2"/>
  <c r="E382" i="2"/>
  <c r="E535" i="2"/>
  <c r="E246" i="2"/>
  <c r="E953" i="2"/>
  <c r="E263" i="2"/>
  <c r="E373" i="2"/>
  <c r="E28" i="2"/>
  <c r="E402" i="2"/>
  <c r="E595" i="2"/>
  <c r="E270" i="2"/>
  <c r="E427" i="2"/>
  <c r="E828" i="2"/>
  <c r="E860" i="2"/>
  <c r="E511" i="2"/>
  <c r="E374" i="2"/>
  <c r="E150" i="2"/>
  <c r="E899" i="2"/>
  <c r="E109" i="2"/>
  <c r="E771" i="2"/>
  <c r="E689" i="2"/>
  <c r="E615" i="2"/>
  <c r="E226" i="2"/>
  <c r="E686" i="2"/>
  <c r="E675" i="2"/>
  <c r="E665" i="2"/>
  <c r="E163" i="2"/>
  <c r="E518" i="2"/>
  <c r="E266" i="2"/>
  <c r="E331" i="2"/>
  <c r="E480" i="2"/>
  <c r="E855" i="2"/>
  <c r="E257" i="2"/>
  <c r="E136" i="2"/>
  <c r="E295" i="2"/>
  <c r="E76" i="2"/>
  <c r="E596" i="2"/>
  <c r="E702" i="2"/>
  <c r="E529" i="2"/>
  <c r="E614" i="2"/>
  <c r="E72" i="2"/>
  <c r="E968" i="2"/>
  <c r="E42" i="2"/>
  <c r="E63" i="2"/>
  <c r="E928" i="2"/>
  <c r="E164" i="2"/>
  <c r="E351" i="2"/>
  <c r="E672" i="2"/>
  <c r="E949" i="2"/>
  <c r="E790" i="2"/>
  <c r="E759" i="2"/>
  <c r="E750" i="2"/>
  <c r="E96" i="2"/>
  <c r="E919" i="2"/>
  <c r="E309" i="2"/>
  <c r="E687" i="2"/>
  <c r="E434" i="2"/>
  <c r="E905" i="2"/>
  <c r="E598" i="2"/>
  <c r="E12" i="2"/>
  <c r="E646" i="2"/>
  <c r="E15" i="2"/>
  <c r="E207" i="2"/>
  <c r="E861" i="2"/>
  <c r="E482" i="2"/>
  <c r="E984" i="2"/>
  <c r="E168" i="2"/>
  <c r="E811" i="2"/>
  <c r="E660" i="2"/>
  <c r="E368" i="2"/>
  <c r="E244" i="2"/>
  <c r="E50" i="2"/>
  <c r="E547" i="2"/>
  <c r="E814" i="2"/>
  <c r="E579" i="2"/>
  <c r="E648" i="2"/>
  <c r="E541" i="2"/>
  <c r="E993" i="2"/>
  <c r="E532" i="2"/>
  <c r="E886" i="2"/>
  <c r="E106" i="2"/>
  <c r="E644" i="2"/>
  <c r="E107" i="2"/>
  <c r="E552" i="2"/>
  <c r="E154" i="2"/>
  <c r="E342" i="2"/>
  <c r="E433" i="2"/>
  <c r="E267" i="2"/>
  <c r="E44" i="2"/>
  <c r="E597" i="2"/>
  <c r="E523" i="2"/>
  <c r="E954" i="2"/>
  <c r="E169" i="2"/>
  <c r="E564" i="2"/>
  <c r="E426" i="2"/>
  <c r="E981" i="2"/>
  <c r="E522" i="2"/>
  <c r="E395" i="2"/>
  <c r="E580" i="2"/>
  <c r="E408" i="2"/>
  <c r="E54" i="2"/>
  <c r="E794" i="2"/>
  <c r="E822" i="2"/>
  <c r="E516" i="2"/>
  <c r="E827" i="2"/>
  <c r="E846" i="2"/>
  <c r="E904" i="2"/>
  <c r="E543" i="2"/>
  <c r="E514" i="2"/>
  <c r="E871" i="2"/>
  <c r="E708" i="2"/>
  <c r="E653" i="2"/>
  <c r="E75" i="2"/>
  <c r="E889" i="2"/>
  <c r="E187" i="2"/>
  <c r="E704" i="2"/>
  <c r="E27" i="2"/>
  <c r="E911" i="2"/>
  <c r="E985" i="2"/>
  <c r="E212" i="2"/>
  <c r="E390" i="2"/>
  <c r="E90" i="2"/>
  <c r="E777" i="2"/>
  <c r="E714" i="2"/>
  <c r="E379" i="2"/>
  <c r="E132" i="2"/>
  <c r="E841" i="2"/>
  <c r="E868" i="2"/>
  <c r="E176" i="2"/>
  <c r="E73" i="2"/>
  <c r="E273" i="2"/>
  <c r="E403" i="2"/>
  <c r="E486" i="2"/>
  <c r="E711" i="2"/>
  <c r="E994" i="2"/>
  <c r="E966" i="2"/>
  <c r="E882" i="2"/>
  <c r="E898" i="2"/>
  <c r="E656" i="2"/>
  <c r="E666" i="2"/>
  <c r="E247" i="2"/>
  <c r="E863" i="2"/>
  <c r="E200" i="2"/>
  <c r="E812" i="2"/>
  <c r="E583" i="2"/>
  <c r="E902" i="2"/>
  <c r="E917" i="2"/>
  <c r="E288" i="2"/>
  <c r="E763" i="2"/>
  <c r="E498" i="2"/>
  <c r="E741" i="2"/>
  <c r="E810" i="2"/>
  <c r="E495" i="2"/>
  <c r="E955" i="2"/>
  <c r="E160" i="2"/>
  <c r="E423" i="2"/>
  <c r="E618" i="2"/>
  <c r="E120" i="2"/>
  <c r="E716" i="2"/>
  <c r="E925" i="2"/>
  <c r="E74" i="2"/>
  <c r="E399" i="2"/>
  <c r="E525" i="2"/>
  <c r="E690" i="2"/>
  <c r="E779" i="2"/>
  <c r="E465" i="2"/>
  <c r="E222" i="2"/>
  <c r="E835" i="2"/>
  <c r="E36" i="2"/>
  <c r="E352" i="2"/>
  <c r="E345" i="2"/>
  <c r="E119" i="2"/>
  <c r="E782" i="2"/>
  <c r="E938" i="2"/>
  <c r="E721" i="2"/>
  <c r="E173" i="2"/>
  <c r="E362" i="2"/>
  <c r="E485" i="2"/>
  <c r="E204" i="2"/>
  <c r="E77" i="2"/>
  <c r="E924" i="2"/>
  <c r="E302" i="2"/>
  <c r="E743" i="2"/>
  <c r="E645" i="2"/>
  <c r="E856" i="2"/>
  <c r="E627" i="2"/>
  <c r="E242" i="2"/>
  <c r="E277" i="2"/>
  <c r="E53" i="2"/>
  <c r="E422" i="2"/>
  <c r="E319" i="2"/>
  <c r="E813" i="2"/>
  <c r="E91" i="2"/>
  <c r="E944" i="2"/>
  <c r="E880" i="2"/>
  <c r="E224" i="2"/>
  <c r="E957" i="2"/>
  <c r="E831" i="2"/>
  <c r="E289" i="2"/>
  <c r="E639" i="2"/>
  <c r="E133" i="2"/>
  <c r="E346" i="2"/>
  <c r="E192" i="2"/>
  <c r="E450" i="2"/>
  <c r="E61" i="2"/>
  <c r="E582" i="2"/>
  <c r="E389" i="2"/>
  <c r="E573" i="2"/>
  <c r="E751" i="2"/>
  <c r="E153" i="2"/>
  <c r="E282" i="2"/>
  <c r="E343" i="2"/>
  <c r="E235" i="2"/>
  <c r="E254" i="2"/>
  <c r="E181" i="2"/>
  <c r="E416" i="2"/>
  <c r="E291" i="2"/>
  <c r="E584" i="2"/>
  <c r="E145" i="2"/>
  <c r="E684" i="2"/>
  <c r="E611" i="2"/>
  <c r="E605" i="2"/>
  <c r="E712" i="2"/>
  <c r="E349" i="2"/>
  <c r="E934" i="2"/>
  <c r="E223" i="2"/>
  <c r="E574" i="2"/>
  <c r="E975" i="2"/>
  <c r="E378" i="2"/>
  <c r="E838" i="2"/>
  <c r="E671" i="2"/>
  <c r="E80" i="2"/>
  <c r="E770" i="2"/>
  <c r="E104" i="2"/>
  <c r="E38" i="2"/>
  <c r="E805" i="2"/>
  <c r="E134" i="2"/>
  <c r="E420" i="2"/>
  <c r="E534" i="2"/>
  <c r="E820" i="2"/>
  <c r="E674" i="2"/>
  <c r="E539" i="2"/>
  <c r="E527" i="2"/>
  <c r="E335" i="2"/>
  <c r="E471" i="2"/>
  <c r="E682" i="2"/>
  <c r="E43" i="2"/>
  <c r="E528" i="2"/>
  <c r="E728" i="2"/>
  <c r="E180" i="2"/>
  <c r="E697" i="2"/>
  <c r="E78" i="2"/>
  <c r="E659" i="2"/>
  <c r="E142" i="2"/>
  <c r="E206" i="2"/>
  <c r="E25" i="2"/>
  <c r="E839" i="2"/>
  <c r="E239" i="2"/>
  <c r="E16" i="2"/>
  <c r="E477" i="2"/>
  <c r="E461" i="2"/>
  <c r="E998" i="2"/>
  <c r="E866" i="2"/>
  <c r="E715" i="2"/>
  <c r="E65" i="2"/>
  <c r="E375" i="2"/>
  <c r="E7" i="2"/>
  <c r="E951" i="2"/>
  <c r="E625" i="2"/>
  <c r="E237" i="2"/>
  <c r="E647" i="2"/>
  <c r="E470" i="2"/>
  <c r="E845" i="2"/>
  <c r="E57" i="2"/>
  <c r="E837" i="2"/>
  <c r="E460" i="2"/>
  <c r="E431" i="2"/>
  <c r="E725" i="2"/>
  <c r="E456" i="2"/>
  <c r="E341" i="2"/>
  <c r="E963" i="2"/>
  <c r="E830" i="2"/>
  <c r="E366" i="2"/>
  <c r="E744" i="2"/>
  <c r="E676" i="2"/>
  <c r="E803" i="2"/>
  <c r="E606" i="2"/>
  <c r="E430" i="2"/>
  <c r="E494" i="2"/>
  <c r="E387" i="2"/>
  <c r="E874" i="2"/>
  <c r="E320" i="2"/>
  <c r="E392" i="2"/>
  <c r="E723" i="2"/>
  <c r="E536" i="2"/>
  <c r="E285" i="2"/>
  <c r="E105" i="2"/>
  <c r="E540" i="2"/>
  <c r="E30" i="2"/>
  <c r="E780" i="2"/>
  <c r="E557" i="2"/>
  <c r="E632" i="2"/>
  <c r="E736" i="2"/>
  <c r="E278" i="2"/>
  <c r="E472" i="2"/>
  <c r="E258" i="2"/>
  <c r="E561" i="2"/>
  <c r="E227" i="2"/>
  <c r="E840" i="2"/>
  <c r="E737" i="2"/>
  <c r="E241" i="2"/>
  <c r="E161" i="2"/>
  <c r="E148" i="2"/>
  <c r="E468" i="2"/>
  <c r="E82" i="2"/>
  <c r="E292" i="2"/>
  <c r="E802" i="2"/>
  <c r="E817" i="2"/>
  <c r="E205" i="2"/>
  <c r="E359" i="2"/>
  <c r="E240" i="2"/>
  <c r="E950" i="2"/>
  <c r="E948" i="2"/>
  <c r="E808" i="2"/>
  <c r="E865" i="2"/>
  <c r="E565" i="2"/>
  <c r="E996" i="2"/>
  <c r="E307" i="2"/>
  <c r="E931" i="2"/>
  <c r="E588" i="2"/>
  <c r="E608" i="2"/>
  <c r="E439" i="2"/>
  <c r="E941" i="2"/>
  <c r="E128" i="2"/>
  <c r="E385" i="2"/>
  <c r="E167" i="2"/>
  <c r="E308" i="2"/>
  <c r="E859" i="2"/>
  <c r="E367" i="2"/>
  <c r="E305" i="2"/>
  <c r="E459" i="2"/>
  <c r="E457" i="2"/>
  <c r="E45" i="2"/>
  <c r="E271" i="2"/>
  <c r="E131" i="2"/>
  <c r="E720" i="2"/>
  <c r="E139" i="2"/>
  <c r="E301" i="2"/>
  <c r="E110" i="2"/>
  <c r="E549" i="2"/>
  <c r="E496" i="2"/>
  <c r="E97" i="2"/>
  <c r="E893" i="2"/>
  <c r="E336" i="2"/>
  <c r="E867" i="2"/>
  <c r="E249" i="2"/>
  <c r="E967" i="2"/>
  <c r="E613" i="2"/>
  <c r="E853" i="2"/>
  <c r="E264" i="2"/>
  <c r="E69" i="2"/>
  <c r="E2" i="2"/>
  <c r="E927" i="2"/>
  <c r="E881" i="2"/>
  <c r="E484" i="2"/>
  <c r="E796" i="2"/>
  <c r="E24" i="2"/>
  <c r="E325" i="2"/>
  <c r="E125" i="2"/>
  <c r="E189" i="2"/>
  <c r="E556" i="2"/>
  <c r="E877" i="2"/>
  <c r="E864" i="2"/>
  <c r="E876" i="2"/>
  <c r="E590" i="2"/>
  <c r="E159" i="2"/>
  <c r="E407" i="2"/>
  <c r="E294" i="2"/>
  <c r="E68" i="2"/>
  <c r="E47" i="2"/>
  <c r="E59" i="2"/>
  <c r="E130" i="2"/>
  <c r="E651" i="2"/>
  <c r="E202" i="2"/>
  <c r="E245" i="2"/>
  <c r="E13" i="2"/>
  <c r="E652" i="2"/>
  <c r="E46" i="2"/>
  <c r="E766" i="2"/>
  <c r="E508" i="2"/>
  <c r="E261" i="2"/>
  <c r="E695" i="2"/>
  <c r="E60" i="2"/>
  <c r="E709" i="2"/>
  <c r="E703" i="2"/>
  <c r="E591" i="2"/>
  <c r="E760" i="2"/>
  <c r="E768" i="2"/>
  <c r="E850" i="2"/>
  <c r="E228" i="2"/>
  <c r="E622" i="2"/>
  <c r="E364" i="2"/>
  <c r="E914" i="2"/>
  <c r="E177" i="2"/>
  <c r="E170" i="2"/>
  <c r="E467" i="2"/>
  <c r="E537" i="2"/>
  <c r="E354" i="2"/>
  <c r="E870" i="2"/>
  <c r="E991" i="2"/>
  <c r="E146" i="2"/>
  <c r="E531" i="2"/>
  <c r="E640" i="2"/>
  <c r="E604" i="2"/>
  <c r="E193" i="2"/>
  <c r="E610" i="2"/>
  <c r="E662" i="2"/>
  <c r="E825" i="2"/>
  <c r="E209" i="2"/>
  <c r="E761" i="2"/>
  <c r="E503" i="2"/>
  <c r="E630" i="2"/>
  <c r="E512" i="2"/>
  <c r="E620" i="2"/>
  <c r="E663" i="2"/>
  <c r="E542" i="2"/>
  <c r="E397" i="2"/>
  <c r="E986" i="2"/>
  <c r="E172" i="2"/>
  <c r="E726" i="2"/>
  <c r="E869" i="2"/>
  <c r="E685" i="2"/>
  <c r="E478" i="2"/>
  <c r="E799" i="2"/>
  <c r="E323" i="2"/>
  <c r="E324" i="2"/>
  <c r="E559" i="2"/>
  <c r="E816" i="2"/>
  <c r="E586" i="2"/>
  <c r="E52" i="2"/>
  <c r="E793" i="2"/>
  <c r="E930" i="2"/>
  <c r="E600" i="2"/>
  <c r="E710" i="2"/>
  <c r="E126" i="2"/>
  <c r="E502" i="2"/>
  <c r="E668" i="2"/>
  <c r="E601" i="2"/>
  <c r="E890" i="2"/>
  <c r="E862" i="2"/>
  <c r="E317" i="2"/>
  <c r="E692" i="2"/>
  <c r="E231" i="2"/>
  <c r="E795" i="2"/>
  <c r="E946" i="2"/>
  <c r="E391" i="2"/>
  <c r="E121" i="2"/>
  <c r="E182" i="2"/>
  <c r="E394" i="2"/>
  <c r="E138" i="2"/>
  <c r="E801" i="2"/>
  <c r="E380" i="2"/>
  <c r="E440" i="2"/>
  <c r="E405" i="2"/>
  <c r="E735" i="2"/>
  <c r="E358" i="2"/>
  <c r="E253" i="2"/>
  <c r="E740" i="2"/>
  <c r="E854" i="2"/>
  <c r="E71" i="2"/>
  <c r="E409" i="2"/>
  <c r="E297" i="2"/>
  <c r="E428" i="2"/>
  <c r="E638" i="2"/>
  <c r="E476" i="2"/>
  <c r="E321" i="2"/>
  <c r="E353" i="2"/>
  <c r="E572" i="2"/>
  <c r="E858" i="2"/>
  <c r="E400" i="2"/>
  <c r="E451" i="2"/>
  <c r="E520" i="2"/>
  <c r="E977" i="2"/>
  <c r="E129" i="2"/>
  <c r="E421" i="2"/>
  <c r="E274" i="2"/>
  <c r="E233" i="2"/>
  <c r="E203" i="2"/>
  <c r="E667" i="2"/>
  <c r="E992" i="2"/>
  <c r="E377" i="2"/>
  <c r="E513" i="2"/>
  <c r="E885" i="2"/>
  <c r="E641" i="2"/>
  <c r="E94" i="2"/>
  <c r="E340" i="2"/>
  <c r="E281" i="2"/>
  <c r="E462" i="2"/>
  <c r="E269" i="2"/>
  <c r="E908" i="2"/>
  <c r="E753" i="2"/>
  <c r="E538" i="2"/>
  <c r="E903" i="2"/>
  <c r="E800" i="2"/>
  <c r="E767" i="2"/>
  <c r="E178" i="2"/>
  <c r="E701" i="2"/>
  <c r="E558" i="2"/>
  <c r="E32" i="2"/>
  <c r="E569" i="2"/>
  <c r="E64" i="2"/>
  <c r="E248" i="2"/>
  <c r="E982" i="2"/>
  <c r="E35" i="2"/>
  <c r="E20" i="2"/>
  <c r="E58" i="2"/>
  <c r="E500" i="2"/>
  <c r="E259" i="2"/>
  <c r="E10" i="2"/>
  <c r="E188" i="2"/>
  <c r="E560" i="2"/>
  <c r="E56" i="2"/>
  <c r="E348" i="2"/>
  <c r="E806" i="2"/>
  <c r="E696" i="2"/>
  <c r="E894" i="2"/>
  <c r="E474" i="2"/>
  <c r="E554" i="2"/>
  <c r="E952" i="2"/>
  <c r="E230" i="2"/>
  <c r="E410" i="2"/>
  <c r="E834" i="2"/>
  <c r="E789" i="2"/>
  <c r="E103" i="2"/>
  <c r="E425" i="2"/>
  <c r="E678" i="2"/>
  <c r="E912" i="2"/>
  <c r="E300" i="2"/>
  <c r="E363" i="2"/>
  <c r="E587" i="2"/>
  <c r="E603" i="2"/>
  <c r="E578" i="2"/>
  <c r="E943" i="2"/>
  <c r="E745" i="2"/>
  <c r="E791" i="2"/>
  <c r="E424" i="2"/>
  <c r="E22" i="2"/>
  <c r="E940" i="2"/>
  <c r="E198" i="2"/>
  <c r="E165" i="2"/>
  <c r="E755" i="2"/>
  <c r="E786" i="2"/>
  <c r="E442" i="2"/>
  <c r="E175" i="2"/>
  <c r="E818" i="2"/>
  <c r="E445" i="2"/>
  <c r="E787" i="2"/>
  <c r="E499" i="2"/>
  <c r="E910" i="2"/>
  <c r="E220" i="2"/>
  <c r="E717" i="2"/>
  <c r="E939" i="2"/>
  <c r="E920" i="2"/>
  <c r="E347" i="2"/>
  <c r="E999" i="2"/>
  <c r="E727" i="2"/>
  <c r="E757" i="2"/>
  <c r="E631" i="2"/>
  <c r="E447" i="2"/>
  <c r="E196" i="2"/>
  <c r="E286" i="2"/>
  <c r="E980" i="2"/>
  <c r="E713" i="2"/>
  <c r="E804" i="2"/>
  <c r="E628" i="2"/>
  <c r="E635" i="2"/>
  <c r="E37" i="2"/>
  <c r="E201" i="2"/>
  <c r="E546" i="2"/>
  <c r="E453" i="2"/>
  <c r="E974" i="2"/>
  <c r="E369" i="2"/>
  <c r="E896" i="2"/>
  <c r="E783" i="2"/>
  <c r="E515" i="2"/>
  <c r="E730" i="2"/>
  <c r="E746" i="2"/>
  <c r="E127" i="2"/>
  <c r="E489" i="2"/>
  <c r="E393" i="2"/>
  <c r="E443" i="2"/>
  <c r="E350" i="2"/>
  <c r="E466" i="2"/>
  <c r="E836" i="2"/>
  <c r="E901" i="2"/>
  <c r="E742" i="2"/>
  <c r="E506" i="2"/>
  <c r="E875" i="2"/>
  <c r="E906" i="2"/>
  <c r="E114" i="2"/>
  <c r="E619" i="2"/>
  <c r="E386" i="2"/>
  <c r="E844" i="2"/>
  <c r="E84" i="2"/>
  <c r="E847" i="2"/>
  <c r="E33" i="2"/>
  <c r="E849" i="2"/>
  <c r="E376" i="2"/>
  <c r="E577" i="2"/>
  <c r="E276" i="2"/>
  <c r="E355" i="2"/>
  <c r="E487" i="2"/>
  <c r="E593" i="2"/>
  <c r="E41" i="2"/>
  <c r="E313" i="2"/>
  <c r="E571" i="2"/>
  <c r="E326" i="2"/>
  <c r="E945" i="2"/>
  <c r="E304" i="2"/>
  <c r="E964" i="2"/>
  <c r="E79" i="2"/>
  <c r="E330" i="2"/>
  <c r="E417" i="2"/>
  <c r="E987" i="2"/>
  <c r="E334" i="2"/>
  <c r="E548" i="2"/>
  <c r="E290" i="2"/>
  <c r="E602" i="2"/>
  <c r="E384" i="2"/>
  <c r="E592" i="2"/>
  <c r="E961" i="2"/>
  <c r="E756" i="2"/>
  <c r="E357" i="2"/>
  <c r="E677" i="2"/>
  <c r="E636" i="2"/>
  <c r="E40" i="2"/>
  <c r="E157" i="2"/>
  <c r="E225" i="2"/>
  <c r="E311" i="2"/>
  <c r="E897" i="2"/>
  <c r="E143" i="2"/>
  <c r="E34" i="2"/>
  <c r="E152" i="2"/>
  <c r="E935" i="2"/>
  <c r="E655" i="2"/>
  <c r="E481" i="2"/>
  <c r="E429" i="2"/>
  <c r="E664" i="2"/>
  <c r="E123" i="2"/>
  <c r="E909" i="2"/>
  <c r="E857" i="2"/>
  <c r="E942" i="2"/>
  <c r="E337" i="2"/>
  <c r="E404" i="2"/>
  <c r="E732" i="2"/>
  <c r="E183" i="2"/>
  <c r="E933" i="2"/>
  <c r="E262" i="2"/>
  <c r="E637" i="2"/>
  <c r="E283" i="2"/>
  <c r="E788" i="2"/>
  <c r="E883" i="2"/>
  <c r="C418" i="2"/>
  <c r="C92" i="2"/>
  <c r="C669" i="2"/>
  <c r="C488" i="2"/>
  <c r="C731" i="2"/>
  <c r="C626" i="2"/>
  <c r="C887" i="2"/>
  <c r="C797" i="2"/>
  <c r="C657" i="2"/>
  <c r="C581" i="2"/>
  <c r="C316" i="2"/>
  <c r="C396" i="2"/>
  <c r="C698" i="2"/>
  <c r="C18" i="2"/>
  <c r="C629" i="2"/>
  <c r="C51" i="2"/>
  <c r="C873" i="2"/>
  <c r="C575" i="2"/>
  <c r="C774" i="2"/>
  <c r="C976" i="2"/>
  <c r="C891" i="2"/>
  <c r="C463" i="2"/>
  <c r="C116" i="2"/>
  <c r="C66" i="2"/>
  <c r="C705" i="2"/>
  <c r="C93" i="2"/>
  <c r="C275" i="2"/>
  <c r="C990" i="2"/>
  <c r="C243" i="2"/>
  <c r="C454" i="2"/>
  <c r="C214" i="2"/>
  <c r="C738" i="2"/>
  <c r="C208" i="2"/>
  <c r="C55" i="2"/>
  <c r="C567" i="2"/>
  <c r="C829" i="2"/>
  <c r="C252" i="2"/>
  <c r="C469" i="2"/>
  <c r="C900" i="2"/>
  <c r="C190" i="2"/>
  <c r="C510" i="2"/>
  <c r="C749" i="2"/>
  <c r="C147" i="2"/>
  <c r="C234" i="2"/>
  <c r="C773" i="2"/>
  <c r="C8" i="2"/>
  <c r="C913" i="2"/>
  <c r="C211" i="2"/>
  <c r="C475" i="2"/>
  <c r="C29" i="2"/>
  <c r="C4" i="2"/>
  <c r="C14" i="2"/>
  <c r="C679" i="2"/>
  <c r="C607" i="2"/>
  <c r="C815" i="2"/>
  <c r="C149" i="2"/>
  <c r="C39" i="2"/>
  <c r="C108" i="2"/>
  <c r="C310" i="2"/>
  <c r="C194" i="2"/>
  <c r="C102" i="2"/>
  <c r="C969" i="2"/>
  <c r="C570" i="2"/>
  <c r="C895" i="2"/>
  <c r="C401" i="2"/>
  <c r="C594" i="2"/>
  <c r="C446" i="2"/>
  <c r="C406" i="2"/>
  <c r="C412" i="2"/>
  <c r="C566" i="2"/>
  <c r="C155" i="2"/>
  <c r="C616" i="2"/>
  <c r="C303" i="2"/>
  <c r="C754" i="2"/>
  <c r="C497" i="2"/>
  <c r="C287" i="2"/>
  <c r="C87" i="2"/>
  <c r="C215" i="2"/>
  <c r="C492" i="2"/>
  <c r="C122" i="2"/>
  <c r="C764" i="2"/>
  <c r="C219" i="2"/>
  <c r="C265" i="2"/>
  <c r="C922" i="2"/>
  <c r="C166" i="2"/>
  <c r="C733" i="2"/>
  <c r="C260" i="2"/>
  <c r="C112" i="2"/>
  <c r="C693" i="2"/>
  <c r="C507" i="2"/>
  <c r="C688" i="2"/>
  <c r="C778" i="2"/>
  <c r="C11" i="2"/>
  <c r="C962" i="2"/>
  <c r="C700" i="2"/>
  <c r="C85" i="2"/>
  <c r="C798" i="2"/>
  <c r="C199" i="2"/>
  <c r="C344" i="2"/>
  <c r="C137" i="2"/>
  <c r="C135" i="2"/>
  <c r="C413" i="2"/>
  <c r="C156" i="2"/>
  <c r="C236" i="2"/>
  <c r="C419" i="2"/>
  <c r="C658" i="2"/>
  <c r="C526" i="2"/>
  <c r="C280" i="2"/>
  <c r="C88" i="2"/>
  <c r="C213" i="2"/>
  <c r="C936" i="2"/>
  <c r="C550" i="2"/>
  <c r="C111" i="2"/>
  <c r="C5" i="2"/>
  <c r="C255" i="2"/>
  <c r="C785" i="2"/>
  <c r="C186" i="2"/>
  <c r="C551" i="2"/>
  <c r="C851" i="2"/>
  <c r="C819" i="2"/>
  <c r="C633" i="2"/>
  <c r="C784" i="2"/>
  <c r="C706" i="2"/>
  <c r="C807" i="2"/>
  <c r="C718" i="2"/>
  <c r="C589" i="2"/>
  <c r="C947" i="2"/>
  <c r="C117" i="2"/>
  <c r="C765" i="2"/>
  <c r="C415" i="2"/>
  <c r="C361" i="2"/>
  <c r="C681" i="2"/>
  <c r="C250" i="2"/>
  <c r="C329" i="2"/>
  <c r="C972" i="2"/>
  <c r="C670" i="2"/>
  <c r="C314" i="2"/>
  <c r="C174" i="2"/>
  <c r="C333" i="2"/>
  <c r="C907" i="2"/>
  <c r="C699" i="2"/>
  <c r="C929" i="2"/>
  <c r="C752" i="2"/>
  <c r="C141" i="2"/>
  <c r="C544" i="2"/>
  <c r="C284" i="2"/>
  <c r="C960" i="2"/>
  <c r="C210" i="2"/>
  <c r="C926" i="2"/>
  <c r="C823" i="2"/>
  <c r="C298" i="2"/>
  <c r="C197" i="2"/>
  <c r="C832" i="2"/>
  <c r="C843" i="2"/>
  <c r="C232" i="2"/>
  <c r="C26" i="2"/>
  <c r="C3" i="2"/>
  <c r="C21" i="2"/>
  <c r="C879" i="2"/>
  <c r="C372" i="2"/>
  <c r="C923" i="2"/>
  <c r="C691" i="2"/>
  <c r="C315" i="2"/>
  <c r="C185" i="2"/>
  <c r="C533" i="2"/>
  <c r="C195" i="2"/>
  <c r="C452" i="2"/>
  <c r="C296" i="2"/>
  <c r="C338" i="2"/>
  <c r="C31" i="2"/>
  <c r="C563" i="2"/>
  <c r="C414" i="2"/>
  <c r="C973" i="2"/>
  <c r="C505" i="2"/>
  <c r="C888" i="2"/>
  <c r="C848" i="2"/>
  <c r="C151" i="2"/>
  <c r="C719" i="2"/>
  <c r="C568" i="2"/>
  <c r="C729" i="2"/>
  <c r="C140" i="2"/>
  <c r="C458" i="2"/>
  <c r="C826" i="2"/>
  <c r="C6" i="2"/>
  <c r="C978" i="2"/>
  <c r="C435" i="2"/>
  <c r="C769" i="2"/>
  <c r="C624" i="2"/>
  <c r="C988" i="2"/>
  <c r="C762" i="2"/>
  <c r="C545" i="2"/>
  <c r="C937" i="2"/>
  <c r="C821" i="2"/>
  <c r="C272" i="2"/>
  <c r="C62" i="2"/>
  <c r="C979" i="2"/>
  <c r="C118" i="2"/>
  <c r="C216" i="2"/>
  <c r="C322" i="2"/>
  <c r="C229" i="2"/>
  <c r="C989" i="2"/>
  <c r="C884" i="2"/>
  <c r="C328" i="2"/>
  <c r="C958" i="2"/>
  <c r="C383" i="2"/>
  <c r="C724" i="2"/>
  <c r="C694" i="2"/>
  <c r="C432" i="2"/>
  <c r="C781" i="2"/>
  <c r="C892" i="2"/>
  <c r="C293" i="2"/>
  <c r="C171" i="2"/>
  <c r="C124" i="2"/>
  <c r="C491" i="2"/>
  <c r="C758" i="2"/>
  <c r="C983" i="2"/>
  <c r="C956" i="2"/>
  <c r="C398" i="2"/>
  <c r="C971" i="2"/>
  <c r="C101" i="2"/>
  <c r="C649" i="2"/>
  <c r="C268" i="2"/>
  <c r="C722" i="2"/>
  <c r="C86" i="2"/>
  <c r="C479" i="2"/>
  <c r="C501" i="2"/>
  <c r="C238" i="2"/>
  <c r="C1000" i="2"/>
  <c r="C643" i="2"/>
  <c r="C158" i="2"/>
  <c r="C650" i="2"/>
  <c r="C221" i="2"/>
  <c r="C483" i="2"/>
  <c r="C562" i="2"/>
  <c r="C437" i="2"/>
  <c r="C621" i="2"/>
  <c r="C444" i="2"/>
  <c r="C113" i="2"/>
  <c r="C792" i="2"/>
  <c r="C191" i="2"/>
  <c r="C918" i="2"/>
  <c r="C517" i="2"/>
  <c r="C217" i="2"/>
  <c r="C707" i="2"/>
  <c r="C256" i="2"/>
  <c r="C493" i="2"/>
  <c r="C179" i="2"/>
  <c r="C852" i="2"/>
  <c r="C524" i="2"/>
  <c r="C67" i="2"/>
  <c r="C521" i="2"/>
  <c r="C585" i="2"/>
  <c r="C842" i="2"/>
  <c r="C599" i="2"/>
  <c r="C99" i="2"/>
  <c r="C441" i="2"/>
  <c r="C365" i="2"/>
  <c r="C455" i="2"/>
  <c r="C371" i="2"/>
  <c r="C683" i="2"/>
  <c r="C162" i="2"/>
  <c r="C449" i="2"/>
  <c r="C530" i="2"/>
  <c r="C251" i="2"/>
  <c r="C23" i="2"/>
  <c r="C661" i="2"/>
  <c r="C617" i="2"/>
  <c r="C48" i="2"/>
  <c r="C673" i="2"/>
  <c r="C504" i="2"/>
  <c r="C642" i="2"/>
  <c r="C327" i="2"/>
  <c r="C318" i="2"/>
  <c r="C739" i="2"/>
  <c r="C81" i="2"/>
  <c r="C19" i="2"/>
  <c r="C17" i="2"/>
  <c r="C995" i="2"/>
  <c r="C609" i="2"/>
  <c r="C95" i="2"/>
  <c r="C878" i="2"/>
  <c r="C436" i="2"/>
  <c r="C370" i="2"/>
  <c r="C381" i="2"/>
  <c r="C83" i="2"/>
  <c r="C915" i="2"/>
  <c r="C299" i="2"/>
  <c r="C916" i="2"/>
  <c r="C772" i="2"/>
  <c r="C775" i="2"/>
  <c r="C734" i="2"/>
  <c r="C115" i="2"/>
  <c r="C360" i="2"/>
  <c r="C473" i="2"/>
  <c r="C654" i="2"/>
  <c r="C519" i="2"/>
  <c r="C555" i="2"/>
  <c r="C872" i="2"/>
  <c r="C680" i="2"/>
  <c r="C634" i="2"/>
  <c r="C332" i="2"/>
  <c r="C279" i="2"/>
  <c r="C747" i="2"/>
  <c r="C438" i="2"/>
  <c r="C490" i="2"/>
  <c r="C776" i="2"/>
  <c r="C965" i="2"/>
  <c r="C100" i="2"/>
  <c r="C218" i="2"/>
  <c r="C411" i="2"/>
  <c r="C70" i="2"/>
  <c r="C576" i="2"/>
  <c r="C9" i="2"/>
  <c r="C339" i="2"/>
  <c r="C748" i="2"/>
  <c r="C833" i="2"/>
  <c r="C623" i="2"/>
  <c r="C612" i="2"/>
  <c r="C448" i="2"/>
  <c r="C312" i="2"/>
  <c r="C970" i="2"/>
  <c r="C98" i="2"/>
  <c r="C89" i="2"/>
  <c r="C509" i="2"/>
  <c r="C932" i="2"/>
  <c r="C144" i="2"/>
  <c r="C356" i="2"/>
  <c r="C49" i="2"/>
  <c r="C184" i="2"/>
  <c r="C921" i="2"/>
  <c r="C824" i="2"/>
  <c r="C809" i="2"/>
  <c r="C553" i="2"/>
  <c r="C306" i="2"/>
  <c r="C464" i="2"/>
  <c r="C388" i="2"/>
  <c r="C997" i="2"/>
  <c r="C382" i="2"/>
  <c r="C535" i="2"/>
  <c r="C246" i="2"/>
  <c r="C953" i="2"/>
  <c r="C263" i="2"/>
  <c r="C373" i="2"/>
  <c r="C28" i="2"/>
  <c r="C402" i="2"/>
  <c r="C595" i="2"/>
  <c r="C270" i="2"/>
  <c r="C427" i="2"/>
  <c r="C828" i="2"/>
  <c r="C860" i="2"/>
  <c r="C511" i="2"/>
  <c r="C374" i="2"/>
  <c r="C150" i="2"/>
  <c r="C899" i="2"/>
  <c r="C109" i="2"/>
  <c r="C771" i="2"/>
  <c r="C689" i="2"/>
  <c r="C615" i="2"/>
  <c r="C226" i="2"/>
  <c r="C686" i="2"/>
  <c r="C675" i="2"/>
  <c r="C665" i="2"/>
  <c r="C163" i="2"/>
  <c r="C518" i="2"/>
  <c r="C266" i="2"/>
  <c r="C331" i="2"/>
  <c r="C480" i="2"/>
  <c r="C855" i="2"/>
  <c r="C257" i="2"/>
  <c r="C136" i="2"/>
  <c r="C295" i="2"/>
  <c r="C76" i="2"/>
  <c r="C596" i="2"/>
  <c r="C702" i="2"/>
  <c r="C529" i="2"/>
  <c r="C614" i="2"/>
  <c r="C72" i="2"/>
  <c r="C968" i="2"/>
  <c r="C42" i="2"/>
  <c r="C63" i="2"/>
  <c r="C928" i="2"/>
  <c r="C164" i="2"/>
  <c r="C351" i="2"/>
  <c r="C672" i="2"/>
  <c r="C949" i="2"/>
  <c r="C790" i="2"/>
  <c r="C759" i="2"/>
  <c r="C750" i="2"/>
  <c r="C96" i="2"/>
  <c r="C919" i="2"/>
  <c r="C309" i="2"/>
  <c r="C687" i="2"/>
  <c r="C434" i="2"/>
  <c r="C905" i="2"/>
  <c r="C598" i="2"/>
  <c r="C12" i="2"/>
  <c r="C646" i="2"/>
  <c r="C15" i="2"/>
  <c r="C207" i="2"/>
  <c r="C861" i="2"/>
  <c r="C482" i="2"/>
  <c r="C984" i="2"/>
  <c r="C168" i="2"/>
  <c r="C811" i="2"/>
  <c r="C660" i="2"/>
  <c r="C368" i="2"/>
  <c r="C244" i="2"/>
  <c r="C50" i="2"/>
  <c r="C547" i="2"/>
  <c r="C814" i="2"/>
  <c r="C579" i="2"/>
  <c r="C648" i="2"/>
  <c r="C541" i="2"/>
  <c r="C993" i="2"/>
  <c r="C532" i="2"/>
  <c r="C886" i="2"/>
  <c r="C106" i="2"/>
  <c r="C644" i="2"/>
  <c r="C107" i="2"/>
  <c r="C552" i="2"/>
  <c r="C154" i="2"/>
  <c r="C342" i="2"/>
  <c r="C433" i="2"/>
  <c r="C267" i="2"/>
  <c r="C44" i="2"/>
  <c r="C597" i="2"/>
  <c r="C523" i="2"/>
  <c r="C954" i="2"/>
  <c r="C169" i="2"/>
  <c r="C564" i="2"/>
  <c r="C426" i="2"/>
  <c r="C981" i="2"/>
  <c r="C522" i="2"/>
  <c r="C395" i="2"/>
  <c r="C580" i="2"/>
  <c r="C408" i="2"/>
  <c r="C54" i="2"/>
  <c r="C794" i="2"/>
  <c r="C822" i="2"/>
  <c r="C516" i="2"/>
  <c r="C827" i="2"/>
  <c r="C846" i="2"/>
  <c r="C904" i="2"/>
  <c r="C543" i="2"/>
  <c r="C514" i="2"/>
  <c r="C871" i="2"/>
  <c r="C708" i="2"/>
  <c r="C653" i="2"/>
  <c r="C75" i="2"/>
  <c r="C889" i="2"/>
  <c r="C187" i="2"/>
  <c r="C704" i="2"/>
  <c r="C27" i="2"/>
  <c r="C911" i="2"/>
  <c r="C985" i="2"/>
  <c r="C212" i="2"/>
  <c r="C390" i="2"/>
  <c r="C90" i="2"/>
  <c r="C777" i="2"/>
  <c r="C714" i="2"/>
  <c r="C379" i="2"/>
  <c r="C132" i="2"/>
  <c r="C841" i="2"/>
  <c r="C868" i="2"/>
  <c r="C176" i="2"/>
  <c r="C73" i="2"/>
  <c r="C273" i="2"/>
  <c r="C403" i="2"/>
  <c r="C486" i="2"/>
  <c r="C711" i="2"/>
  <c r="C994" i="2"/>
  <c r="C966" i="2"/>
  <c r="C882" i="2"/>
  <c r="C898" i="2"/>
  <c r="C656" i="2"/>
  <c r="C666" i="2"/>
  <c r="C247" i="2"/>
  <c r="C863" i="2"/>
  <c r="C200" i="2"/>
  <c r="C812" i="2"/>
  <c r="C583" i="2"/>
  <c r="C902" i="2"/>
  <c r="C917" i="2"/>
  <c r="C288" i="2"/>
  <c r="C763" i="2"/>
  <c r="C498" i="2"/>
  <c r="C741" i="2"/>
  <c r="C810" i="2"/>
  <c r="C495" i="2"/>
  <c r="C955" i="2"/>
  <c r="C160" i="2"/>
  <c r="C423" i="2"/>
  <c r="C618" i="2"/>
  <c r="C120" i="2"/>
  <c r="C716" i="2"/>
  <c r="C925" i="2"/>
  <c r="C74" i="2"/>
  <c r="C399" i="2"/>
  <c r="C525" i="2"/>
  <c r="C690" i="2"/>
  <c r="C779" i="2"/>
  <c r="C465" i="2"/>
  <c r="C222" i="2"/>
  <c r="C835" i="2"/>
  <c r="C36" i="2"/>
  <c r="C352" i="2"/>
  <c r="C345" i="2"/>
  <c r="C119" i="2"/>
  <c r="C782" i="2"/>
  <c r="C938" i="2"/>
  <c r="C721" i="2"/>
  <c r="C173" i="2"/>
  <c r="C362" i="2"/>
  <c r="C485" i="2"/>
  <c r="C204" i="2"/>
  <c r="C77" i="2"/>
  <c r="C924" i="2"/>
  <c r="C302" i="2"/>
  <c r="C743" i="2"/>
  <c r="C645" i="2"/>
  <c r="C856" i="2"/>
  <c r="C627" i="2"/>
  <c r="C242" i="2"/>
  <c r="C277" i="2"/>
  <c r="C53" i="2"/>
  <c r="C422" i="2"/>
  <c r="C319" i="2"/>
  <c r="C813" i="2"/>
  <c r="C91" i="2"/>
  <c r="C944" i="2"/>
  <c r="C880" i="2"/>
  <c r="C224" i="2"/>
  <c r="C957" i="2"/>
  <c r="C831" i="2"/>
  <c r="C289" i="2"/>
  <c r="C639" i="2"/>
  <c r="C133" i="2"/>
  <c r="C346" i="2"/>
  <c r="C192" i="2"/>
  <c r="C450" i="2"/>
  <c r="C61" i="2"/>
  <c r="C582" i="2"/>
  <c r="C389" i="2"/>
  <c r="C573" i="2"/>
  <c r="C751" i="2"/>
  <c r="C153" i="2"/>
  <c r="C282" i="2"/>
  <c r="C343" i="2"/>
  <c r="C235" i="2"/>
  <c r="C254" i="2"/>
  <c r="C181" i="2"/>
  <c r="C416" i="2"/>
  <c r="C291" i="2"/>
  <c r="C584" i="2"/>
  <c r="C145" i="2"/>
  <c r="C684" i="2"/>
  <c r="C611" i="2"/>
  <c r="C605" i="2"/>
  <c r="C712" i="2"/>
  <c r="C349" i="2"/>
  <c r="C934" i="2"/>
  <c r="C223" i="2"/>
  <c r="C574" i="2"/>
  <c r="C975" i="2"/>
  <c r="C378" i="2"/>
  <c r="C838" i="2"/>
  <c r="C671" i="2"/>
  <c r="C80" i="2"/>
  <c r="C770" i="2"/>
  <c r="C104" i="2"/>
  <c r="C38" i="2"/>
  <c r="C805" i="2"/>
  <c r="C134" i="2"/>
  <c r="C420" i="2"/>
  <c r="C534" i="2"/>
  <c r="C820" i="2"/>
  <c r="C674" i="2"/>
  <c r="C539" i="2"/>
  <c r="C527" i="2"/>
  <c r="C335" i="2"/>
  <c r="C471" i="2"/>
  <c r="C682" i="2"/>
  <c r="C43" i="2"/>
  <c r="C528" i="2"/>
  <c r="C728" i="2"/>
  <c r="C180" i="2"/>
  <c r="C697" i="2"/>
  <c r="C78" i="2"/>
  <c r="C659" i="2"/>
  <c r="C142" i="2"/>
  <c r="C206" i="2"/>
  <c r="C25" i="2"/>
  <c r="C839" i="2"/>
  <c r="C239" i="2"/>
  <c r="C16" i="2"/>
  <c r="C477" i="2"/>
  <c r="C461" i="2"/>
  <c r="C998" i="2"/>
  <c r="C866" i="2"/>
  <c r="C715" i="2"/>
  <c r="C65" i="2"/>
  <c r="C375" i="2"/>
  <c r="C7" i="2"/>
  <c r="C951" i="2"/>
  <c r="C625" i="2"/>
  <c r="C237" i="2"/>
  <c r="C647" i="2"/>
  <c r="C470" i="2"/>
  <c r="C845" i="2"/>
  <c r="C57" i="2"/>
  <c r="C837" i="2"/>
  <c r="C460" i="2"/>
  <c r="C431" i="2"/>
  <c r="C725" i="2"/>
  <c r="C456" i="2"/>
  <c r="C341" i="2"/>
  <c r="C963" i="2"/>
  <c r="C830" i="2"/>
  <c r="C366" i="2"/>
  <c r="C744" i="2"/>
  <c r="C676" i="2"/>
  <c r="C803" i="2"/>
  <c r="C606" i="2"/>
  <c r="C430" i="2"/>
  <c r="C494" i="2"/>
  <c r="C387" i="2"/>
  <c r="C874" i="2"/>
  <c r="C320" i="2"/>
  <c r="C392" i="2"/>
  <c r="C723" i="2"/>
  <c r="C536" i="2"/>
  <c r="C285" i="2"/>
  <c r="C105" i="2"/>
  <c r="C540" i="2"/>
  <c r="C30" i="2"/>
  <c r="C780" i="2"/>
  <c r="C557" i="2"/>
  <c r="C632" i="2"/>
  <c r="C736" i="2"/>
  <c r="C278" i="2"/>
  <c r="C472" i="2"/>
  <c r="C258" i="2"/>
  <c r="C561" i="2"/>
  <c r="C227" i="2"/>
  <c r="C840" i="2"/>
  <c r="C737" i="2"/>
  <c r="C241" i="2"/>
  <c r="C161" i="2"/>
  <c r="C148" i="2"/>
  <c r="C468" i="2"/>
  <c r="C82" i="2"/>
  <c r="C292" i="2"/>
  <c r="C802" i="2"/>
  <c r="C817" i="2"/>
  <c r="C205" i="2"/>
  <c r="C359" i="2"/>
  <c r="C240" i="2"/>
  <c r="C950" i="2"/>
  <c r="C948" i="2"/>
  <c r="C808" i="2"/>
  <c r="C865" i="2"/>
  <c r="C565" i="2"/>
  <c r="C996" i="2"/>
  <c r="C307" i="2"/>
  <c r="C931" i="2"/>
  <c r="C588" i="2"/>
  <c r="C608" i="2"/>
  <c r="C439" i="2"/>
  <c r="C941" i="2"/>
  <c r="C128" i="2"/>
  <c r="C385" i="2"/>
  <c r="C167" i="2"/>
  <c r="C308" i="2"/>
  <c r="C859" i="2"/>
  <c r="C367" i="2"/>
  <c r="C305" i="2"/>
  <c r="C459" i="2"/>
  <c r="C457" i="2"/>
  <c r="C45" i="2"/>
  <c r="C271" i="2"/>
  <c r="C131" i="2"/>
  <c r="C720" i="2"/>
  <c r="C139" i="2"/>
  <c r="C301" i="2"/>
  <c r="C110" i="2"/>
  <c r="C549" i="2"/>
  <c r="C496" i="2"/>
  <c r="C97" i="2"/>
  <c r="C893" i="2"/>
  <c r="C336" i="2"/>
  <c r="C867" i="2"/>
  <c r="C249" i="2"/>
  <c r="C967" i="2"/>
  <c r="C613" i="2"/>
  <c r="C853" i="2"/>
  <c r="C264" i="2"/>
  <c r="C69" i="2"/>
  <c r="C2" i="2"/>
  <c r="C927" i="2"/>
  <c r="C881" i="2"/>
  <c r="C484" i="2"/>
  <c r="C796" i="2"/>
  <c r="C24" i="2"/>
  <c r="C325" i="2"/>
  <c r="C125" i="2"/>
  <c r="C189" i="2"/>
  <c r="C556" i="2"/>
  <c r="C877" i="2"/>
  <c r="C864" i="2"/>
  <c r="C876" i="2"/>
  <c r="C590" i="2"/>
  <c r="C159" i="2"/>
  <c r="C407" i="2"/>
  <c r="C294" i="2"/>
  <c r="C68" i="2"/>
  <c r="C47" i="2"/>
  <c r="C59" i="2"/>
  <c r="C130" i="2"/>
  <c r="C651" i="2"/>
  <c r="C202" i="2"/>
  <c r="C245" i="2"/>
  <c r="C13" i="2"/>
  <c r="C652" i="2"/>
  <c r="C46" i="2"/>
  <c r="C766" i="2"/>
  <c r="C508" i="2"/>
  <c r="C261" i="2"/>
  <c r="C695" i="2"/>
  <c r="C60" i="2"/>
  <c r="C709" i="2"/>
  <c r="C703" i="2"/>
  <c r="C591" i="2"/>
  <c r="C760" i="2"/>
  <c r="C768" i="2"/>
  <c r="C850" i="2"/>
  <c r="C228" i="2"/>
  <c r="C622" i="2"/>
  <c r="C364" i="2"/>
  <c r="C914" i="2"/>
  <c r="C177" i="2"/>
  <c r="C170" i="2"/>
  <c r="C467" i="2"/>
  <c r="C537" i="2"/>
  <c r="C354" i="2"/>
  <c r="C870" i="2"/>
  <c r="C991" i="2"/>
  <c r="C146" i="2"/>
  <c r="C531" i="2"/>
  <c r="C640" i="2"/>
  <c r="C604" i="2"/>
  <c r="C193" i="2"/>
  <c r="C610" i="2"/>
  <c r="C662" i="2"/>
  <c r="C825" i="2"/>
  <c r="C209" i="2"/>
  <c r="C761" i="2"/>
  <c r="C503" i="2"/>
  <c r="C630" i="2"/>
  <c r="C512" i="2"/>
  <c r="C620" i="2"/>
  <c r="C663" i="2"/>
  <c r="C542" i="2"/>
  <c r="C397" i="2"/>
  <c r="C986" i="2"/>
  <c r="C172" i="2"/>
  <c r="C726" i="2"/>
  <c r="C869" i="2"/>
  <c r="C685" i="2"/>
  <c r="C478" i="2"/>
  <c r="C799" i="2"/>
  <c r="C323" i="2"/>
  <c r="C324" i="2"/>
  <c r="C559" i="2"/>
  <c r="C816" i="2"/>
  <c r="C586" i="2"/>
  <c r="C52" i="2"/>
  <c r="C793" i="2"/>
  <c r="C930" i="2"/>
  <c r="C600" i="2"/>
  <c r="C710" i="2"/>
  <c r="C126" i="2"/>
  <c r="C502" i="2"/>
  <c r="C668" i="2"/>
  <c r="C601" i="2"/>
  <c r="C890" i="2"/>
  <c r="C862" i="2"/>
  <c r="C317" i="2"/>
  <c r="C692" i="2"/>
  <c r="C231" i="2"/>
  <c r="C795" i="2"/>
  <c r="C946" i="2"/>
  <c r="C391" i="2"/>
  <c r="C121" i="2"/>
  <c r="C182" i="2"/>
  <c r="C394" i="2"/>
  <c r="C138" i="2"/>
  <c r="C801" i="2"/>
  <c r="C380" i="2"/>
  <c r="C440" i="2"/>
  <c r="C405" i="2"/>
  <c r="C735" i="2"/>
  <c r="C358" i="2"/>
  <c r="C253" i="2"/>
  <c r="C740" i="2"/>
  <c r="C854" i="2"/>
  <c r="C71" i="2"/>
  <c r="C409" i="2"/>
  <c r="C297" i="2"/>
  <c r="C428" i="2"/>
  <c r="C638" i="2"/>
  <c r="C476" i="2"/>
  <c r="C321" i="2"/>
  <c r="C353" i="2"/>
  <c r="C572" i="2"/>
  <c r="C858" i="2"/>
  <c r="C400" i="2"/>
  <c r="C451" i="2"/>
  <c r="C520" i="2"/>
  <c r="C977" i="2"/>
  <c r="C129" i="2"/>
  <c r="C421" i="2"/>
  <c r="C274" i="2"/>
  <c r="C233" i="2"/>
  <c r="C203" i="2"/>
  <c r="C667" i="2"/>
  <c r="C992" i="2"/>
  <c r="C377" i="2"/>
  <c r="C513" i="2"/>
  <c r="C885" i="2"/>
  <c r="C641" i="2"/>
  <c r="C94" i="2"/>
  <c r="C340" i="2"/>
  <c r="C281" i="2"/>
  <c r="C462" i="2"/>
  <c r="C269" i="2"/>
  <c r="C908" i="2"/>
  <c r="C753" i="2"/>
  <c r="C538" i="2"/>
  <c r="C903" i="2"/>
  <c r="C800" i="2"/>
  <c r="C767" i="2"/>
  <c r="C178" i="2"/>
  <c r="C701" i="2"/>
  <c r="C558" i="2"/>
  <c r="C32" i="2"/>
  <c r="C569" i="2"/>
  <c r="C64" i="2"/>
  <c r="C248" i="2"/>
  <c r="C982" i="2"/>
  <c r="C35" i="2"/>
  <c r="C20" i="2"/>
  <c r="C58" i="2"/>
  <c r="C500" i="2"/>
  <c r="C259" i="2"/>
  <c r="C10" i="2"/>
  <c r="C188" i="2"/>
  <c r="C560" i="2"/>
  <c r="C56" i="2"/>
  <c r="C348" i="2"/>
  <c r="C806" i="2"/>
  <c r="C696" i="2"/>
  <c r="C894" i="2"/>
  <c r="C474" i="2"/>
  <c r="C554" i="2"/>
  <c r="C952" i="2"/>
  <c r="C230" i="2"/>
  <c r="C410" i="2"/>
  <c r="C834" i="2"/>
  <c r="C789" i="2"/>
  <c r="C103" i="2"/>
  <c r="C425" i="2"/>
  <c r="C678" i="2"/>
  <c r="C912" i="2"/>
  <c r="C300" i="2"/>
  <c r="C363" i="2"/>
  <c r="C587" i="2"/>
  <c r="C603" i="2"/>
  <c r="C578" i="2"/>
  <c r="C943" i="2"/>
  <c r="C745" i="2"/>
  <c r="C791" i="2"/>
  <c r="C424" i="2"/>
  <c r="C22" i="2"/>
  <c r="C940" i="2"/>
  <c r="C198" i="2"/>
  <c r="C165" i="2"/>
  <c r="C755" i="2"/>
  <c r="C786" i="2"/>
  <c r="C442" i="2"/>
  <c r="C175" i="2"/>
  <c r="C818" i="2"/>
  <c r="C445" i="2"/>
  <c r="C787" i="2"/>
  <c r="C499" i="2"/>
  <c r="C910" i="2"/>
  <c r="C220" i="2"/>
  <c r="C717" i="2"/>
  <c r="C939" i="2"/>
  <c r="C920" i="2"/>
  <c r="C347" i="2"/>
  <c r="C999" i="2"/>
  <c r="C727" i="2"/>
  <c r="C757" i="2"/>
  <c r="C631" i="2"/>
  <c r="C447" i="2"/>
  <c r="C196" i="2"/>
  <c r="C286" i="2"/>
  <c r="C980" i="2"/>
  <c r="C713" i="2"/>
  <c r="C804" i="2"/>
  <c r="C628" i="2"/>
  <c r="C635" i="2"/>
  <c r="C37" i="2"/>
  <c r="C201" i="2"/>
  <c r="C546" i="2"/>
  <c r="C453" i="2"/>
  <c r="C974" i="2"/>
  <c r="C369" i="2"/>
  <c r="C896" i="2"/>
  <c r="C783" i="2"/>
  <c r="C515" i="2"/>
  <c r="C730" i="2"/>
  <c r="C746" i="2"/>
  <c r="C127" i="2"/>
  <c r="C489" i="2"/>
  <c r="C393" i="2"/>
  <c r="C443" i="2"/>
  <c r="C350" i="2"/>
  <c r="C466" i="2"/>
  <c r="C836" i="2"/>
  <c r="C901" i="2"/>
  <c r="C742" i="2"/>
  <c r="C506" i="2"/>
  <c r="C875" i="2"/>
  <c r="C906" i="2"/>
  <c r="C114" i="2"/>
  <c r="C619" i="2"/>
  <c r="C386" i="2"/>
  <c r="C844" i="2"/>
  <c r="C84" i="2"/>
  <c r="C847" i="2"/>
  <c r="C33" i="2"/>
  <c r="C849" i="2"/>
  <c r="C376" i="2"/>
  <c r="C577" i="2"/>
  <c r="C276" i="2"/>
  <c r="C355" i="2"/>
  <c r="C487" i="2"/>
  <c r="C593" i="2"/>
  <c r="C41" i="2"/>
  <c r="C313" i="2"/>
  <c r="C571" i="2"/>
  <c r="C326" i="2"/>
  <c r="C945" i="2"/>
  <c r="C304" i="2"/>
  <c r="C964" i="2"/>
  <c r="C79" i="2"/>
  <c r="C330" i="2"/>
  <c r="C417" i="2"/>
  <c r="C987" i="2"/>
  <c r="C334" i="2"/>
  <c r="C548" i="2"/>
  <c r="C290" i="2"/>
  <c r="C602" i="2"/>
  <c r="C384" i="2"/>
  <c r="C592" i="2"/>
  <c r="C961" i="2"/>
  <c r="C756" i="2"/>
  <c r="C357" i="2"/>
  <c r="C677" i="2"/>
  <c r="C636" i="2"/>
  <c r="C40" i="2"/>
  <c r="C157" i="2"/>
  <c r="C225" i="2"/>
  <c r="C311" i="2"/>
  <c r="C897" i="2"/>
  <c r="C143" i="2"/>
  <c r="C34" i="2"/>
  <c r="C152" i="2"/>
  <c r="C935" i="2"/>
  <c r="C655" i="2"/>
  <c r="C481" i="2"/>
  <c r="C429" i="2"/>
  <c r="C664" i="2"/>
  <c r="C123" i="2"/>
  <c r="C909" i="2"/>
  <c r="C857" i="2"/>
  <c r="C942" i="2"/>
  <c r="C337" i="2"/>
  <c r="C404" i="2"/>
  <c r="C732" i="2"/>
  <c r="C183" i="2"/>
  <c r="C933" i="2"/>
  <c r="C262" i="2"/>
  <c r="C637" i="2"/>
  <c r="C283" i="2"/>
  <c r="C788" i="2"/>
  <c r="C883" i="2"/>
  <c r="B418" i="2"/>
  <c r="B92" i="2"/>
  <c r="B669" i="2"/>
  <c r="B488" i="2"/>
  <c r="B731" i="2"/>
  <c r="B626" i="2"/>
  <c r="B887" i="2"/>
  <c r="B797" i="2"/>
  <c r="B657" i="2"/>
  <c r="B581" i="2"/>
  <c r="B316" i="2"/>
  <c r="B396" i="2"/>
  <c r="B698" i="2"/>
  <c r="B18" i="2"/>
  <c r="B629" i="2"/>
  <c r="B51" i="2"/>
  <c r="B873" i="2"/>
  <c r="B575" i="2"/>
  <c r="B774" i="2"/>
  <c r="B976" i="2"/>
  <c r="B891" i="2"/>
  <c r="B463" i="2"/>
  <c r="B116" i="2"/>
  <c r="B66" i="2"/>
  <c r="B705" i="2"/>
  <c r="B93" i="2"/>
  <c r="B275" i="2"/>
  <c r="B990" i="2"/>
  <c r="B243" i="2"/>
  <c r="B454" i="2"/>
  <c r="B214" i="2"/>
  <c r="B738" i="2"/>
  <c r="B208" i="2"/>
  <c r="B55" i="2"/>
  <c r="B567" i="2"/>
  <c r="B829" i="2"/>
  <c r="B252" i="2"/>
  <c r="B469" i="2"/>
  <c r="B900" i="2"/>
  <c r="B190" i="2"/>
  <c r="B510" i="2"/>
  <c r="B749" i="2"/>
  <c r="B147" i="2"/>
  <c r="B234" i="2"/>
  <c r="B773" i="2"/>
  <c r="B8" i="2"/>
  <c r="B913" i="2"/>
  <c r="B211" i="2"/>
  <c r="B475" i="2"/>
  <c r="B29" i="2"/>
  <c r="B4" i="2"/>
  <c r="B14" i="2"/>
  <c r="B679" i="2"/>
  <c r="B607" i="2"/>
  <c r="B815" i="2"/>
  <c r="B149" i="2"/>
  <c r="B39" i="2"/>
  <c r="B108" i="2"/>
  <c r="B310" i="2"/>
  <c r="B194" i="2"/>
  <c r="B102" i="2"/>
  <c r="B969" i="2"/>
  <c r="B570" i="2"/>
  <c r="B895" i="2"/>
  <c r="B401" i="2"/>
  <c r="B594" i="2"/>
  <c r="B446" i="2"/>
  <c r="B406" i="2"/>
  <c r="B412" i="2"/>
  <c r="B566" i="2"/>
  <c r="B155" i="2"/>
  <c r="B616" i="2"/>
  <c r="B303" i="2"/>
  <c r="B754" i="2"/>
  <c r="B497" i="2"/>
  <c r="B287" i="2"/>
  <c r="B87" i="2"/>
  <c r="B215" i="2"/>
  <c r="B492" i="2"/>
  <c r="B122" i="2"/>
  <c r="B764" i="2"/>
  <c r="B219" i="2"/>
  <c r="B265" i="2"/>
  <c r="B922" i="2"/>
  <c r="B166" i="2"/>
  <c r="B733" i="2"/>
  <c r="B260" i="2"/>
  <c r="B112" i="2"/>
  <c r="B693" i="2"/>
  <c r="B507" i="2"/>
  <c r="B688" i="2"/>
  <c r="B778" i="2"/>
  <c r="B11" i="2"/>
  <c r="B962" i="2"/>
  <c r="B700" i="2"/>
  <c r="B85" i="2"/>
  <c r="B798" i="2"/>
  <c r="B199" i="2"/>
  <c r="B344" i="2"/>
  <c r="B137" i="2"/>
  <c r="B135" i="2"/>
  <c r="B413" i="2"/>
  <c r="B156" i="2"/>
  <c r="B236" i="2"/>
  <c r="B419" i="2"/>
  <c r="B658" i="2"/>
  <c r="B526" i="2"/>
  <c r="B280" i="2"/>
  <c r="B88" i="2"/>
  <c r="B213" i="2"/>
  <c r="B936" i="2"/>
  <c r="B550" i="2"/>
  <c r="B111" i="2"/>
  <c r="B5" i="2"/>
  <c r="B255" i="2"/>
  <c r="B785" i="2"/>
  <c r="B186" i="2"/>
  <c r="B551" i="2"/>
  <c r="B851" i="2"/>
  <c r="B819" i="2"/>
  <c r="B633" i="2"/>
  <c r="B784" i="2"/>
  <c r="B706" i="2"/>
  <c r="B807" i="2"/>
  <c r="B718" i="2"/>
  <c r="B589" i="2"/>
  <c r="B947" i="2"/>
  <c r="B117" i="2"/>
  <c r="B765" i="2"/>
  <c r="B415" i="2"/>
  <c r="B361" i="2"/>
  <c r="B681" i="2"/>
  <c r="B250" i="2"/>
  <c r="B329" i="2"/>
  <c r="B972" i="2"/>
  <c r="B670" i="2"/>
  <c r="B314" i="2"/>
  <c r="B174" i="2"/>
  <c r="B333" i="2"/>
  <c r="B907" i="2"/>
  <c r="B699" i="2"/>
  <c r="B929" i="2"/>
  <c r="B752" i="2"/>
  <c r="B141" i="2"/>
  <c r="B544" i="2"/>
  <c r="B284" i="2"/>
  <c r="B960" i="2"/>
  <c r="B210" i="2"/>
  <c r="B926" i="2"/>
  <c r="B823" i="2"/>
  <c r="B298" i="2"/>
  <c r="B197" i="2"/>
  <c r="B832" i="2"/>
  <c r="B843" i="2"/>
  <c r="B232" i="2"/>
  <c r="B26" i="2"/>
  <c r="B3" i="2"/>
  <c r="B21" i="2"/>
  <c r="B879" i="2"/>
  <c r="B372" i="2"/>
  <c r="B923" i="2"/>
  <c r="B691" i="2"/>
  <c r="B315" i="2"/>
  <c r="B185" i="2"/>
  <c r="B533" i="2"/>
  <c r="B195" i="2"/>
  <c r="B452" i="2"/>
  <c r="B296" i="2"/>
  <c r="B338" i="2"/>
  <c r="B31" i="2"/>
  <c r="B563" i="2"/>
  <c r="B414" i="2"/>
  <c r="B973" i="2"/>
  <c r="B505" i="2"/>
  <c r="B888" i="2"/>
  <c r="B848" i="2"/>
  <c r="B151" i="2"/>
  <c r="B719" i="2"/>
  <c r="B568" i="2"/>
  <c r="B729" i="2"/>
  <c r="B140" i="2"/>
  <c r="B458" i="2"/>
  <c r="B826" i="2"/>
  <c r="B6" i="2"/>
  <c r="B978" i="2"/>
  <c r="B435" i="2"/>
  <c r="B769" i="2"/>
  <c r="B624" i="2"/>
  <c r="B988" i="2"/>
  <c r="B762" i="2"/>
  <c r="B545" i="2"/>
  <c r="B937" i="2"/>
  <c r="B821" i="2"/>
  <c r="B272" i="2"/>
  <c r="B62" i="2"/>
  <c r="B979" i="2"/>
  <c r="B118" i="2"/>
  <c r="B216" i="2"/>
  <c r="B322" i="2"/>
  <c r="B229" i="2"/>
  <c r="B989" i="2"/>
  <c r="B884" i="2"/>
  <c r="B328" i="2"/>
  <c r="B958" i="2"/>
  <c r="B383" i="2"/>
  <c r="B724" i="2"/>
  <c r="B694" i="2"/>
  <c r="B432" i="2"/>
  <c r="B781" i="2"/>
  <c r="B892" i="2"/>
  <c r="B293" i="2"/>
  <c r="B171" i="2"/>
  <c r="B124" i="2"/>
  <c r="B491" i="2"/>
  <c r="B758" i="2"/>
  <c r="B983" i="2"/>
  <c r="B956" i="2"/>
  <c r="B398" i="2"/>
  <c r="B971" i="2"/>
  <c r="B101" i="2"/>
  <c r="B649" i="2"/>
  <c r="B268" i="2"/>
  <c r="B722" i="2"/>
  <c r="B86" i="2"/>
  <c r="B479" i="2"/>
  <c r="B501" i="2"/>
  <c r="B238" i="2"/>
  <c r="B1000" i="2"/>
  <c r="B643" i="2"/>
  <c r="B158" i="2"/>
  <c r="B650" i="2"/>
  <c r="B221" i="2"/>
  <c r="B483" i="2"/>
  <c r="B562" i="2"/>
  <c r="B437" i="2"/>
  <c r="B621" i="2"/>
  <c r="B444" i="2"/>
  <c r="B113" i="2"/>
  <c r="B792" i="2"/>
  <c r="B191" i="2"/>
  <c r="B918" i="2"/>
  <c r="B517" i="2"/>
  <c r="B217" i="2"/>
  <c r="B707" i="2"/>
  <c r="B256" i="2"/>
  <c r="B493" i="2"/>
  <c r="B179" i="2"/>
  <c r="B852" i="2"/>
  <c r="B524" i="2"/>
  <c r="B67" i="2"/>
  <c r="B521" i="2"/>
  <c r="B585" i="2"/>
  <c r="B842" i="2"/>
  <c r="B599" i="2"/>
  <c r="B99" i="2"/>
  <c r="B441" i="2"/>
  <c r="B365" i="2"/>
  <c r="B455" i="2"/>
  <c r="B371" i="2"/>
  <c r="B683" i="2"/>
  <c r="B162" i="2"/>
  <c r="B449" i="2"/>
  <c r="B530" i="2"/>
  <c r="B251" i="2"/>
  <c r="B23" i="2"/>
  <c r="B661" i="2"/>
  <c r="B617" i="2"/>
  <c r="B48" i="2"/>
  <c r="B673" i="2"/>
  <c r="B504" i="2"/>
  <c r="B642" i="2"/>
  <c r="B327" i="2"/>
  <c r="B318" i="2"/>
  <c r="B739" i="2"/>
  <c r="B81" i="2"/>
  <c r="B19" i="2"/>
  <c r="B17" i="2"/>
  <c r="B995" i="2"/>
  <c r="B609" i="2"/>
  <c r="B95" i="2"/>
  <c r="B878" i="2"/>
  <c r="B436" i="2"/>
  <c r="B370" i="2"/>
  <c r="B381" i="2"/>
  <c r="B83" i="2"/>
  <c r="B915" i="2"/>
  <c r="B299" i="2"/>
  <c r="B916" i="2"/>
  <c r="B772" i="2"/>
  <c r="B775" i="2"/>
  <c r="B734" i="2"/>
  <c r="B115" i="2"/>
  <c r="B360" i="2"/>
  <c r="B473" i="2"/>
  <c r="B654" i="2"/>
  <c r="B519" i="2"/>
  <c r="B555" i="2"/>
  <c r="B872" i="2"/>
  <c r="B680" i="2"/>
  <c r="B634" i="2"/>
  <c r="B332" i="2"/>
  <c r="B279" i="2"/>
  <c r="B747" i="2"/>
  <c r="B438" i="2"/>
  <c r="B490" i="2"/>
  <c r="B776" i="2"/>
  <c r="B965" i="2"/>
  <c r="B100" i="2"/>
  <c r="B218" i="2"/>
  <c r="B411" i="2"/>
  <c r="B70" i="2"/>
  <c r="B576" i="2"/>
  <c r="B9" i="2"/>
  <c r="B339" i="2"/>
  <c r="B748" i="2"/>
  <c r="B833" i="2"/>
  <c r="B623" i="2"/>
  <c r="B612" i="2"/>
  <c r="B448" i="2"/>
  <c r="B312" i="2"/>
  <c r="B970" i="2"/>
  <c r="B98" i="2"/>
  <c r="B89" i="2"/>
  <c r="B509" i="2"/>
  <c r="B932" i="2"/>
  <c r="B144" i="2"/>
  <c r="B356" i="2"/>
  <c r="B49" i="2"/>
  <c r="B184" i="2"/>
  <c r="B921" i="2"/>
  <c r="B824" i="2"/>
  <c r="B809" i="2"/>
  <c r="B553" i="2"/>
  <c r="B306" i="2"/>
  <c r="B464" i="2"/>
  <c r="B388" i="2"/>
  <c r="B997" i="2"/>
  <c r="B382" i="2"/>
  <c r="B535" i="2"/>
  <c r="B246" i="2"/>
  <c r="B953" i="2"/>
  <c r="B263" i="2"/>
  <c r="B373" i="2"/>
  <c r="B28" i="2"/>
  <c r="B402" i="2"/>
  <c r="B595" i="2"/>
  <c r="B270" i="2"/>
  <c r="B427" i="2"/>
  <c r="B828" i="2"/>
  <c r="B860" i="2"/>
  <c r="B511" i="2"/>
  <c r="B374" i="2"/>
  <c r="B150" i="2"/>
  <c r="B899" i="2"/>
  <c r="B109" i="2"/>
  <c r="B771" i="2"/>
  <c r="B689" i="2"/>
  <c r="B615" i="2"/>
  <c r="B226" i="2"/>
  <c r="B686" i="2"/>
  <c r="B675" i="2"/>
  <c r="B665" i="2"/>
  <c r="B163" i="2"/>
  <c r="B518" i="2"/>
  <c r="B266" i="2"/>
  <c r="B331" i="2"/>
  <c r="B480" i="2"/>
  <c r="B855" i="2"/>
  <c r="B257" i="2"/>
  <c r="B136" i="2"/>
  <c r="B295" i="2"/>
  <c r="B76" i="2"/>
  <c r="B596" i="2"/>
  <c r="B702" i="2"/>
  <c r="B529" i="2"/>
  <c r="B614" i="2"/>
  <c r="B72" i="2"/>
  <c r="B968" i="2"/>
  <c r="B42" i="2"/>
  <c r="B63" i="2"/>
  <c r="B928" i="2"/>
  <c r="B164" i="2"/>
  <c r="B351" i="2"/>
  <c r="B672" i="2"/>
  <c r="B949" i="2"/>
  <c r="B790" i="2"/>
  <c r="B759" i="2"/>
  <c r="B750" i="2"/>
  <c r="B96" i="2"/>
  <c r="B919" i="2"/>
  <c r="B309" i="2"/>
  <c r="B687" i="2"/>
  <c r="B434" i="2"/>
  <c r="B905" i="2"/>
  <c r="B598" i="2"/>
  <c r="B12" i="2"/>
  <c r="B646" i="2"/>
  <c r="B15" i="2"/>
  <c r="B207" i="2"/>
  <c r="B861" i="2"/>
  <c r="B482" i="2"/>
  <c r="B984" i="2"/>
  <c r="B168" i="2"/>
  <c r="B811" i="2"/>
  <c r="B660" i="2"/>
  <c r="B368" i="2"/>
  <c r="B244" i="2"/>
  <c r="B50" i="2"/>
  <c r="B547" i="2"/>
  <c r="B814" i="2"/>
  <c r="B579" i="2"/>
  <c r="B648" i="2"/>
  <c r="B541" i="2"/>
  <c r="B993" i="2"/>
  <c r="B532" i="2"/>
  <c r="B886" i="2"/>
  <c r="B106" i="2"/>
  <c r="B644" i="2"/>
  <c r="B107" i="2"/>
  <c r="B552" i="2"/>
  <c r="B154" i="2"/>
  <c r="B342" i="2"/>
  <c r="B433" i="2"/>
  <c r="B267" i="2"/>
  <c r="B44" i="2"/>
  <c r="B597" i="2"/>
  <c r="B523" i="2"/>
  <c r="B954" i="2"/>
  <c r="B169" i="2"/>
  <c r="B564" i="2"/>
  <c r="B426" i="2"/>
  <c r="B981" i="2"/>
  <c r="B522" i="2"/>
  <c r="B395" i="2"/>
  <c r="B580" i="2"/>
  <c r="B408" i="2"/>
  <c r="B54" i="2"/>
  <c r="B794" i="2"/>
  <c r="B822" i="2"/>
  <c r="B516" i="2"/>
  <c r="B827" i="2"/>
  <c r="B846" i="2"/>
  <c r="B904" i="2"/>
  <c r="B543" i="2"/>
  <c r="B514" i="2"/>
  <c r="B871" i="2"/>
  <c r="B708" i="2"/>
  <c r="B653" i="2"/>
  <c r="B75" i="2"/>
  <c r="B889" i="2"/>
  <c r="B187" i="2"/>
  <c r="B704" i="2"/>
  <c r="B27" i="2"/>
  <c r="B911" i="2"/>
  <c r="B985" i="2"/>
  <c r="B212" i="2"/>
  <c r="B390" i="2"/>
  <c r="B90" i="2"/>
  <c r="B777" i="2"/>
  <c r="B714" i="2"/>
  <c r="B379" i="2"/>
  <c r="B132" i="2"/>
  <c r="B841" i="2"/>
  <c r="B868" i="2"/>
  <c r="B176" i="2"/>
  <c r="B73" i="2"/>
  <c r="B273" i="2"/>
  <c r="B403" i="2"/>
  <c r="B486" i="2"/>
  <c r="B711" i="2"/>
  <c r="B994" i="2"/>
  <c r="B966" i="2"/>
  <c r="B882" i="2"/>
  <c r="B898" i="2"/>
  <c r="B656" i="2"/>
  <c r="B666" i="2"/>
  <c r="B247" i="2"/>
  <c r="B863" i="2"/>
  <c r="B200" i="2"/>
  <c r="B812" i="2"/>
  <c r="B583" i="2"/>
  <c r="B902" i="2"/>
  <c r="B917" i="2"/>
  <c r="B288" i="2"/>
  <c r="B763" i="2"/>
  <c r="B498" i="2"/>
  <c r="B741" i="2"/>
  <c r="B810" i="2"/>
  <c r="B495" i="2"/>
  <c r="B955" i="2"/>
  <c r="B160" i="2"/>
  <c r="B423" i="2"/>
  <c r="B618" i="2"/>
  <c r="B120" i="2"/>
  <c r="B716" i="2"/>
  <c r="B925" i="2"/>
  <c r="B74" i="2"/>
  <c r="B399" i="2"/>
  <c r="B525" i="2"/>
  <c r="B690" i="2"/>
  <c r="B779" i="2"/>
  <c r="B465" i="2"/>
  <c r="B222" i="2"/>
  <c r="B835" i="2"/>
  <c r="B36" i="2"/>
  <c r="B352" i="2"/>
  <c r="B345" i="2"/>
  <c r="B119" i="2"/>
  <c r="B782" i="2"/>
  <c r="B938" i="2"/>
  <c r="B721" i="2"/>
  <c r="B173" i="2"/>
  <c r="B362" i="2"/>
  <c r="B485" i="2"/>
  <c r="B204" i="2"/>
  <c r="B77" i="2"/>
  <c r="B924" i="2"/>
  <c r="B302" i="2"/>
  <c r="B743" i="2"/>
  <c r="B645" i="2"/>
  <c r="B856" i="2"/>
  <c r="B627" i="2"/>
  <c r="B242" i="2"/>
  <c r="B277" i="2"/>
  <c r="B53" i="2"/>
  <c r="B422" i="2"/>
  <c r="B319" i="2"/>
  <c r="B813" i="2"/>
  <c r="B91" i="2"/>
  <c r="B944" i="2"/>
  <c r="B880" i="2"/>
  <c r="B224" i="2"/>
  <c r="B957" i="2"/>
  <c r="B831" i="2"/>
  <c r="B289" i="2"/>
  <c r="B639" i="2"/>
  <c r="B133" i="2"/>
  <c r="B346" i="2"/>
  <c r="B192" i="2"/>
  <c r="B450" i="2"/>
  <c r="B61" i="2"/>
  <c r="B582" i="2"/>
  <c r="B389" i="2"/>
  <c r="B573" i="2"/>
  <c r="B751" i="2"/>
  <c r="B153" i="2"/>
  <c r="B282" i="2"/>
  <c r="B343" i="2"/>
  <c r="B235" i="2"/>
  <c r="B254" i="2"/>
  <c r="B181" i="2"/>
  <c r="B416" i="2"/>
  <c r="B291" i="2"/>
  <c r="B584" i="2"/>
  <c r="B145" i="2"/>
  <c r="B684" i="2"/>
  <c r="B611" i="2"/>
  <c r="B605" i="2"/>
  <c r="B712" i="2"/>
  <c r="B349" i="2"/>
  <c r="B934" i="2"/>
  <c r="B223" i="2"/>
  <c r="B574" i="2"/>
  <c r="B975" i="2"/>
  <c r="B378" i="2"/>
  <c r="B838" i="2"/>
  <c r="B671" i="2"/>
  <c r="B80" i="2"/>
  <c r="B770" i="2"/>
  <c r="B104" i="2"/>
  <c r="B38" i="2"/>
  <c r="B805" i="2"/>
  <c r="B134" i="2"/>
  <c r="B420" i="2"/>
  <c r="B534" i="2"/>
  <c r="B820" i="2"/>
  <c r="B674" i="2"/>
  <c r="B539" i="2"/>
  <c r="B527" i="2"/>
  <c r="B335" i="2"/>
  <c r="B471" i="2"/>
  <c r="B682" i="2"/>
  <c r="B43" i="2"/>
  <c r="B528" i="2"/>
  <c r="B728" i="2"/>
  <c r="B180" i="2"/>
  <c r="B697" i="2"/>
  <c r="B78" i="2"/>
  <c r="B659" i="2"/>
  <c r="B142" i="2"/>
  <c r="B206" i="2"/>
  <c r="B25" i="2"/>
  <c r="B839" i="2"/>
  <c r="B239" i="2"/>
  <c r="B16" i="2"/>
  <c r="B477" i="2"/>
  <c r="B461" i="2"/>
  <c r="B998" i="2"/>
  <c r="B866" i="2"/>
  <c r="B715" i="2"/>
  <c r="B65" i="2"/>
  <c r="B375" i="2"/>
  <c r="B7" i="2"/>
  <c r="B951" i="2"/>
  <c r="B625" i="2"/>
  <c r="B237" i="2"/>
  <c r="B647" i="2"/>
  <c r="B470" i="2"/>
  <c r="B845" i="2"/>
  <c r="B57" i="2"/>
  <c r="B837" i="2"/>
  <c r="B460" i="2"/>
  <c r="B431" i="2"/>
  <c r="B725" i="2"/>
  <c r="B456" i="2"/>
  <c r="B341" i="2"/>
  <c r="B963" i="2"/>
  <c r="B830" i="2"/>
  <c r="B366" i="2"/>
  <c r="B744" i="2"/>
  <c r="B676" i="2"/>
  <c r="B803" i="2"/>
  <c r="B606" i="2"/>
  <c r="B430" i="2"/>
  <c r="B494" i="2"/>
  <c r="B387" i="2"/>
  <c r="B874" i="2"/>
  <c r="B320" i="2"/>
  <c r="B392" i="2"/>
  <c r="B723" i="2"/>
  <c r="B536" i="2"/>
  <c r="B285" i="2"/>
  <c r="B105" i="2"/>
  <c r="B540" i="2"/>
  <c r="B30" i="2"/>
  <c r="B780" i="2"/>
  <c r="B557" i="2"/>
  <c r="B632" i="2"/>
  <c r="B736" i="2"/>
  <c r="B278" i="2"/>
  <c r="B472" i="2"/>
  <c r="B258" i="2"/>
  <c r="B561" i="2"/>
  <c r="B227" i="2"/>
  <c r="B840" i="2"/>
  <c r="B737" i="2"/>
  <c r="B241" i="2"/>
  <c r="B161" i="2"/>
  <c r="B148" i="2"/>
  <c r="B468" i="2"/>
  <c r="B82" i="2"/>
  <c r="B292" i="2"/>
  <c r="B802" i="2"/>
  <c r="B817" i="2"/>
  <c r="B205" i="2"/>
  <c r="B359" i="2"/>
  <c r="B240" i="2"/>
  <c r="B950" i="2"/>
  <c r="B948" i="2"/>
  <c r="B808" i="2"/>
  <c r="B865" i="2"/>
  <c r="B565" i="2"/>
  <c r="B996" i="2"/>
  <c r="B307" i="2"/>
  <c r="B931" i="2"/>
  <c r="B588" i="2"/>
  <c r="B608" i="2"/>
  <c r="B439" i="2"/>
  <c r="B941" i="2"/>
  <c r="B128" i="2"/>
  <c r="B385" i="2"/>
  <c r="B167" i="2"/>
  <c r="B308" i="2"/>
  <c r="B859" i="2"/>
  <c r="B367" i="2"/>
  <c r="B305" i="2"/>
  <c r="B459" i="2"/>
  <c r="B457" i="2"/>
  <c r="B45" i="2"/>
  <c r="B271" i="2"/>
  <c r="B131" i="2"/>
  <c r="B720" i="2"/>
  <c r="B139" i="2"/>
  <c r="B301" i="2"/>
  <c r="B110" i="2"/>
  <c r="B549" i="2"/>
  <c r="B496" i="2"/>
  <c r="B97" i="2"/>
  <c r="B893" i="2"/>
  <c r="B336" i="2"/>
  <c r="B867" i="2"/>
  <c r="B249" i="2"/>
  <c r="B967" i="2"/>
  <c r="B613" i="2"/>
  <c r="B853" i="2"/>
  <c r="B264" i="2"/>
  <c r="B69" i="2"/>
  <c r="B2" i="2"/>
  <c r="B927" i="2"/>
  <c r="B881" i="2"/>
  <c r="B484" i="2"/>
  <c r="B796" i="2"/>
  <c r="B24" i="2"/>
  <c r="B325" i="2"/>
  <c r="B125" i="2"/>
  <c r="B189" i="2"/>
  <c r="B556" i="2"/>
  <c r="B877" i="2"/>
  <c r="B864" i="2"/>
  <c r="B876" i="2"/>
  <c r="B590" i="2"/>
  <c r="B159" i="2"/>
  <c r="B407" i="2"/>
  <c r="B294" i="2"/>
  <c r="B68" i="2"/>
  <c r="B47" i="2"/>
  <c r="B59" i="2"/>
  <c r="B130" i="2"/>
  <c r="B651" i="2"/>
  <c r="B202" i="2"/>
  <c r="B245" i="2"/>
  <c r="B13" i="2"/>
  <c r="B652" i="2"/>
  <c r="B46" i="2"/>
  <c r="B766" i="2"/>
  <c r="B508" i="2"/>
  <c r="B261" i="2"/>
  <c r="B695" i="2"/>
  <c r="B60" i="2"/>
  <c r="B709" i="2"/>
  <c r="B703" i="2"/>
  <c r="B591" i="2"/>
  <c r="B760" i="2"/>
  <c r="B768" i="2"/>
  <c r="B850" i="2"/>
  <c r="B228" i="2"/>
  <c r="B622" i="2"/>
  <c r="B364" i="2"/>
  <c r="B914" i="2"/>
  <c r="B177" i="2"/>
  <c r="B170" i="2"/>
  <c r="B467" i="2"/>
  <c r="B537" i="2"/>
  <c r="B354" i="2"/>
  <c r="B870" i="2"/>
  <c r="B991" i="2"/>
  <c r="B146" i="2"/>
  <c r="B531" i="2"/>
  <c r="B640" i="2"/>
  <c r="B604" i="2"/>
  <c r="B193" i="2"/>
  <c r="B610" i="2"/>
  <c r="B662" i="2"/>
  <c r="B825" i="2"/>
  <c r="B209" i="2"/>
  <c r="B761" i="2"/>
  <c r="B503" i="2"/>
  <c r="B630" i="2"/>
  <c r="B512" i="2"/>
  <c r="B620" i="2"/>
  <c r="B663" i="2"/>
  <c r="B542" i="2"/>
  <c r="B397" i="2"/>
  <c r="B986" i="2"/>
  <c r="B172" i="2"/>
  <c r="B726" i="2"/>
  <c r="B869" i="2"/>
  <c r="B685" i="2"/>
  <c r="B478" i="2"/>
  <c r="B799" i="2"/>
  <c r="B323" i="2"/>
  <c r="B324" i="2"/>
  <c r="B559" i="2"/>
  <c r="B816" i="2"/>
  <c r="B586" i="2"/>
  <c r="B52" i="2"/>
  <c r="B793" i="2"/>
  <c r="B930" i="2"/>
  <c r="B600" i="2"/>
  <c r="B710" i="2"/>
  <c r="B126" i="2"/>
  <c r="B502" i="2"/>
  <c r="B668" i="2"/>
  <c r="B601" i="2"/>
  <c r="B890" i="2"/>
  <c r="B862" i="2"/>
  <c r="B317" i="2"/>
  <c r="B692" i="2"/>
  <c r="B231" i="2"/>
  <c r="B795" i="2"/>
  <c r="B946" i="2"/>
  <c r="B391" i="2"/>
  <c r="B121" i="2"/>
  <c r="B182" i="2"/>
  <c r="B394" i="2"/>
  <c r="B138" i="2"/>
  <c r="B801" i="2"/>
  <c r="B380" i="2"/>
  <c r="B440" i="2"/>
  <c r="B405" i="2"/>
  <c r="B735" i="2"/>
  <c r="B358" i="2"/>
  <c r="B253" i="2"/>
  <c r="B740" i="2"/>
  <c r="B854" i="2"/>
  <c r="B71" i="2"/>
  <c r="B409" i="2"/>
  <c r="B297" i="2"/>
  <c r="B428" i="2"/>
  <c r="B638" i="2"/>
  <c r="B476" i="2"/>
  <c r="B321" i="2"/>
  <c r="B353" i="2"/>
  <c r="B572" i="2"/>
  <c r="B858" i="2"/>
  <c r="B400" i="2"/>
  <c r="B451" i="2"/>
  <c r="B520" i="2"/>
  <c r="B977" i="2"/>
  <c r="B129" i="2"/>
  <c r="B421" i="2"/>
  <c r="B274" i="2"/>
  <c r="B233" i="2"/>
  <c r="B203" i="2"/>
  <c r="B667" i="2"/>
  <c r="B992" i="2"/>
  <c r="B377" i="2"/>
  <c r="B513" i="2"/>
  <c r="B885" i="2"/>
  <c r="B641" i="2"/>
  <c r="B94" i="2"/>
  <c r="B340" i="2"/>
  <c r="B281" i="2"/>
  <c r="B462" i="2"/>
  <c r="B269" i="2"/>
  <c r="B908" i="2"/>
  <c r="B753" i="2"/>
  <c r="B538" i="2"/>
  <c r="B903" i="2"/>
  <c r="B800" i="2"/>
  <c r="B767" i="2"/>
  <c r="B178" i="2"/>
  <c r="B701" i="2"/>
  <c r="B558" i="2"/>
  <c r="B32" i="2"/>
  <c r="B569" i="2"/>
  <c r="B64" i="2"/>
  <c r="B248" i="2"/>
  <c r="B982" i="2"/>
  <c r="B35" i="2"/>
  <c r="B20" i="2"/>
  <c r="B58" i="2"/>
  <c r="B500" i="2"/>
  <c r="B259" i="2"/>
  <c r="B10" i="2"/>
  <c r="B188" i="2"/>
  <c r="B560" i="2"/>
  <c r="B56" i="2"/>
  <c r="B348" i="2"/>
  <c r="B806" i="2"/>
  <c r="B696" i="2"/>
  <c r="B894" i="2"/>
  <c r="B474" i="2"/>
  <c r="B554" i="2"/>
  <c r="B952" i="2"/>
  <c r="B230" i="2"/>
  <c r="B410" i="2"/>
  <c r="B834" i="2"/>
  <c r="B789" i="2"/>
  <c r="B103" i="2"/>
  <c r="B425" i="2"/>
  <c r="B678" i="2"/>
  <c r="B912" i="2"/>
  <c r="B300" i="2"/>
  <c r="B363" i="2"/>
  <c r="B587" i="2"/>
  <c r="B603" i="2"/>
  <c r="B578" i="2"/>
  <c r="B943" i="2"/>
  <c r="B745" i="2"/>
  <c r="B791" i="2"/>
  <c r="B424" i="2"/>
  <c r="B22" i="2"/>
  <c r="B940" i="2"/>
  <c r="B198" i="2"/>
  <c r="B165" i="2"/>
  <c r="B755" i="2"/>
  <c r="B786" i="2"/>
  <c r="B442" i="2"/>
  <c r="B175" i="2"/>
  <c r="B818" i="2"/>
  <c r="B445" i="2"/>
  <c r="B787" i="2"/>
  <c r="B499" i="2"/>
  <c r="B910" i="2"/>
  <c r="B220" i="2"/>
  <c r="B717" i="2"/>
  <c r="B939" i="2"/>
  <c r="B920" i="2"/>
  <c r="B347" i="2"/>
  <c r="B999" i="2"/>
  <c r="B727" i="2"/>
  <c r="B757" i="2"/>
  <c r="B631" i="2"/>
  <c r="B447" i="2"/>
  <c r="B196" i="2"/>
  <c r="B286" i="2"/>
  <c r="B980" i="2"/>
  <c r="B713" i="2"/>
  <c r="B804" i="2"/>
  <c r="B628" i="2"/>
  <c r="B635" i="2"/>
  <c r="B37" i="2"/>
  <c r="B201" i="2"/>
  <c r="B546" i="2"/>
  <c r="B453" i="2"/>
  <c r="B974" i="2"/>
  <c r="B369" i="2"/>
  <c r="B896" i="2"/>
  <c r="B783" i="2"/>
  <c r="B515" i="2"/>
  <c r="B730" i="2"/>
  <c r="B746" i="2"/>
  <c r="B127" i="2"/>
  <c r="B489" i="2"/>
  <c r="B393" i="2"/>
  <c r="B443" i="2"/>
  <c r="B350" i="2"/>
  <c r="B466" i="2"/>
  <c r="B836" i="2"/>
  <c r="B901" i="2"/>
  <c r="B742" i="2"/>
  <c r="B506" i="2"/>
  <c r="B875" i="2"/>
  <c r="B906" i="2"/>
  <c r="B114" i="2"/>
  <c r="B619" i="2"/>
  <c r="B386" i="2"/>
  <c r="B844" i="2"/>
  <c r="B84" i="2"/>
  <c r="B847" i="2"/>
  <c r="B33" i="2"/>
  <c r="B849" i="2"/>
  <c r="B376" i="2"/>
  <c r="B577" i="2"/>
  <c r="B276" i="2"/>
  <c r="B355" i="2"/>
  <c r="B487" i="2"/>
  <c r="B593" i="2"/>
  <c r="B41" i="2"/>
  <c r="B313" i="2"/>
  <c r="B571" i="2"/>
  <c r="B326" i="2"/>
  <c r="B945" i="2"/>
  <c r="B304" i="2"/>
  <c r="B964" i="2"/>
  <c r="B79" i="2"/>
  <c r="B330" i="2"/>
  <c r="B417" i="2"/>
  <c r="B987" i="2"/>
  <c r="B334" i="2"/>
  <c r="B548" i="2"/>
  <c r="B290" i="2"/>
  <c r="B602" i="2"/>
  <c r="B384" i="2"/>
  <c r="B592" i="2"/>
  <c r="B961" i="2"/>
  <c r="B756" i="2"/>
  <c r="B357" i="2"/>
  <c r="B677" i="2"/>
  <c r="B636" i="2"/>
  <c r="B40" i="2"/>
  <c r="B157" i="2"/>
  <c r="B225" i="2"/>
  <c r="B311" i="2"/>
  <c r="B897" i="2"/>
  <c r="B143" i="2"/>
  <c r="B34" i="2"/>
  <c r="B152" i="2"/>
  <c r="B935" i="2"/>
  <c r="B655" i="2"/>
  <c r="B481" i="2"/>
  <c r="B429" i="2"/>
  <c r="B664" i="2"/>
  <c r="B123" i="2"/>
  <c r="B909" i="2"/>
  <c r="B857" i="2"/>
  <c r="B942" i="2"/>
  <c r="B337" i="2"/>
  <c r="B404" i="2"/>
  <c r="B732" i="2"/>
  <c r="B183" i="2"/>
  <c r="B933" i="2"/>
  <c r="B262" i="2"/>
  <c r="B637" i="2"/>
  <c r="B283" i="2"/>
  <c r="B788" i="2"/>
  <c r="B959" i="2"/>
  <c r="A883" i="2"/>
  <c r="S241" i="2" l="1"/>
  <c r="S743" i="2"/>
  <c r="S299" i="2"/>
  <c r="S722" i="2"/>
  <c r="S936" i="2"/>
  <c r="S700" i="2"/>
  <c r="S570" i="2"/>
  <c r="S815" i="2"/>
  <c r="S913" i="2"/>
  <c r="S276" i="2"/>
  <c r="S336" i="2"/>
  <c r="S898" i="2"/>
  <c r="S776" i="2"/>
  <c r="S528" i="2"/>
  <c r="S670" i="2"/>
  <c r="S637" i="2"/>
  <c r="S857" i="2"/>
  <c r="S152" i="2"/>
  <c r="S636" i="2"/>
  <c r="S290" i="2"/>
  <c r="S304" i="2"/>
  <c r="S355" i="2"/>
  <c r="S844" i="2"/>
  <c r="S901" i="2"/>
  <c r="S746" i="2"/>
  <c r="S546" i="2"/>
  <c r="S286" i="2"/>
  <c r="S920" i="2"/>
  <c r="S818" i="2"/>
  <c r="S22" i="2"/>
  <c r="S363" i="2"/>
  <c r="S410" i="2"/>
  <c r="S348" i="2"/>
  <c r="S20" i="2"/>
  <c r="S701" i="2"/>
  <c r="S269" i="2"/>
  <c r="S377" i="2"/>
  <c r="S977" i="2"/>
  <c r="S476" i="2"/>
  <c r="S253" i="2"/>
  <c r="S394" i="2"/>
  <c r="S317" i="2"/>
  <c r="S600" i="2"/>
  <c r="S323" i="2"/>
  <c r="S397" i="2"/>
  <c r="S209" i="2"/>
  <c r="S146" i="2"/>
  <c r="S914" i="2"/>
  <c r="S703" i="2"/>
  <c r="S652" i="2"/>
  <c r="S68" i="2"/>
  <c r="S556" i="2"/>
  <c r="S927" i="2"/>
  <c r="S867" i="2"/>
  <c r="S139" i="2"/>
  <c r="S520" i="2"/>
  <c r="S347" i="2"/>
  <c r="S324" i="2"/>
  <c r="S367" i="2"/>
  <c r="S608" i="2"/>
  <c r="S948" i="2"/>
  <c r="S82" i="2"/>
  <c r="S561" i="2"/>
  <c r="S30" i="2"/>
  <c r="S874" i="2"/>
  <c r="S366" i="2"/>
  <c r="S837" i="2"/>
  <c r="S7" i="2"/>
  <c r="S16" i="2"/>
  <c r="S697" i="2"/>
  <c r="S527" i="2"/>
  <c r="S38" i="2"/>
  <c r="S574" i="2"/>
  <c r="S145" i="2"/>
  <c r="S282" i="2"/>
  <c r="S192" i="2"/>
  <c r="S880" i="2"/>
  <c r="S242" i="2"/>
  <c r="S204" i="2"/>
  <c r="S345" i="2"/>
  <c r="S525" i="2"/>
  <c r="S160" i="2"/>
  <c r="S917" i="2"/>
  <c r="S656" i="2"/>
  <c r="S273" i="2"/>
  <c r="S777" i="2"/>
  <c r="S187" i="2"/>
  <c r="S904" i="2"/>
  <c r="S580" i="2"/>
  <c r="S523" i="2"/>
  <c r="S107" i="2"/>
  <c r="S579" i="2"/>
  <c r="S168" i="2"/>
  <c r="S598" i="2"/>
  <c r="S759" i="2"/>
  <c r="S42" i="2"/>
  <c r="S295" i="2"/>
  <c r="S163" i="2"/>
  <c r="S109" i="2"/>
  <c r="S270" i="2"/>
  <c r="S535" i="2"/>
  <c r="S824" i="2"/>
  <c r="S89" i="2"/>
  <c r="S748" i="2"/>
  <c r="S965" i="2"/>
  <c r="S680" i="2"/>
  <c r="S734" i="2"/>
  <c r="S370" i="2"/>
  <c r="S81" i="2"/>
  <c r="S617" i="2"/>
  <c r="S371" i="2"/>
  <c r="S521" i="2"/>
  <c r="S217" i="2"/>
  <c r="S437" i="2"/>
  <c r="S238" i="2"/>
  <c r="S971" i="2"/>
  <c r="S293" i="2"/>
  <c r="S328" i="2"/>
  <c r="S62" i="2"/>
  <c r="S769" i="2"/>
  <c r="S568" i="2"/>
  <c r="S563" i="2"/>
  <c r="S315" i="2"/>
  <c r="S232" i="2"/>
  <c r="S960" i="2"/>
  <c r="S333" i="2"/>
  <c r="S361" i="2"/>
  <c r="S706" i="2"/>
  <c r="S255" i="2"/>
  <c r="S526" i="2"/>
  <c r="S344" i="2"/>
  <c r="S688" i="2"/>
  <c r="S265" i="2"/>
  <c r="S497" i="2"/>
  <c r="S446" i="2"/>
  <c r="S310" i="2"/>
  <c r="S4" i="2"/>
  <c r="S147" i="2"/>
  <c r="S567" i="2"/>
  <c r="S275" i="2"/>
  <c r="S774" i="2"/>
  <c r="S316" i="2"/>
  <c r="S669" i="2"/>
  <c r="S548" i="2"/>
  <c r="S939" i="2"/>
  <c r="S424" i="2"/>
  <c r="S462" i="2"/>
  <c r="S799" i="2"/>
  <c r="S387" i="2"/>
  <c r="S933" i="2"/>
  <c r="S123" i="2"/>
  <c r="S143" i="2"/>
  <c r="S357" i="2"/>
  <c r="S334" i="2"/>
  <c r="S326" i="2"/>
  <c r="S577" i="2"/>
  <c r="S619" i="2"/>
  <c r="S466" i="2"/>
  <c r="S515" i="2"/>
  <c r="S37" i="2"/>
  <c r="S447" i="2"/>
  <c r="S717" i="2"/>
  <c r="S442" i="2"/>
  <c r="S791" i="2"/>
  <c r="S912" i="2"/>
  <c r="S952" i="2"/>
  <c r="S560" i="2"/>
  <c r="S982" i="2"/>
  <c r="S767" i="2"/>
  <c r="S281" i="2"/>
  <c r="S667" i="2"/>
  <c r="S451" i="2"/>
  <c r="S428" i="2"/>
  <c r="S735" i="2"/>
  <c r="S121" i="2"/>
  <c r="S890" i="2"/>
  <c r="S793" i="2"/>
  <c r="S478" i="2"/>
  <c r="S663" i="2"/>
  <c r="S908" i="2"/>
  <c r="S732" i="2"/>
  <c r="S429" i="2"/>
  <c r="S311" i="2"/>
  <c r="S961" i="2"/>
  <c r="S417" i="2"/>
  <c r="S313" i="2"/>
  <c r="S849" i="2"/>
  <c r="S906" i="2"/>
  <c r="S443" i="2"/>
  <c r="S896" i="2"/>
  <c r="S628" i="2"/>
  <c r="S757" i="2"/>
  <c r="S910" i="2"/>
  <c r="S755" i="2"/>
  <c r="S943" i="2"/>
  <c r="S425" i="2"/>
  <c r="S474" i="2"/>
  <c r="S10" i="2"/>
  <c r="S64" i="2"/>
  <c r="S385" i="2"/>
  <c r="S606" i="2"/>
  <c r="S647" i="2"/>
  <c r="S43" i="2"/>
  <c r="S712" i="2"/>
  <c r="S389" i="2"/>
  <c r="S716" i="2"/>
  <c r="S200" i="2"/>
  <c r="S426" i="2"/>
  <c r="S532" i="2"/>
  <c r="S480" i="2"/>
  <c r="S511" i="2"/>
  <c r="S747" i="2"/>
  <c r="S792" i="2"/>
  <c r="S888" i="2"/>
  <c r="S879" i="2"/>
  <c r="S825" i="2"/>
  <c r="S189" i="2"/>
  <c r="S539" i="2"/>
  <c r="S136" i="2"/>
  <c r="S415" i="2"/>
  <c r="S5" i="2"/>
  <c r="S639" i="2"/>
  <c r="S212" i="2"/>
  <c r="S687" i="2"/>
  <c r="S229" i="2"/>
  <c r="S935" i="2"/>
  <c r="S602" i="2"/>
  <c r="S453" i="2"/>
  <c r="S58" i="2"/>
  <c r="S692" i="2"/>
  <c r="S46" i="2"/>
  <c r="S877" i="2"/>
  <c r="S662" i="2"/>
  <c r="S870" i="2"/>
  <c r="S622" i="2"/>
  <c r="S60" i="2"/>
  <c r="S245" i="2"/>
  <c r="S407" i="2"/>
  <c r="S125" i="2"/>
  <c r="S69" i="2"/>
  <c r="S893" i="2"/>
  <c r="S131" i="2"/>
  <c r="S308" i="2"/>
  <c r="S931" i="2"/>
  <c r="S240" i="2"/>
  <c r="S148" i="2"/>
  <c r="S472" i="2"/>
  <c r="S105" i="2"/>
  <c r="S494" i="2"/>
  <c r="S963" i="2"/>
  <c r="S845" i="2"/>
  <c r="S65" i="2"/>
  <c r="S839" i="2"/>
  <c r="S728" i="2"/>
  <c r="S674" i="2"/>
  <c r="S770" i="2"/>
  <c r="S934" i="2"/>
  <c r="S291" i="2"/>
  <c r="S751" i="2"/>
  <c r="S133" i="2"/>
  <c r="S91" i="2"/>
  <c r="S856" i="2"/>
  <c r="S362" i="2"/>
  <c r="S36" i="2"/>
  <c r="S74" i="2"/>
  <c r="S495" i="2"/>
  <c r="S583" i="2"/>
  <c r="S882" i="2"/>
  <c r="S176" i="2"/>
  <c r="S390" i="2"/>
  <c r="S75" i="2"/>
  <c r="S827" i="2"/>
  <c r="S522" i="2"/>
  <c r="S44" i="2"/>
  <c r="S106" i="2"/>
  <c r="S547" i="2"/>
  <c r="S482" i="2"/>
  <c r="S434" i="2"/>
  <c r="S949" i="2"/>
  <c r="S72" i="2"/>
  <c r="S257" i="2"/>
  <c r="S675" i="2"/>
  <c r="S150" i="2"/>
  <c r="S402" i="2"/>
  <c r="S997" i="2"/>
  <c r="S184" i="2"/>
  <c r="S970" i="2"/>
  <c r="S9" i="2"/>
  <c r="S490" i="2"/>
  <c r="S555" i="2"/>
  <c r="S772" i="2"/>
  <c r="S878" i="2"/>
  <c r="S318" i="2"/>
  <c r="S23" i="2"/>
  <c r="S365" i="2"/>
  <c r="S524" i="2"/>
  <c r="S918" i="2"/>
  <c r="S483" i="2"/>
  <c r="S479" i="2"/>
  <c r="S956" i="2"/>
  <c r="S781" i="2"/>
  <c r="S989" i="2"/>
  <c r="S821" i="2"/>
  <c r="S978" i="2"/>
  <c r="S151" i="2"/>
  <c r="S338" i="2"/>
  <c r="S923" i="2"/>
  <c r="S832" i="2"/>
  <c r="S544" i="2"/>
  <c r="S314" i="2"/>
  <c r="S765" i="2"/>
  <c r="S633" i="2"/>
  <c r="S183" i="2"/>
  <c r="S664" i="2"/>
  <c r="S897" i="2"/>
  <c r="S756" i="2"/>
  <c r="S987" i="2"/>
  <c r="S571" i="2"/>
  <c r="S376" i="2"/>
  <c r="S114" i="2"/>
  <c r="S350" i="2"/>
  <c r="S783" i="2"/>
  <c r="S635" i="2"/>
  <c r="S631" i="2"/>
  <c r="S220" i="2"/>
  <c r="S786" i="2"/>
  <c r="S745" i="2"/>
  <c r="S678" i="2"/>
  <c r="S554" i="2"/>
  <c r="S188" i="2"/>
  <c r="S248" i="2"/>
  <c r="S800" i="2"/>
  <c r="S340" i="2"/>
  <c r="S203" i="2"/>
  <c r="S400" i="2"/>
  <c r="S297" i="2"/>
  <c r="S405" i="2"/>
  <c r="S391" i="2"/>
  <c r="S601" i="2"/>
  <c r="S52" i="2"/>
  <c r="S685" i="2"/>
  <c r="S620" i="2"/>
  <c r="S610" i="2"/>
  <c r="S354" i="2"/>
  <c r="S228" i="2"/>
  <c r="S695" i="2"/>
  <c r="S202" i="2"/>
  <c r="S159" i="2"/>
  <c r="S325" i="2"/>
  <c r="S264" i="2"/>
  <c r="S307" i="2"/>
  <c r="S161" i="2"/>
  <c r="S430" i="2"/>
  <c r="S715" i="2"/>
  <c r="S349" i="2"/>
  <c r="S645" i="2"/>
  <c r="S925" i="2"/>
  <c r="S966" i="2"/>
  <c r="S50" i="2"/>
  <c r="S28" i="2"/>
  <c r="S49" i="2"/>
  <c r="S95" i="2"/>
  <c r="S251" i="2"/>
  <c r="S983" i="2"/>
  <c r="S197" i="2"/>
  <c r="S112" i="2"/>
  <c r="S959" i="2"/>
  <c r="S404" i="2"/>
  <c r="S481" i="2"/>
  <c r="S225" i="2"/>
  <c r="S592" i="2"/>
  <c r="S330" i="2"/>
  <c r="S41" i="2"/>
  <c r="S33" i="2"/>
  <c r="S875" i="2"/>
  <c r="S393" i="2"/>
  <c r="S369" i="2"/>
  <c r="S804" i="2"/>
  <c r="S727" i="2"/>
  <c r="S499" i="2"/>
  <c r="S165" i="2"/>
  <c r="S578" i="2"/>
  <c r="S103" i="2"/>
  <c r="S894" i="2"/>
  <c r="S259" i="2"/>
  <c r="S569" i="2"/>
  <c r="S538" i="2"/>
  <c r="S641" i="2"/>
  <c r="S274" i="2"/>
  <c r="S572" i="2"/>
  <c r="S71" i="2"/>
  <c r="S380" i="2"/>
  <c r="S795" i="2"/>
  <c r="S502" i="2"/>
  <c r="S816" i="2"/>
  <c r="S726" i="2"/>
  <c r="S630" i="2"/>
  <c r="S604" i="2"/>
  <c r="S467" i="2"/>
  <c r="S768" i="2"/>
  <c r="S508" i="2"/>
  <c r="S130" i="2"/>
  <c r="S876" i="2"/>
  <c r="S796" i="2"/>
  <c r="S613" i="2"/>
  <c r="S549" i="2"/>
  <c r="S457" i="2"/>
  <c r="S128" i="2"/>
  <c r="S565" i="2"/>
  <c r="S817" i="2"/>
  <c r="S737" i="2"/>
  <c r="S632" i="2"/>
  <c r="S723" i="2"/>
  <c r="S803" i="2"/>
  <c r="S725" i="2"/>
  <c r="S788" i="2"/>
  <c r="S337" i="2"/>
  <c r="S655" i="2"/>
  <c r="S157" i="2"/>
  <c r="S384" i="2"/>
  <c r="S79" i="2"/>
  <c r="S593" i="2"/>
  <c r="S847" i="2"/>
  <c r="S506" i="2"/>
  <c r="S489" i="2"/>
  <c r="S974" i="2"/>
  <c r="S713" i="2"/>
  <c r="S999" i="2"/>
  <c r="S787" i="2"/>
  <c r="S198" i="2"/>
  <c r="S603" i="2"/>
  <c r="S789" i="2"/>
  <c r="S696" i="2"/>
  <c r="S500" i="2"/>
  <c r="S32" i="2"/>
  <c r="S753" i="2"/>
  <c r="S885" i="2"/>
  <c r="S421" i="2"/>
  <c r="S353" i="2"/>
  <c r="S854" i="2"/>
  <c r="S801" i="2"/>
  <c r="S231" i="2"/>
  <c r="S126" i="2"/>
  <c r="S559" i="2"/>
  <c r="S172" i="2"/>
  <c r="S503" i="2"/>
  <c r="S640" i="2"/>
  <c r="S170" i="2"/>
  <c r="S760" i="2"/>
  <c r="S766" i="2"/>
  <c r="S59" i="2"/>
  <c r="S864" i="2"/>
  <c r="S484" i="2"/>
  <c r="S967" i="2"/>
  <c r="S110" i="2"/>
  <c r="S459" i="2"/>
  <c r="S941" i="2"/>
  <c r="S865" i="2"/>
  <c r="S802" i="2"/>
  <c r="S840" i="2"/>
  <c r="S557" i="2"/>
  <c r="S392" i="2"/>
  <c r="S676" i="2"/>
  <c r="S431" i="2"/>
  <c r="S625" i="2"/>
  <c r="S461" i="2"/>
  <c r="S659" i="2"/>
  <c r="S471" i="2"/>
  <c r="S134" i="2"/>
  <c r="S378" i="2"/>
  <c r="S611" i="2"/>
  <c r="S235" i="2"/>
  <c r="S61" i="2"/>
  <c r="S957" i="2"/>
  <c r="S53" i="2"/>
  <c r="S924" i="2"/>
  <c r="S782" i="2"/>
  <c r="S283" i="2"/>
  <c r="S942" i="2"/>
  <c r="S40" i="2"/>
  <c r="S964" i="2"/>
  <c r="S487" i="2"/>
  <c r="S84" i="2"/>
  <c r="S742" i="2"/>
  <c r="S127" i="2"/>
  <c r="S980" i="2"/>
  <c r="S445" i="2"/>
  <c r="S940" i="2"/>
  <c r="S587" i="2"/>
  <c r="S834" i="2"/>
  <c r="S806" i="2"/>
  <c r="S558" i="2"/>
  <c r="S513" i="2"/>
  <c r="S129" i="2"/>
  <c r="S321" i="2"/>
  <c r="S740" i="2"/>
  <c r="S138" i="2"/>
  <c r="S710" i="2"/>
  <c r="S986" i="2"/>
  <c r="S761" i="2"/>
  <c r="S531" i="2"/>
  <c r="S177" i="2"/>
  <c r="S591" i="2"/>
  <c r="S47" i="2"/>
  <c r="S881" i="2"/>
  <c r="S249" i="2"/>
  <c r="S301" i="2"/>
  <c r="S305" i="2"/>
  <c r="S262" i="2"/>
  <c r="S909" i="2"/>
  <c r="S34" i="2"/>
  <c r="S677" i="2"/>
  <c r="S945" i="2"/>
  <c r="S386" i="2"/>
  <c r="S836" i="2"/>
  <c r="S730" i="2"/>
  <c r="S201" i="2"/>
  <c r="S196" i="2"/>
  <c r="S175" i="2"/>
  <c r="S300" i="2"/>
  <c r="S230" i="2"/>
  <c r="S56" i="2"/>
  <c r="S35" i="2"/>
  <c r="S178" i="2"/>
  <c r="S992" i="2"/>
  <c r="S638" i="2"/>
  <c r="S358" i="2"/>
  <c r="S182" i="2"/>
  <c r="S862" i="2"/>
  <c r="S930" i="2"/>
  <c r="S542" i="2"/>
  <c r="S991" i="2"/>
  <c r="S364" i="2"/>
  <c r="S709" i="2"/>
  <c r="S13" i="2"/>
  <c r="S294" i="2"/>
  <c r="S2" i="2"/>
  <c r="S720" i="2"/>
  <c r="S859" i="2"/>
  <c r="S588" i="2"/>
  <c r="S950" i="2"/>
  <c r="S468" i="2"/>
  <c r="S258" i="2"/>
  <c r="S540" i="2"/>
  <c r="S830" i="2"/>
  <c r="S375" i="2"/>
  <c r="S223" i="2"/>
  <c r="S346" i="2"/>
  <c r="S485" i="2"/>
  <c r="S399" i="2"/>
  <c r="S889" i="2"/>
  <c r="S395" i="2"/>
  <c r="S790" i="2"/>
  <c r="S98" i="2"/>
  <c r="S455" i="2"/>
  <c r="S517" i="2"/>
  <c r="S272" i="2"/>
  <c r="S719" i="2"/>
  <c r="S57" i="2"/>
  <c r="S239" i="2"/>
  <c r="S180" i="2"/>
  <c r="S104" i="2"/>
  <c r="S584" i="2"/>
  <c r="S153" i="2"/>
  <c r="S944" i="2"/>
  <c r="S627" i="2"/>
  <c r="S352" i="2"/>
  <c r="S955" i="2"/>
  <c r="S902" i="2"/>
  <c r="S73" i="2"/>
  <c r="S90" i="2"/>
  <c r="S846" i="2"/>
  <c r="S597" i="2"/>
  <c r="S644" i="2"/>
  <c r="S814" i="2"/>
  <c r="S984" i="2"/>
  <c r="S905" i="2"/>
  <c r="S968" i="2"/>
  <c r="S665" i="2"/>
  <c r="S899" i="2"/>
  <c r="S595" i="2"/>
  <c r="S382" i="2"/>
  <c r="S921" i="2"/>
  <c r="S339" i="2"/>
  <c r="S872" i="2"/>
  <c r="S775" i="2"/>
  <c r="S436" i="2"/>
  <c r="S739" i="2"/>
  <c r="S661" i="2"/>
  <c r="S67" i="2"/>
  <c r="S562" i="2"/>
  <c r="S501" i="2"/>
  <c r="S398" i="2"/>
  <c r="S892" i="2"/>
  <c r="S884" i="2"/>
  <c r="S435" i="2"/>
  <c r="S31" i="2"/>
  <c r="S691" i="2"/>
  <c r="S843" i="2"/>
  <c r="S284" i="2"/>
  <c r="S174" i="2"/>
  <c r="S784" i="2"/>
  <c r="S658" i="2"/>
  <c r="S199" i="2"/>
  <c r="S507" i="2"/>
  <c r="S219" i="2"/>
  <c r="S97" i="2"/>
  <c r="S271" i="2"/>
  <c r="S167" i="2"/>
  <c r="S359" i="2"/>
  <c r="S278" i="2"/>
  <c r="S285" i="2"/>
  <c r="S341" i="2"/>
  <c r="S470" i="2"/>
  <c r="S25" i="2"/>
  <c r="S820" i="2"/>
  <c r="S80" i="2"/>
  <c r="S416" i="2"/>
  <c r="S573" i="2"/>
  <c r="S813" i="2"/>
  <c r="S173" i="2"/>
  <c r="S835" i="2"/>
  <c r="S810" i="2"/>
  <c r="S812" i="2"/>
  <c r="S868" i="2"/>
  <c r="S653" i="2"/>
  <c r="S516" i="2"/>
  <c r="S981" i="2"/>
  <c r="S267" i="2"/>
  <c r="S886" i="2"/>
  <c r="S861" i="2"/>
  <c r="S672" i="2"/>
  <c r="S614" i="2"/>
  <c r="S855" i="2"/>
  <c r="S686" i="2"/>
  <c r="S374" i="2"/>
  <c r="S388" i="2"/>
  <c r="S312" i="2"/>
  <c r="S576" i="2"/>
  <c r="S438" i="2"/>
  <c r="S519" i="2"/>
  <c r="S916" i="2"/>
  <c r="S327" i="2"/>
  <c r="S441" i="2"/>
  <c r="S852" i="2"/>
  <c r="S191" i="2"/>
  <c r="S221" i="2"/>
  <c r="S86" i="2"/>
  <c r="S432" i="2"/>
  <c r="S937" i="2"/>
  <c r="S6" i="2"/>
  <c r="S848" i="2"/>
  <c r="S296" i="2"/>
  <c r="S372" i="2"/>
  <c r="S141" i="2"/>
  <c r="S117" i="2"/>
  <c r="S819" i="2"/>
  <c r="S550" i="2"/>
  <c r="S236" i="2"/>
  <c r="S85" i="2"/>
  <c r="S122" i="2"/>
  <c r="S616" i="2"/>
  <c r="S895" i="2"/>
  <c r="S149" i="2"/>
  <c r="S211" i="2"/>
  <c r="S190" i="2"/>
  <c r="S738" i="2"/>
  <c r="S66" i="2"/>
  <c r="S51" i="2"/>
  <c r="S797" i="2"/>
  <c r="S903" i="2"/>
  <c r="S94" i="2"/>
  <c r="S233" i="2"/>
  <c r="S858" i="2"/>
  <c r="S409" i="2"/>
  <c r="S440" i="2"/>
  <c r="S946" i="2"/>
  <c r="S668" i="2"/>
  <c r="S586" i="2"/>
  <c r="S869" i="2"/>
  <c r="S512" i="2"/>
  <c r="S193" i="2"/>
  <c r="S537" i="2"/>
  <c r="S850" i="2"/>
  <c r="S261" i="2"/>
  <c r="S651" i="2"/>
  <c r="S590" i="2"/>
  <c r="S24" i="2"/>
  <c r="S853" i="2"/>
  <c r="S496" i="2"/>
  <c r="S45" i="2"/>
  <c r="S996" i="2"/>
  <c r="S205" i="2"/>
  <c r="S736" i="2"/>
  <c r="S536" i="2"/>
  <c r="S456" i="2"/>
  <c r="S866" i="2"/>
  <c r="S206" i="2"/>
  <c r="S534" i="2"/>
  <c r="S671" i="2"/>
  <c r="S181" i="2"/>
  <c r="S289" i="2"/>
  <c r="S319" i="2"/>
  <c r="S721" i="2"/>
  <c r="S222" i="2"/>
  <c r="S741" i="2"/>
  <c r="S994" i="2"/>
  <c r="S841" i="2"/>
  <c r="S985" i="2"/>
  <c r="S708" i="2"/>
  <c r="S822" i="2"/>
  <c r="S433" i="2"/>
  <c r="S244" i="2"/>
  <c r="S207" i="2"/>
  <c r="S309" i="2"/>
  <c r="S351" i="2"/>
  <c r="S529" i="2"/>
  <c r="S226" i="2"/>
  <c r="S373" i="2"/>
  <c r="S464" i="2"/>
  <c r="S356" i="2"/>
  <c r="S448" i="2"/>
  <c r="S70" i="2"/>
  <c r="S654" i="2"/>
  <c r="S609" i="2"/>
  <c r="S642" i="2"/>
  <c r="S530" i="2"/>
  <c r="S99" i="2"/>
  <c r="S179" i="2"/>
  <c r="S650" i="2"/>
  <c r="S758" i="2"/>
  <c r="S694" i="2"/>
  <c r="S322" i="2"/>
  <c r="S545" i="2"/>
  <c r="S826" i="2"/>
  <c r="S452" i="2"/>
  <c r="S298" i="2"/>
  <c r="S752" i="2"/>
  <c r="S972" i="2"/>
  <c r="S947" i="2"/>
  <c r="S851" i="2"/>
  <c r="S156" i="2"/>
  <c r="S260" i="2"/>
  <c r="S492" i="2"/>
  <c r="S155" i="2"/>
  <c r="S900" i="2"/>
  <c r="S214" i="2"/>
  <c r="S116" i="2"/>
  <c r="S629" i="2"/>
  <c r="S887" i="2"/>
  <c r="S237" i="2"/>
  <c r="S998" i="2"/>
  <c r="S142" i="2"/>
  <c r="S682" i="2"/>
  <c r="S420" i="2"/>
  <c r="S838" i="2"/>
  <c r="S605" i="2"/>
  <c r="S254" i="2"/>
  <c r="S582" i="2"/>
  <c r="S831" i="2"/>
  <c r="S422" i="2"/>
  <c r="S302" i="2"/>
  <c r="S938" i="2"/>
  <c r="S465" i="2"/>
  <c r="S120" i="2"/>
  <c r="S498" i="2"/>
  <c r="S863" i="2"/>
  <c r="S711" i="2"/>
  <c r="S132" i="2"/>
  <c r="S911" i="2"/>
  <c r="S871" i="2"/>
  <c r="S794" i="2"/>
  <c r="S564" i="2"/>
  <c r="S342" i="2"/>
  <c r="S993" i="2"/>
  <c r="S368" i="2"/>
  <c r="S15" i="2"/>
  <c r="S919" i="2"/>
  <c r="S164" i="2"/>
  <c r="S702" i="2"/>
  <c r="S331" i="2"/>
  <c r="S615" i="2"/>
  <c r="S860" i="2"/>
  <c r="S263" i="2"/>
  <c r="S306" i="2"/>
  <c r="S144" i="2"/>
  <c r="S612" i="2"/>
  <c r="S411" i="2"/>
  <c r="S279" i="2"/>
  <c r="S473" i="2"/>
  <c r="S915" i="2"/>
  <c r="S995" i="2"/>
  <c r="S504" i="2"/>
  <c r="S449" i="2"/>
  <c r="S599" i="2"/>
  <c r="S493" i="2"/>
  <c r="S113" i="2"/>
  <c r="S158" i="2"/>
  <c r="S268" i="2"/>
  <c r="S491" i="2"/>
  <c r="S724" i="2"/>
  <c r="S216" i="2"/>
  <c r="S762" i="2"/>
  <c r="S458" i="2"/>
  <c r="S505" i="2"/>
  <c r="S195" i="2"/>
  <c r="S21" i="2"/>
  <c r="S823" i="2"/>
  <c r="S929" i="2"/>
  <c r="S329" i="2"/>
  <c r="S589" i="2"/>
  <c r="S779" i="2"/>
  <c r="S618" i="2"/>
  <c r="S763" i="2"/>
  <c r="S247" i="2"/>
  <c r="S486" i="2"/>
  <c r="S379" i="2"/>
  <c r="S27" i="2"/>
  <c r="S514" i="2"/>
  <c r="S54" i="2"/>
  <c r="S169" i="2"/>
  <c r="S154" i="2"/>
  <c r="S541" i="2"/>
  <c r="S660" i="2"/>
  <c r="S646" i="2"/>
  <c r="S96" i="2"/>
  <c r="S928" i="2"/>
  <c r="S596" i="2"/>
  <c r="S266" i="2"/>
  <c r="S689" i="2"/>
  <c r="S828" i="2"/>
  <c r="S953" i="2"/>
  <c r="S553" i="2"/>
  <c r="S932" i="2"/>
  <c r="S623" i="2"/>
  <c r="S218" i="2"/>
  <c r="S332" i="2"/>
  <c r="S360" i="2"/>
  <c r="S83" i="2"/>
  <c r="S17" i="2"/>
  <c r="S673" i="2"/>
  <c r="S162" i="2"/>
  <c r="S842" i="2"/>
  <c r="S256" i="2"/>
  <c r="S444" i="2"/>
  <c r="S643" i="2"/>
  <c r="S649" i="2"/>
  <c r="S124" i="2"/>
  <c r="S383" i="2"/>
  <c r="S118" i="2"/>
  <c r="S988" i="2"/>
  <c r="S140" i="2"/>
  <c r="S973" i="2"/>
  <c r="S533" i="2"/>
  <c r="S3" i="2"/>
  <c r="S926" i="2"/>
  <c r="S699" i="2"/>
  <c r="S250" i="2"/>
  <c r="S718" i="2"/>
  <c r="S186" i="2"/>
  <c r="S88" i="2"/>
  <c r="S135" i="2"/>
  <c r="S11" i="2"/>
  <c r="S166" i="2"/>
  <c r="S87" i="2"/>
  <c r="S412" i="2"/>
  <c r="S102" i="2"/>
  <c r="S679" i="2"/>
  <c r="S773" i="2"/>
  <c r="S252" i="2"/>
  <c r="S243" i="2"/>
  <c r="S891" i="2"/>
  <c r="S698" i="2"/>
  <c r="S731" i="2"/>
  <c r="S439" i="2"/>
  <c r="S808" i="2"/>
  <c r="S292" i="2"/>
  <c r="S227" i="2"/>
  <c r="S780" i="2"/>
  <c r="S320" i="2"/>
  <c r="S744" i="2"/>
  <c r="S460" i="2"/>
  <c r="S951" i="2"/>
  <c r="S477" i="2"/>
  <c r="S78" i="2"/>
  <c r="S335" i="2"/>
  <c r="S805" i="2"/>
  <c r="S975" i="2"/>
  <c r="S684" i="2"/>
  <c r="S343" i="2"/>
  <c r="S450" i="2"/>
  <c r="S224" i="2"/>
  <c r="S277" i="2"/>
  <c r="S77" i="2"/>
  <c r="S119" i="2"/>
  <c r="S690" i="2"/>
  <c r="S423" i="2"/>
  <c r="S288" i="2"/>
  <c r="S666" i="2"/>
  <c r="S403" i="2"/>
  <c r="S714" i="2"/>
  <c r="S704" i="2"/>
  <c r="S543" i="2"/>
  <c r="S408" i="2"/>
  <c r="S954" i="2"/>
  <c r="S552" i="2"/>
  <c r="S648" i="2"/>
  <c r="S811" i="2"/>
  <c r="S12" i="2"/>
  <c r="S750" i="2"/>
  <c r="S63" i="2"/>
  <c r="S76" i="2"/>
  <c r="S518" i="2"/>
  <c r="S771" i="2"/>
  <c r="S427" i="2"/>
  <c r="S246" i="2"/>
  <c r="S809" i="2"/>
  <c r="S509" i="2"/>
  <c r="S833" i="2"/>
  <c r="S100" i="2"/>
  <c r="S634" i="2"/>
  <c r="S115" i="2"/>
  <c r="S381" i="2"/>
  <c r="S19" i="2"/>
  <c r="S48" i="2"/>
  <c r="S683" i="2"/>
  <c r="S585" i="2"/>
  <c r="S707" i="2"/>
  <c r="S621" i="2"/>
  <c r="S1000" i="2"/>
  <c r="S101" i="2"/>
  <c r="S171" i="2"/>
  <c r="S958" i="2"/>
  <c r="S979" i="2"/>
  <c r="S624" i="2"/>
  <c r="S729" i="2"/>
  <c r="S414" i="2"/>
  <c r="S185" i="2"/>
  <c r="S26" i="2"/>
  <c r="S210" i="2"/>
  <c r="S907" i="2"/>
  <c r="S681" i="2"/>
  <c r="S807" i="2"/>
  <c r="S785" i="2"/>
  <c r="S280" i="2"/>
  <c r="S137" i="2"/>
  <c r="S778" i="2"/>
  <c r="S922" i="2"/>
  <c r="S287" i="2"/>
  <c r="S406" i="2"/>
  <c r="S194" i="2"/>
  <c r="S14" i="2"/>
  <c r="S234" i="2"/>
  <c r="S829" i="2"/>
  <c r="S990" i="2"/>
  <c r="S976" i="2"/>
  <c r="S396" i="2"/>
  <c r="S488" i="2"/>
  <c r="S754" i="2"/>
  <c r="S594" i="2"/>
  <c r="S108" i="2"/>
  <c r="S29" i="2"/>
  <c r="S749" i="2"/>
  <c r="S55" i="2"/>
  <c r="S93" i="2"/>
  <c r="S575" i="2"/>
  <c r="S581" i="2"/>
  <c r="S92" i="2"/>
  <c r="S111" i="2"/>
  <c r="S419" i="2"/>
  <c r="S798" i="2"/>
  <c r="S693" i="2"/>
  <c r="S764" i="2"/>
  <c r="S303" i="2"/>
  <c r="S401" i="2"/>
  <c r="S39" i="2"/>
  <c r="S475" i="2"/>
  <c r="S510" i="2"/>
  <c r="S208" i="2"/>
  <c r="S705" i="2"/>
  <c r="S873" i="2"/>
  <c r="S657" i="2"/>
  <c r="S418" i="2"/>
  <c r="S883" i="2"/>
  <c r="S551" i="2"/>
  <c r="S213" i="2"/>
  <c r="S413" i="2"/>
  <c r="S962" i="2"/>
  <c r="S733" i="2"/>
  <c r="S215" i="2"/>
  <c r="S566" i="2"/>
  <c r="S969" i="2"/>
  <c r="S607" i="2"/>
  <c r="S8" i="2"/>
  <c r="S469" i="2"/>
  <c r="S454" i="2"/>
  <c r="S463" i="2"/>
  <c r="S18" i="2"/>
  <c r="S626" i="2"/>
  <c r="K726" i="2"/>
  <c r="K408" i="2"/>
  <c r="K16" i="2"/>
  <c r="K663" i="2"/>
  <c r="K438" i="2"/>
  <c r="K149" i="2"/>
  <c r="K51" i="2"/>
  <c r="K407" i="2"/>
  <c r="K978" i="2"/>
  <c r="K211" i="2"/>
  <c r="K722" i="2"/>
  <c r="K922" i="2"/>
  <c r="K799" i="2"/>
  <c r="K223" i="2"/>
  <c r="K982" i="2"/>
  <c r="K716" i="2"/>
  <c r="K538" i="2"/>
  <c r="K599" i="2"/>
  <c r="K250" i="2"/>
  <c r="K252" i="2"/>
  <c r="K82" i="2"/>
  <c r="K196" i="2"/>
  <c r="K930" i="2"/>
  <c r="K272" i="2"/>
  <c r="K428" i="2"/>
  <c r="K870" i="2"/>
  <c r="K308" i="2"/>
  <c r="K105" i="2"/>
  <c r="K674" i="2"/>
  <c r="K74" i="2"/>
  <c r="K949" i="2"/>
  <c r="K365" i="2"/>
  <c r="K177" i="2"/>
  <c r="K97" i="2"/>
  <c r="K738" i="2"/>
  <c r="K233" i="2"/>
  <c r="K850" i="2"/>
  <c r="K456" i="2"/>
  <c r="K433" i="2"/>
  <c r="K532" i="2"/>
  <c r="K826" i="2"/>
  <c r="K683" i="2"/>
  <c r="K225" i="2"/>
  <c r="K71" i="2"/>
  <c r="K929" i="2"/>
  <c r="K603" i="2"/>
  <c r="K698" i="2"/>
  <c r="K340" i="2"/>
  <c r="K313" i="2"/>
  <c r="K906" i="2"/>
  <c r="K10" i="2"/>
  <c r="K903" i="2"/>
  <c r="K946" i="2"/>
  <c r="K24" i="2"/>
  <c r="K647" i="2"/>
  <c r="K866" i="2"/>
  <c r="K671" i="2"/>
  <c r="K654" i="2"/>
  <c r="K299" i="2"/>
  <c r="K99" i="2"/>
  <c r="K528" i="2"/>
  <c r="K686" i="2"/>
  <c r="K103" i="2"/>
  <c r="K467" i="2"/>
  <c r="K457" i="2"/>
  <c r="K682" i="2"/>
  <c r="K820" i="2"/>
  <c r="K157" i="2"/>
  <c r="K676" i="2"/>
  <c r="K431" i="2"/>
  <c r="K611" i="2"/>
  <c r="K957" i="2"/>
  <c r="K618" i="2"/>
  <c r="K660" i="2"/>
  <c r="K646" i="2"/>
  <c r="K162" i="2"/>
  <c r="K533" i="2"/>
  <c r="K412" i="2"/>
  <c r="K678" i="2"/>
  <c r="K391" i="2"/>
  <c r="K278" i="2"/>
  <c r="K812" i="2"/>
  <c r="K84" i="2"/>
  <c r="K940" i="2"/>
  <c r="K249" i="2"/>
  <c r="K320" i="2"/>
  <c r="K744" i="2"/>
  <c r="K403" i="2"/>
  <c r="K704" i="2"/>
  <c r="K12" i="2"/>
  <c r="K171" i="2"/>
  <c r="K624" i="2"/>
  <c r="K907" i="2"/>
  <c r="K287" i="2"/>
  <c r="K783" i="2"/>
  <c r="K325" i="2"/>
  <c r="K430" i="2"/>
  <c r="K844" i="2"/>
  <c r="K818" i="2"/>
  <c r="K38" i="2"/>
  <c r="K282" i="2"/>
  <c r="K168" i="2"/>
  <c r="K109" i="2"/>
  <c r="K270" i="2"/>
  <c r="K688" i="2"/>
  <c r="K147" i="2"/>
  <c r="K354" i="2"/>
  <c r="K810" i="2"/>
  <c r="K939" i="2"/>
  <c r="K424" i="2"/>
  <c r="K462" i="2"/>
  <c r="K358" i="2"/>
  <c r="K709" i="2"/>
  <c r="K294" i="2"/>
  <c r="K588" i="2"/>
  <c r="K950" i="2"/>
  <c r="K846" i="2"/>
  <c r="K905" i="2"/>
  <c r="K5" i="2"/>
  <c r="K199" i="2"/>
  <c r="K212" i="2"/>
  <c r="K717" i="2"/>
  <c r="K952" i="2"/>
  <c r="K478" i="2"/>
  <c r="K125" i="2"/>
  <c r="K131" i="2"/>
  <c r="K494" i="2"/>
  <c r="K856" i="2"/>
  <c r="K176" i="2"/>
  <c r="K827" i="2"/>
  <c r="K434" i="2"/>
  <c r="K821" i="2"/>
  <c r="K544" i="2"/>
  <c r="K798" i="2"/>
  <c r="K873" i="2"/>
  <c r="K76" i="2"/>
  <c r="K807" i="2"/>
  <c r="K20" i="2"/>
  <c r="K160" i="2"/>
  <c r="K579" i="2"/>
  <c r="K328" i="2"/>
  <c r="K706" i="2"/>
  <c r="K445" i="2"/>
  <c r="K335" i="2"/>
  <c r="K288" i="2"/>
  <c r="K714" i="2"/>
  <c r="K958" i="2"/>
  <c r="K857" i="2"/>
  <c r="K476" i="2"/>
  <c r="K867" i="2"/>
  <c r="K366" i="2"/>
  <c r="K527" i="2"/>
  <c r="K769" i="2"/>
  <c r="K460" i="2"/>
  <c r="K684" i="2"/>
  <c r="K833" i="2"/>
  <c r="K48" i="2"/>
  <c r="K874" i="2"/>
  <c r="K345" i="2"/>
  <c r="K774" i="2"/>
  <c r="K321" i="2"/>
  <c r="K951" i="2"/>
  <c r="K901" i="2"/>
  <c r="K410" i="2"/>
  <c r="K394" i="2"/>
  <c r="K192" i="2"/>
  <c r="K656" i="2"/>
  <c r="K81" i="2"/>
  <c r="K232" i="2"/>
  <c r="K980" i="2"/>
  <c r="K301" i="2"/>
  <c r="K690" i="2"/>
  <c r="K666" i="2"/>
  <c r="K621" i="2"/>
  <c r="K636" i="2"/>
  <c r="K558" i="2"/>
  <c r="K138" i="2"/>
  <c r="K100" i="2"/>
  <c r="K701" i="2"/>
  <c r="K914" i="2"/>
  <c r="K367" i="2"/>
  <c r="K30" i="2"/>
  <c r="K145" i="2"/>
  <c r="K187" i="2"/>
  <c r="K62" i="2"/>
  <c r="K34" i="2"/>
  <c r="K548" i="2"/>
  <c r="K276" i="2"/>
  <c r="K836" i="2"/>
  <c r="K230" i="2"/>
  <c r="K56" i="2"/>
  <c r="K862" i="2"/>
  <c r="K542" i="2"/>
  <c r="K2" i="2"/>
  <c r="K336" i="2"/>
  <c r="K720" i="2"/>
  <c r="K239" i="2"/>
  <c r="K104" i="2"/>
  <c r="K584" i="2"/>
  <c r="K485" i="2"/>
  <c r="K90" i="2"/>
  <c r="K395" i="2"/>
  <c r="K790" i="2"/>
  <c r="K595" i="2"/>
  <c r="K382" i="2"/>
  <c r="K562" i="2"/>
  <c r="K398" i="2"/>
  <c r="K435" i="2"/>
  <c r="K719" i="2"/>
  <c r="K843" i="2"/>
  <c r="K108" i="2"/>
  <c r="K92" i="2"/>
  <c r="K933" i="2"/>
  <c r="K123" i="2"/>
  <c r="K334" i="2"/>
  <c r="K326" i="2"/>
  <c r="K619" i="2"/>
  <c r="K466" i="2"/>
  <c r="K37" i="2"/>
  <c r="K447" i="2"/>
  <c r="K281" i="2"/>
  <c r="K735" i="2"/>
  <c r="K121" i="2"/>
  <c r="K662" i="2"/>
  <c r="K60" i="2"/>
  <c r="K69" i="2"/>
  <c r="K240" i="2"/>
  <c r="K845" i="2"/>
  <c r="K91" i="2"/>
  <c r="K106" i="2"/>
  <c r="K257" i="2"/>
  <c r="K675" i="2"/>
  <c r="K402" i="2"/>
  <c r="K970" i="2"/>
  <c r="K483" i="2"/>
  <c r="K832" i="2"/>
  <c r="K765" i="2"/>
  <c r="K764" i="2"/>
  <c r="K705" i="2"/>
  <c r="K657" i="2"/>
  <c r="K183" i="2"/>
  <c r="K571" i="2"/>
  <c r="K786" i="2"/>
  <c r="K745" i="2"/>
  <c r="K203" i="2"/>
  <c r="K620" i="2"/>
  <c r="K610" i="2"/>
  <c r="K25" i="2"/>
  <c r="K173" i="2"/>
  <c r="K966" i="2"/>
  <c r="K886" i="2"/>
  <c r="K374" i="2"/>
  <c r="K49" i="2"/>
  <c r="K576" i="2"/>
  <c r="K916" i="2"/>
  <c r="K852" i="2"/>
  <c r="K197" i="2"/>
  <c r="K66" i="2"/>
  <c r="K797" i="2"/>
  <c r="K883" i="2"/>
  <c r="K600" i="2"/>
  <c r="K948" i="2"/>
  <c r="K429" i="2"/>
  <c r="K961" i="2"/>
  <c r="K443" i="2"/>
  <c r="K896" i="2"/>
  <c r="K755" i="2"/>
  <c r="K943" i="2"/>
  <c r="K869" i="2"/>
  <c r="K512" i="2"/>
  <c r="K590" i="2"/>
  <c r="K496" i="2"/>
  <c r="K45" i="2"/>
  <c r="K205" i="2"/>
  <c r="K241" i="2"/>
  <c r="K536" i="2"/>
  <c r="K389" i="2"/>
  <c r="K822" i="2"/>
  <c r="K448" i="2"/>
  <c r="K747" i="2"/>
  <c r="K888" i="2"/>
  <c r="K298" i="2"/>
  <c r="K851" i="2"/>
  <c r="K492" i="2"/>
  <c r="K815" i="2"/>
  <c r="K116" i="2"/>
  <c r="K592" i="2"/>
  <c r="K875" i="2"/>
  <c r="K369" i="2"/>
  <c r="K804" i="2"/>
  <c r="K727" i="2"/>
  <c r="K894" i="2"/>
  <c r="K508" i="2"/>
  <c r="K796" i="2"/>
  <c r="K549" i="2"/>
  <c r="K565" i="2"/>
  <c r="K737" i="2"/>
  <c r="K803" i="2"/>
  <c r="K237" i="2"/>
  <c r="K711" i="2"/>
  <c r="K911" i="2"/>
  <c r="K794" i="2"/>
  <c r="K331" i="2"/>
  <c r="K615" i="2"/>
  <c r="K612" i="2"/>
  <c r="K411" i="2"/>
  <c r="K724" i="2"/>
  <c r="K505" i="2"/>
  <c r="K195" i="2"/>
  <c r="K21" i="2"/>
  <c r="K962" i="2"/>
  <c r="K733" i="2"/>
  <c r="K454" i="2"/>
  <c r="K506" i="2"/>
  <c r="K974" i="2"/>
  <c r="K787" i="2"/>
  <c r="K789" i="2"/>
  <c r="K172" i="2"/>
  <c r="K760" i="2"/>
  <c r="K59" i="2"/>
  <c r="K471" i="2"/>
  <c r="K134" i="2"/>
  <c r="K378" i="2"/>
  <c r="K53" i="2"/>
  <c r="K169" i="2"/>
  <c r="K96" i="2"/>
  <c r="K596" i="2"/>
  <c r="K266" i="2"/>
  <c r="K932" i="2"/>
  <c r="K256" i="2"/>
  <c r="K643" i="2"/>
  <c r="K118" i="2"/>
  <c r="K988" i="2"/>
  <c r="K87" i="2"/>
  <c r="K773" i="2"/>
  <c r="K481" i="2"/>
  <c r="K41" i="2"/>
  <c r="K499" i="2"/>
  <c r="K259" i="2"/>
  <c r="K641" i="2"/>
  <c r="K380" i="2"/>
  <c r="K768" i="2"/>
  <c r="K613" i="2"/>
  <c r="K128" i="2"/>
  <c r="K632" i="2"/>
  <c r="K998" i="2"/>
  <c r="K831" i="2"/>
  <c r="K993" i="2"/>
  <c r="K788" i="2"/>
  <c r="K655" i="2"/>
  <c r="K79" i="2"/>
  <c r="K198" i="2"/>
  <c r="K500" i="2"/>
  <c r="K421" i="2"/>
  <c r="K801" i="2"/>
  <c r="K559" i="2"/>
  <c r="K170" i="2"/>
  <c r="K864" i="2"/>
  <c r="K110" i="2"/>
  <c r="K865" i="2"/>
  <c r="K392" i="2"/>
  <c r="K659" i="2"/>
  <c r="K924" i="2"/>
  <c r="K27" i="2"/>
  <c r="K154" i="2"/>
  <c r="K928" i="2"/>
  <c r="K689" i="2"/>
  <c r="K553" i="2"/>
  <c r="K623" i="2"/>
  <c r="K332" i="2"/>
  <c r="K673" i="2"/>
  <c r="K842" i="2"/>
  <c r="K444" i="2"/>
  <c r="K383" i="2"/>
  <c r="K140" i="2"/>
  <c r="K3" i="2"/>
  <c r="K166" i="2"/>
  <c r="K283" i="2"/>
  <c r="K942" i="2"/>
  <c r="K935" i="2"/>
  <c r="K602" i="2"/>
  <c r="K964" i="2"/>
  <c r="K487" i="2"/>
  <c r="K742" i="2"/>
  <c r="K127" i="2"/>
  <c r="K453" i="2"/>
  <c r="K347" i="2"/>
  <c r="K834" i="2"/>
  <c r="K806" i="2"/>
  <c r="K58" i="2"/>
  <c r="K908" i="2"/>
  <c r="K513" i="2"/>
  <c r="K129" i="2"/>
  <c r="K740" i="2"/>
  <c r="K692" i="2"/>
  <c r="K324" i="2"/>
  <c r="K986" i="2"/>
  <c r="K761" i="2"/>
  <c r="K531" i="2"/>
  <c r="K591" i="2"/>
  <c r="K46" i="2"/>
  <c r="K47" i="2"/>
  <c r="K877" i="2"/>
  <c r="K881" i="2"/>
  <c r="K305" i="2"/>
  <c r="K439" i="2"/>
  <c r="K808" i="2"/>
  <c r="K292" i="2"/>
  <c r="K227" i="2"/>
  <c r="K780" i="2"/>
  <c r="K477" i="2"/>
  <c r="K78" i="2"/>
  <c r="K805" i="2"/>
  <c r="K975" i="2"/>
  <c r="K343" i="2"/>
  <c r="K450" i="2"/>
  <c r="K224" i="2"/>
  <c r="K277" i="2"/>
  <c r="K40" i="2"/>
  <c r="K330" i="2"/>
  <c r="K165" i="2"/>
  <c r="K274" i="2"/>
  <c r="K795" i="2"/>
  <c r="K604" i="2"/>
  <c r="K130" i="2"/>
  <c r="K725" i="2"/>
  <c r="K838" i="2"/>
  <c r="K863" i="2"/>
  <c r="K188" i="2"/>
  <c r="K337" i="2"/>
  <c r="K384" i="2"/>
  <c r="K847" i="2"/>
  <c r="K696" i="2"/>
  <c r="K753" i="2"/>
  <c r="K353" i="2"/>
  <c r="K231" i="2"/>
  <c r="K503" i="2"/>
  <c r="K766" i="2"/>
  <c r="K484" i="2"/>
  <c r="K459" i="2"/>
  <c r="K802" i="2"/>
  <c r="K557" i="2"/>
  <c r="K625" i="2"/>
  <c r="K61" i="2"/>
  <c r="K782" i="2"/>
  <c r="K247" i="2"/>
  <c r="K486" i="2"/>
  <c r="K541" i="2"/>
  <c r="K953" i="2"/>
  <c r="K218" i="2"/>
  <c r="K83" i="2"/>
  <c r="K649" i="2"/>
  <c r="K186" i="2"/>
  <c r="K637" i="2"/>
  <c r="K152" i="2"/>
  <c r="K290" i="2"/>
  <c r="K304" i="2"/>
  <c r="K355" i="2"/>
  <c r="K746" i="2"/>
  <c r="K546" i="2"/>
  <c r="K920" i="2"/>
  <c r="K22" i="2"/>
  <c r="K348" i="2"/>
  <c r="K269" i="2"/>
  <c r="K977" i="2"/>
  <c r="K253" i="2"/>
  <c r="K317" i="2"/>
  <c r="K323" i="2"/>
  <c r="K209" i="2"/>
  <c r="K652" i="2"/>
  <c r="K68" i="2"/>
  <c r="K556" i="2"/>
  <c r="K927" i="2"/>
  <c r="K608" i="2"/>
  <c r="K7" i="2"/>
  <c r="K880" i="2"/>
  <c r="K273" i="2"/>
  <c r="K523" i="2"/>
  <c r="K404" i="2"/>
  <c r="K33" i="2"/>
  <c r="K578" i="2"/>
  <c r="K569" i="2"/>
  <c r="K572" i="2"/>
  <c r="K502" i="2"/>
  <c r="K630" i="2"/>
  <c r="K876" i="2"/>
  <c r="K817" i="2"/>
  <c r="K420" i="2"/>
  <c r="K605" i="2"/>
  <c r="K302" i="2"/>
  <c r="K664" i="2"/>
  <c r="K593" i="2"/>
  <c r="K489" i="2"/>
  <c r="K713" i="2"/>
  <c r="K999" i="2"/>
  <c r="K32" i="2"/>
  <c r="K885" i="2"/>
  <c r="K854" i="2"/>
  <c r="K126" i="2"/>
  <c r="K640" i="2"/>
  <c r="K967" i="2"/>
  <c r="K941" i="2"/>
  <c r="K840" i="2"/>
  <c r="K461" i="2"/>
  <c r="K235" i="2"/>
  <c r="K779" i="2"/>
  <c r="K763" i="2"/>
  <c r="K379" i="2"/>
  <c r="K54" i="2"/>
  <c r="K828" i="2"/>
  <c r="K360" i="2"/>
  <c r="K17" i="2"/>
  <c r="K124" i="2"/>
  <c r="K973" i="2"/>
  <c r="K926" i="2"/>
  <c r="K135" i="2"/>
  <c r="K679" i="2"/>
  <c r="K891" i="2"/>
  <c r="K262" i="2"/>
  <c r="K909" i="2"/>
  <c r="K677" i="2"/>
  <c r="K945" i="2"/>
  <c r="K386" i="2"/>
  <c r="K730" i="2"/>
  <c r="K201" i="2"/>
  <c r="K175" i="2"/>
  <c r="K300" i="2"/>
  <c r="K35" i="2"/>
  <c r="K178" i="2"/>
  <c r="K992" i="2"/>
  <c r="K520" i="2"/>
  <c r="K638" i="2"/>
  <c r="K182" i="2"/>
  <c r="K825" i="2"/>
  <c r="K364" i="2"/>
  <c r="K13" i="2"/>
  <c r="K189" i="2"/>
  <c r="K859" i="2"/>
  <c r="K468" i="2"/>
  <c r="K258" i="2"/>
  <c r="K540" i="2"/>
  <c r="K387" i="2"/>
  <c r="K830" i="2"/>
  <c r="K57" i="2"/>
  <c r="K375" i="2"/>
  <c r="K180" i="2"/>
  <c r="K539" i="2"/>
  <c r="K153" i="2"/>
  <c r="K346" i="2"/>
  <c r="K944" i="2"/>
  <c r="K627" i="2"/>
  <c r="K352" i="2"/>
  <c r="K399" i="2"/>
  <c r="K955" i="2"/>
  <c r="K902" i="2"/>
  <c r="K898" i="2"/>
  <c r="K73" i="2"/>
  <c r="K889" i="2"/>
  <c r="K597" i="2"/>
  <c r="K644" i="2"/>
  <c r="K814" i="2"/>
  <c r="K984" i="2"/>
  <c r="K968" i="2"/>
  <c r="K136" i="2"/>
  <c r="K665" i="2"/>
  <c r="K899" i="2"/>
  <c r="K921" i="2"/>
  <c r="K98" i="2"/>
  <c r="K339" i="2"/>
  <c r="K776" i="2"/>
  <c r="K872" i="2"/>
  <c r="K775" i="2"/>
  <c r="K436" i="2"/>
  <c r="K739" i="2"/>
  <c r="K661" i="2"/>
  <c r="K455" i="2"/>
  <c r="K67" i="2"/>
  <c r="K517" i="2"/>
  <c r="K501" i="2"/>
  <c r="K892" i="2"/>
  <c r="K884" i="2"/>
  <c r="K31" i="2"/>
  <c r="K691" i="2"/>
  <c r="K284" i="2"/>
  <c r="K174" i="2"/>
  <c r="K415" i="2"/>
  <c r="K784" i="2"/>
  <c r="K658" i="2"/>
  <c r="K587" i="2"/>
  <c r="K991" i="2"/>
  <c r="K959" i="2"/>
  <c r="K393" i="2"/>
  <c r="K816" i="2"/>
  <c r="K723" i="2"/>
  <c r="K142" i="2"/>
  <c r="K254" i="2"/>
  <c r="K514" i="2"/>
  <c r="K143" i="2"/>
  <c r="K357" i="2"/>
  <c r="K577" i="2"/>
  <c r="K515" i="2"/>
  <c r="K442" i="2"/>
  <c r="K791" i="2"/>
  <c r="K912" i="2"/>
  <c r="K560" i="2"/>
  <c r="K767" i="2"/>
  <c r="K667" i="2"/>
  <c r="K451" i="2"/>
  <c r="K890" i="2"/>
  <c r="K793" i="2"/>
  <c r="K622" i="2"/>
  <c r="K245" i="2"/>
  <c r="K893" i="2"/>
  <c r="K931" i="2"/>
  <c r="K148" i="2"/>
  <c r="K472" i="2"/>
  <c r="K963" i="2"/>
  <c r="K65" i="2"/>
  <c r="K839" i="2"/>
  <c r="K728" i="2"/>
  <c r="K770" i="2"/>
  <c r="K934" i="2"/>
  <c r="K291" i="2"/>
  <c r="K751" i="2"/>
  <c r="K133" i="2"/>
  <c r="K362" i="2"/>
  <c r="K36" i="2"/>
  <c r="K495" i="2"/>
  <c r="K583" i="2"/>
  <c r="K882" i="2"/>
  <c r="K390" i="2"/>
  <c r="K75" i="2"/>
  <c r="K522" i="2"/>
  <c r="K44" i="2"/>
  <c r="K547" i="2"/>
  <c r="K482" i="2"/>
  <c r="K72" i="2"/>
  <c r="K150" i="2"/>
  <c r="K997" i="2"/>
  <c r="K184" i="2"/>
  <c r="K9" i="2"/>
  <c r="K490" i="2"/>
  <c r="K555" i="2"/>
  <c r="K772" i="2"/>
  <c r="K878" i="2"/>
  <c r="K318" i="2"/>
  <c r="K23" i="2"/>
  <c r="K524" i="2"/>
  <c r="K918" i="2"/>
  <c r="K479" i="2"/>
  <c r="K956" i="2"/>
  <c r="K781" i="2"/>
  <c r="K989" i="2"/>
  <c r="K151" i="2"/>
  <c r="K338" i="2"/>
  <c r="K923" i="2"/>
  <c r="K314" i="2"/>
  <c r="K633" i="2"/>
  <c r="K111" i="2"/>
  <c r="K419" i="2"/>
  <c r="K475" i="2"/>
  <c r="K208" i="2"/>
  <c r="K363" i="2"/>
  <c r="K897" i="2"/>
  <c r="K756" i="2"/>
  <c r="K987" i="2"/>
  <c r="K376" i="2"/>
  <c r="K114" i="2"/>
  <c r="K350" i="2"/>
  <c r="K635" i="2"/>
  <c r="K631" i="2"/>
  <c r="K220" i="2"/>
  <c r="K554" i="2"/>
  <c r="K248" i="2"/>
  <c r="K800" i="2"/>
  <c r="K400" i="2"/>
  <c r="K297" i="2"/>
  <c r="K405" i="2"/>
  <c r="K601" i="2"/>
  <c r="K52" i="2"/>
  <c r="K685" i="2"/>
  <c r="K228" i="2"/>
  <c r="K695" i="2"/>
  <c r="K202" i="2"/>
  <c r="K159" i="2"/>
  <c r="K264" i="2"/>
  <c r="K271" i="2"/>
  <c r="K167" i="2"/>
  <c r="K307" i="2"/>
  <c r="K359" i="2"/>
  <c r="K161" i="2"/>
  <c r="K285" i="2"/>
  <c r="K341" i="2"/>
  <c r="K470" i="2"/>
  <c r="K715" i="2"/>
  <c r="K80" i="2"/>
  <c r="K349" i="2"/>
  <c r="K416" i="2"/>
  <c r="K573" i="2"/>
  <c r="K639" i="2"/>
  <c r="K813" i="2"/>
  <c r="K645" i="2"/>
  <c r="K835" i="2"/>
  <c r="K925" i="2"/>
  <c r="K868" i="2"/>
  <c r="K653" i="2"/>
  <c r="K516" i="2"/>
  <c r="K981" i="2"/>
  <c r="K267" i="2"/>
  <c r="K50" i="2"/>
  <c r="K861" i="2"/>
  <c r="K687" i="2"/>
  <c r="K672" i="2"/>
  <c r="K614" i="2"/>
  <c r="K855" i="2"/>
  <c r="K28" i="2"/>
  <c r="K388" i="2"/>
  <c r="K312" i="2"/>
  <c r="K519" i="2"/>
  <c r="K95" i="2"/>
  <c r="K327" i="2"/>
  <c r="K251" i="2"/>
  <c r="K441" i="2"/>
  <c r="K191" i="2"/>
  <c r="K221" i="2"/>
  <c r="K86" i="2"/>
  <c r="K983" i="2"/>
  <c r="K432" i="2"/>
  <c r="K229" i="2"/>
  <c r="K937" i="2"/>
  <c r="K6" i="2"/>
  <c r="K848" i="2"/>
  <c r="K296" i="2"/>
  <c r="K372" i="2"/>
  <c r="K141" i="2"/>
  <c r="K670" i="2"/>
  <c r="K117" i="2"/>
  <c r="K819" i="2"/>
  <c r="K550" i="2"/>
  <c r="K236" i="2"/>
  <c r="K85" i="2"/>
  <c r="K112" i="2"/>
  <c r="K122" i="2"/>
  <c r="K616" i="2"/>
  <c r="K895" i="2"/>
  <c r="K190" i="2"/>
  <c r="K710" i="2"/>
  <c r="K732" i="2"/>
  <c r="K311" i="2"/>
  <c r="K417" i="2"/>
  <c r="K849" i="2"/>
  <c r="K628" i="2"/>
  <c r="K757" i="2"/>
  <c r="K910" i="2"/>
  <c r="K425" i="2"/>
  <c r="K474" i="2"/>
  <c r="K64" i="2"/>
  <c r="K94" i="2"/>
  <c r="K858" i="2"/>
  <c r="K409" i="2"/>
  <c r="K440" i="2"/>
  <c r="K668" i="2"/>
  <c r="K586" i="2"/>
  <c r="K193" i="2"/>
  <c r="K537" i="2"/>
  <c r="K261" i="2"/>
  <c r="K651" i="2"/>
  <c r="K853" i="2"/>
  <c r="K385" i="2"/>
  <c r="K996" i="2"/>
  <c r="K736" i="2"/>
  <c r="K606" i="2"/>
  <c r="K206" i="2"/>
  <c r="K43" i="2"/>
  <c r="K534" i="2"/>
  <c r="K712" i="2"/>
  <c r="K181" i="2"/>
  <c r="K289" i="2"/>
  <c r="K319" i="2"/>
  <c r="K743" i="2"/>
  <c r="K721" i="2"/>
  <c r="K222" i="2"/>
  <c r="K741" i="2"/>
  <c r="K200" i="2"/>
  <c r="K994" i="2"/>
  <c r="K841" i="2"/>
  <c r="K985" i="2"/>
  <c r="K708" i="2"/>
  <c r="K426" i="2"/>
  <c r="K244" i="2"/>
  <c r="K207" i="2"/>
  <c r="K309" i="2"/>
  <c r="K351" i="2"/>
  <c r="K529" i="2"/>
  <c r="K480" i="2"/>
  <c r="K226" i="2"/>
  <c r="K511" i="2"/>
  <c r="K373" i="2"/>
  <c r="K464" i="2"/>
  <c r="K356" i="2"/>
  <c r="K70" i="2"/>
  <c r="K609" i="2"/>
  <c r="K642" i="2"/>
  <c r="K530" i="2"/>
  <c r="K179" i="2"/>
  <c r="K792" i="2"/>
  <c r="K650" i="2"/>
  <c r="K758" i="2"/>
  <c r="K694" i="2"/>
  <c r="K322" i="2"/>
  <c r="K545" i="2"/>
  <c r="K452" i="2"/>
  <c r="K879" i="2"/>
  <c r="K752" i="2"/>
  <c r="K972" i="2"/>
  <c r="K947" i="2"/>
  <c r="K936" i="2"/>
  <c r="K156" i="2"/>
  <c r="K700" i="2"/>
  <c r="K260" i="2"/>
  <c r="K155" i="2"/>
  <c r="K570" i="2"/>
  <c r="K913" i="2"/>
  <c r="K900" i="2"/>
  <c r="K214" i="2"/>
  <c r="K629" i="2"/>
  <c r="K887" i="2"/>
  <c r="K286" i="2"/>
  <c r="K582" i="2"/>
  <c r="K401" i="2"/>
  <c r="K422" i="2"/>
  <c r="K938" i="2"/>
  <c r="K465" i="2"/>
  <c r="K120" i="2"/>
  <c r="K498" i="2"/>
  <c r="K132" i="2"/>
  <c r="K871" i="2"/>
  <c r="K564" i="2"/>
  <c r="K342" i="2"/>
  <c r="K368" i="2"/>
  <c r="K15" i="2"/>
  <c r="K919" i="2"/>
  <c r="K164" i="2"/>
  <c r="K702" i="2"/>
  <c r="K860" i="2"/>
  <c r="K263" i="2"/>
  <c r="K306" i="2"/>
  <c r="K144" i="2"/>
  <c r="K279" i="2"/>
  <c r="K473" i="2"/>
  <c r="K915" i="2"/>
  <c r="K995" i="2"/>
  <c r="K504" i="2"/>
  <c r="K449" i="2"/>
  <c r="K493" i="2"/>
  <c r="K113" i="2"/>
  <c r="K158" i="2"/>
  <c r="K268" i="2"/>
  <c r="K491" i="2"/>
  <c r="K216" i="2"/>
  <c r="K762" i="2"/>
  <c r="K458" i="2"/>
  <c r="K823" i="2"/>
  <c r="K329" i="2"/>
  <c r="K589" i="2"/>
  <c r="K551" i="2"/>
  <c r="K213" i="2"/>
  <c r="K413" i="2"/>
  <c r="K215" i="2"/>
  <c r="K566" i="2"/>
  <c r="K969" i="2"/>
  <c r="K607" i="2"/>
  <c r="K8" i="2"/>
  <c r="K469" i="2"/>
  <c r="K463" i="2"/>
  <c r="K18" i="2"/>
  <c r="K626" i="2"/>
  <c r="K699" i="2"/>
  <c r="K718" i="2"/>
  <c r="K88" i="2"/>
  <c r="K11" i="2"/>
  <c r="K102" i="2"/>
  <c r="K243" i="2"/>
  <c r="K731" i="2"/>
  <c r="K77" i="2"/>
  <c r="K119" i="2"/>
  <c r="K423" i="2"/>
  <c r="K543" i="2"/>
  <c r="K954" i="2"/>
  <c r="K552" i="2"/>
  <c r="K648" i="2"/>
  <c r="K811" i="2"/>
  <c r="K750" i="2"/>
  <c r="K63" i="2"/>
  <c r="K518" i="2"/>
  <c r="K771" i="2"/>
  <c r="K427" i="2"/>
  <c r="K246" i="2"/>
  <c r="K809" i="2"/>
  <c r="K509" i="2"/>
  <c r="K634" i="2"/>
  <c r="K115" i="2"/>
  <c r="K381" i="2"/>
  <c r="K19" i="2"/>
  <c r="K585" i="2"/>
  <c r="K707" i="2"/>
  <c r="K1000" i="2"/>
  <c r="K101" i="2"/>
  <c r="K979" i="2"/>
  <c r="K729" i="2"/>
  <c r="K414" i="2"/>
  <c r="K185" i="2"/>
  <c r="K26" i="2"/>
  <c r="K210" i="2"/>
  <c r="K681" i="2"/>
  <c r="K785" i="2"/>
  <c r="K280" i="2"/>
  <c r="K137" i="2"/>
  <c r="K778" i="2"/>
  <c r="K406" i="2"/>
  <c r="K194" i="2"/>
  <c r="K14" i="2"/>
  <c r="K234" i="2"/>
  <c r="K829" i="2"/>
  <c r="K990" i="2"/>
  <c r="K976" i="2"/>
  <c r="K396" i="2"/>
  <c r="K488" i="2"/>
  <c r="K561" i="2"/>
  <c r="K837" i="2"/>
  <c r="K697" i="2"/>
  <c r="K574" i="2"/>
  <c r="K242" i="2"/>
  <c r="K204" i="2"/>
  <c r="K525" i="2"/>
  <c r="K917" i="2"/>
  <c r="K777" i="2"/>
  <c r="K904" i="2"/>
  <c r="K580" i="2"/>
  <c r="K107" i="2"/>
  <c r="K598" i="2"/>
  <c r="K759" i="2"/>
  <c r="K42" i="2"/>
  <c r="K295" i="2"/>
  <c r="K163" i="2"/>
  <c r="K535" i="2"/>
  <c r="K824" i="2"/>
  <c r="K89" i="2"/>
  <c r="K748" i="2"/>
  <c r="K965" i="2"/>
  <c r="K680" i="2"/>
  <c r="K734" i="2"/>
  <c r="K370" i="2"/>
  <c r="K617" i="2"/>
  <c r="K371" i="2"/>
  <c r="K521" i="2"/>
  <c r="K217" i="2"/>
  <c r="K437" i="2"/>
  <c r="K238" i="2"/>
  <c r="K971" i="2"/>
  <c r="K293" i="2"/>
  <c r="K568" i="2"/>
  <c r="K563" i="2"/>
  <c r="K315" i="2"/>
  <c r="K960" i="2"/>
  <c r="K333" i="2"/>
  <c r="K361" i="2"/>
  <c r="K255" i="2"/>
  <c r="K526" i="2"/>
  <c r="K344" i="2"/>
  <c r="K265" i="2"/>
  <c r="K497" i="2"/>
  <c r="K446" i="2"/>
  <c r="K310" i="2"/>
  <c r="K4" i="2"/>
  <c r="K567" i="2"/>
  <c r="K275" i="2"/>
  <c r="K316" i="2"/>
  <c r="K669" i="2"/>
  <c r="K377" i="2"/>
  <c r="K397" i="2"/>
  <c r="K507" i="2"/>
  <c r="K219" i="2"/>
  <c r="K754" i="2"/>
  <c r="K594" i="2"/>
  <c r="K29" i="2"/>
  <c r="K749" i="2"/>
  <c r="K55" i="2"/>
  <c r="K93" i="2"/>
  <c r="K575" i="2"/>
  <c r="K581" i="2"/>
  <c r="K693" i="2"/>
  <c r="K303" i="2"/>
  <c r="K39" i="2"/>
  <c r="K510" i="2"/>
  <c r="K418" i="2"/>
  <c r="K146" i="2"/>
  <c r="K703" i="2"/>
  <c r="K139" i="2"/>
  <c r="H241" i="2"/>
  <c r="H712" i="2"/>
  <c r="H319" i="2"/>
  <c r="H716" i="2"/>
  <c r="H426" i="2"/>
  <c r="H464" i="2"/>
  <c r="H747" i="2"/>
  <c r="H792" i="2"/>
  <c r="H694" i="2"/>
  <c r="H888" i="2"/>
  <c r="H752" i="2"/>
  <c r="H936" i="2"/>
  <c r="H492" i="2"/>
  <c r="H629" i="2"/>
  <c r="J945" i="2"/>
  <c r="M945" i="2" s="1"/>
  <c r="J201" i="2"/>
  <c r="M201" i="2" s="1"/>
  <c r="J276" i="2"/>
  <c r="M276" i="2" s="1"/>
  <c r="J939" i="2"/>
  <c r="M939" i="2" s="1"/>
  <c r="J462" i="2"/>
  <c r="M462" i="2" s="1"/>
  <c r="J825" i="2"/>
  <c r="M825" i="2" s="1"/>
  <c r="J35" i="2"/>
  <c r="M35" i="2" s="1"/>
  <c r="J799" i="2"/>
  <c r="M799" i="2" s="1"/>
  <c r="J364" i="2"/>
  <c r="M364" i="2" s="1"/>
  <c r="J230" i="2"/>
  <c r="M230" i="2" s="1"/>
  <c r="J358" i="2"/>
  <c r="M358" i="2" s="1"/>
  <c r="J862" i="2"/>
  <c r="M862" i="2" s="1"/>
  <c r="J189" i="2"/>
  <c r="M189" i="2" s="1"/>
  <c r="J424" i="2"/>
  <c r="M424" i="2" s="1"/>
  <c r="J520" i="2"/>
  <c r="M520" i="2" s="1"/>
  <c r="J13" i="2"/>
  <c r="M13" i="2" s="1"/>
  <c r="J336" i="2"/>
  <c r="M336" i="2" s="1"/>
  <c r="J577" i="2"/>
  <c r="M577" i="2" s="1"/>
  <c r="J619" i="2"/>
  <c r="M619" i="2" s="1"/>
  <c r="J308" i="2"/>
  <c r="M308" i="2" s="1"/>
  <c r="J494" i="2"/>
  <c r="M494" i="2" s="1"/>
  <c r="J751" i="2"/>
  <c r="M751" i="2" s="1"/>
  <c r="J74" i="2"/>
  <c r="M74" i="2" s="1"/>
  <c r="J106" i="2"/>
  <c r="M106" i="2" s="1"/>
  <c r="J257" i="2"/>
  <c r="M257" i="2" s="1"/>
  <c r="J772" i="2"/>
  <c r="M772" i="2" s="1"/>
  <c r="J918" i="2"/>
  <c r="M918" i="2" s="1"/>
  <c r="J832" i="2"/>
  <c r="M832" i="2" s="1"/>
  <c r="J475" i="2"/>
  <c r="M475" i="2" s="1"/>
  <c r="J143" i="2"/>
  <c r="M143" i="2" s="1"/>
  <c r="J466" i="2"/>
  <c r="M466" i="2" s="1"/>
  <c r="J442" i="2"/>
  <c r="M442" i="2" s="1"/>
  <c r="J767" i="2"/>
  <c r="M767" i="2" s="1"/>
  <c r="J735" i="2"/>
  <c r="M735" i="2" s="1"/>
  <c r="J663" i="2"/>
  <c r="M663" i="2" s="1"/>
  <c r="J622" i="2"/>
  <c r="M622" i="2" s="1"/>
  <c r="J407" i="2"/>
  <c r="M407" i="2" s="1"/>
  <c r="J893" i="2"/>
  <c r="M893" i="2" s="1"/>
  <c r="J931" i="2"/>
  <c r="M931" i="2" s="1"/>
  <c r="J105" i="2"/>
  <c r="M105" i="2" s="1"/>
  <c r="J65" i="2"/>
  <c r="M65" i="2" s="1"/>
  <c r="J674" i="2"/>
  <c r="M674" i="2" s="1"/>
  <c r="J291" i="2"/>
  <c r="M291" i="2" s="1"/>
  <c r="J856" i="2"/>
  <c r="M856" i="2" s="1"/>
  <c r="J495" i="2"/>
  <c r="M495" i="2" s="1"/>
  <c r="J75" i="2"/>
  <c r="M75" i="2" s="1"/>
  <c r="J482" i="2"/>
  <c r="M482" i="2" s="1"/>
  <c r="J781" i="2"/>
  <c r="M781" i="2" s="1"/>
  <c r="J338" i="2"/>
  <c r="M338" i="2" s="1"/>
  <c r="J633" i="2"/>
  <c r="M633" i="2" s="1"/>
  <c r="J764" i="2"/>
  <c r="M764" i="2" s="1"/>
  <c r="J705" i="2"/>
  <c r="M705" i="2" s="1"/>
  <c r="J123" i="2"/>
  <c r="M123" i="2" s="1"/>
  <c r="J326" i="2"/>
  <c r="M326" i="2" s="1"/>
  <c r="J447" i="2"/>
  <c r="M447" i="2" s="1"/>
  <c r="J560" i="2"/>
  <c r="M560" i="2" s="1"/>
  <c r="J428" i="2"/>
  <c r="M428" i="2" s="1"/>
  <c r="J870" i="2"/>
  <c r="M870" i="2" s="1"/>
  <c r="J69" i="2"/>
  <c r="M69" i="2" s="1"/>
  <c r="J583" i="2"/>
  <c r="M583" i="2" s="1"/>
  <c r="J184" i="2"/>
  <c r="M184" i="2" s="1"/>
  <c r="J419" i="2"/>
  <c r="M419" i="2" s="1"/>
  <c r="J303" i="2"/>
  <c r="M303" i="2" s="1"/>
  <c r="J208" i="2"/>
  <c r="M208" i="2" s="1"/>
  <c r="J418" i="2"/>
  <c r="M418" i="2" s="1"/>
  <c r="J791" i="2"/>
  <c r="M791" i="2" s="1"/>
  <c r="J451" i="2"/>
  <c r="M451" i="2" s="1"/>
  <c r="J478" i="2"/>
  <c r="M478" i="2" s="1"/>
  <c r="J245" i="2"/>
  <c r="M245" i="2" s="1"/>
  <c r="J472" i="2"/>
  <c r="M472" i="2" s="1"/>
  <c r="J949" i="2"/>
  <c r="M949" i="2" s="1"/>
  <c r="J150" i="2"/>
  <c r="M150" i="2" s="1"/>
  <c r="J997" i="2"/>
  <c r="M997" i="2" s="1"/>
  <c r="J9" i="2"/>
  <c r="M9" i="2" s="1"/>
  <c r="J878" i="2"/>
  <c r="M878" i="2" s="1"/>
  <c r="J365" i="2"/>
  <c r="M365" i="2" s="1"/>
  <c r="J479" i="2"/>
  <c r="M479" i="2" s="1"/>
  <c r="J978" i="2"/>
  <c r="M978" i="2" s="1"/>
  <c r="J314" i="2"/>
  <c r="M314" i="2" s="1"/>
  <c r="J401" i="2"/>
  <c r="M401" i="2" s="1"/>
  <c r="J357" i="2"/>
  <c r="M357" i="2" s="1"/>
  <c r="J37" i="2"/>
  <c r="M37" i="2" s="1"/>
  <c r="J912" i="2"/>
  <c r="M912" i="2" s="1"/>
  <c r="J281" i="2"/>
  <c r="M281" i="2" s="1"/>
  <c r="J890" i="2"/>
  <c r="M890" i="2" s="1"/>
  <c r="J148" i="2"/>
  <c r="M148" i="2" s="1"/>
  <c r="J845" i="2"/>
  <c r="M845" i="2" s="1"/>
  <c r="J728" i="2"/>
  <c r="M728" i="2" s="1"/>
  <c r="J934" i="2"/>
  <c r="M934" i="2" s="1"/>
  <c r="J91" i="2"/>
  <c r="M91" i="2" s="1"/>
  <c r="J36" i="2"/>
  <c r="M36" i="2" s="1"/>
  <c r="J882" i="2"/>
  <c r="M882" i="2" s="1"/>
  <c r="J44" i="2"/>
  <c r="M44" i="2" s="1"/>
  <c r="J318" i="2"/>
  <c r="M318" i="2" s="1"/>
  <c r="J524" i="2"/>
  <c r="M524" i="2" s="1"/>
  <c r="J956" i="2"/>
  <c r="M956" i="2" s="1"/>
  <c r="J821" i="2"/>
  <c r="M821" i="2" s="1"/>
  <c r="J923" i="2"/>
  <c r="M923" i="2" s="1"/>
  <c r="J765" i="2"/>
  <c r="M765" i="2" s="1"/>
  <c r="J798" i="2"/>
  <c r="M798" i="2" s="1"/>
  <c r="J39" i="2"/>
  <c r="M39" i="2" s="1"/>
  <c r="J873" i="2"/>
  <c r="M873" i="2" s="1"/>
  <c r="J283" i="2"/>
  <c r="M283" i="2" s="1"/>
  <c r="J942" i="2"/>
  <c r="M942" i="2" s="1"/>
  <c r="J935" i="2"/>
  <c r="M935" i="2" s="1"/>
  <c r="J40" i="2"/>
  <c r="M40" i="2" s="1"/>
  <c r="J602" i="2"/>
  <c r="M602" i="2" s="1"/>
  <c r="J964" i="2"/>
  <c r="M964" i="2" s="1"/>
  <c r="J487" i="2"/>
  <c r="M487" i="2" s="1"/>
  <c r="J127" i="2"/>
  <c r="M127" i="2" s="1"/>
  <c r="J453" i="2"/>
  <c r="M453" i="2" s="1"/>
  <c r="J980" i="2"/>
  <c r="M980" i="2" s="1"/>
  <c r="J445" i="2"/>
  <c r="M445" i="2" s="1"/>
  <c r="J940" i="2"/>
  <c r="M940" i="2" s="1"/>
  <c r="J587" i="2"/>
  <c r="M587" i="2" s="1"/>
  <c r="J806" i="2"/>
  <c r="M806" i="2" s="1"/>
  <c r="J58" i="2"/>
  <c r="M58" i="2" s="1"/>
  <c r="J558" i="2"/>
  <c r="M558" i="2" s="1"/>
  <c r="J908" i="2"/>
  <c r="M908" i="2" s="1"/>
  <c r="J513" i="2"/>
  <c r="M513" i="2" s="1"/>
  <c r="J129" i="2"/>
  <c r="M129" i="2" s="1"/>
  <c r="J321" i="2"/>
  <c r="M321" i="2" s="1"/>
  <c r="J138" i="2"/>
  <c r="M138" i="2" s="1"/>
  <c r="J692" i="2"/>
  <c r="M692" i="2" s="1"/>
  <c r="J710" i="2"/>
  <c r="M710" i="2" s="1"/>
  <c r="J324" i="2"/>
  <c r="M324" i="2" s="1"/>
  <c r="J761" i="2"/>
  <c r="M761" i="2" s="1"/>
  <c r="J531" i="2"/>
  <c r="M531" i="2" s="1"/>
  <c r="J591" i="2"/>
  <c r="M591" i="2" s="1"/>
  <c r="J46" i="2"/>
  <c r="M46" i="2" s="1"/>
  <c r="J47" i="2"/>
  <c r="M47" i="2" s="1"/>
  <c r="J877" i="2"/>
  <c r="M877" i="2" s="1"/>
  <c r="J249" i="2"/>
  <c r="M249" i="2" s="1"/>
  <c r="J301" i="2"/>
  <c r="M301" i="2" s="1"/>
  <c r="J305" i="2"/>
  <c r="M305" i="2" s="1"/>
  <c r="J292" i="2"/>
  <c r="M292" i="2" s="1"/>
  <c r="J227" i="2"/>
  <c r="M227" i="2" s="1"/>
  <c r="J320" i="2"/>
  <c r="M320" i="2" s="1"/>
  <c r="J744" i="2"/>
  <c r="M744" i="2" s="1"/>
  <c r="J460" i="2"/>
  <c r="M460" i="2" s="1"/>
  <c r="J477" i="2"/>
  <c r="M477" i="2" s="1"/>
  <c r="J78" i="2"/>
  <c r="M78" i="2" s="1"/>
  <c r="J335" i="2"/>
  <c r="M335" i="2" s="1"/>
  <c r="J975" i="2"/>
  <c r="M975" i="2" s="1"/>
  <c r="J450" i="2"/>
  <c r="M450" i="2" s="1"/>
  <c r="J717" i="2"/>
  <c r="M717" i="2" s="1"/>
  <c r="J982" i="2"/>
  <c r="M982" i="2" s="1"/>
  <c r="J793" i="2"/>
  <c r="M793" i="2" s="1"/>
  <c r="J390" i="2"/>
  <c r="M390" i="2" s="1"/>
  <c r="J522" i="2"/>
  <c r="M522" i="2" s="1"/>
  <c r="J434" i="2"/>
  <c r="M434" i="2" s="1"/>
  <c r="J675" i="2"/>
  <c r="M675" i="2" s="1"/>
  <c r="J490" i="2"/>
  <c r="M490" i="2" s="1"/>
  <c r="J933" i="2"/>
  <c r="M933" i="2" s="1"/>
  <c r="J334" i="2"/>
  <c r="M334" i="2" s="1"/>
  <c r="J515" i="2"/>
  <c r="M515" i="2" s="1"/>
  <c r="J952" i="2"/>
  <c r="M952" i="2" s="1"/>
  <c r="J667" i="2"/>
  <c r="M667" i="2" s="1"/>
  <c r="J121" i="2"/>
  <c r="M121" i="2" s="1"/>
  <c r="J662" i="2"/>
  <c r="M662" i="2" s="1"/>
  <c r="J60" i="2"/>
  <c r="M60" i="2" s="1"/>
  <c r="J125" i="2"/>
  <c r="M125" i="2" s="1"/>
  <c r="J131" i="2"/>
  <c r="M131" i="2" s="1"/>
  <c r="J240" i="2"/>
  <c r="M240" i="2" s="1"/>
  <c r="J963" i="2"/>
  <c r="M963" i="2" s="1"/>
  <c r="J839" i="2"/>
  <c r="M839" i="2" s="1"/>
  <c r="J770" i="2"/>
  <c r="M770" i="2" s="1"/>
  <c r="J133" i="2"/>
  <c r="M133" i="2" s="1"/>
  <c r="J362" i="2"/>
  <c r="M362" i="2" s="1"/>
  <c r="J176" i="2"/>
  <c r="M176" i="2" s="1"/>
  <c r="J827" i="2"/>
  <c r="M827" i="2" s="1"/>
  <c r="J547" i="2"/>
  <c r="M547" i="2" s="1"/>
  <c r="J72" i="2"/>
  <c r="M72" i="2" s="1"/>
  <c r="J402" i="2"/>
  <c r="M402" i="2" s="1"/>
  <c r="J970" i="2"/>
  <c r="M970" i="2" s="1"/>
  <c r="J555" i="2"/>
  <c r="M555" i="2" s="1"/>
  <c r="J23" i="2"/>
  <c r="M23" i="2" s="1"/>
  <c r="J483" i="2"/>
  <c r="M483" i="2" s="1"/>
  <c r="J989" i="2"/>
  <c r="M989" i="2" s="1"/>
  <c r="J151" i="2"/>
  <c r="M151" i="2" s="1"/>
  <c r="J544" i="2"/>
  <c r="M544" i="2" s="1"/>
  <c r="J111" i="2"/>
  <c r="M111" i="2" s="1"/>
  <c r="J693" i="2"/>
  <c r="M693" i="2" s="1"/>
  <c r="J510" i="2"/>
  <c r="M510" i="2" s="1"/>
  <c r="J657" i="2"/>
  <c r="M657" i="2" s="1"/>
  <c r="J262" i="2"/>
  <c r="M262" i="2" s="1"/>
  <c r="J909" i="2"/>
  <c r="M909" i="2" s="1"/>
  <c r="J34" i="2"/>
  <c r="M34" i="2" s="1"/>
  <c r="J677" i="2"/>
  <c r="M677" i="2" s="1"/>
  <c r="J548" i="2"/>
  <c r="M548" i="2" s="1"/>
  <c r="J386" i="2"/>
  <c r="M386" i="2" s="1"/>
  <c r="J836" i="2"/>
  <c r="M836" i="2" s="1"/>
  <c r="J730" i="2"/>
  <c r="M730" i="2" s="1"/>
  <c r="J196" i="2"/>
  <c r="M196" i="2" s="1"/>
  <c r="J175" i="2"/>
  <c r="M175" i="2" s="1"/>
  <c r="J300" i="2"/>
  <c r="M300" i="2" s="1"/>
  <c r="J56" i="2"/>
  <c r="M56" i="2" s="1"/>
  <c r="J178" i="2"/>
  <c r="M178" i="2" s="1"/>
  <c r="J992" i="2"/>
  <c r="M992" i="2" s="1"/>
  <c r="J638" i="2"/>
  <c r="M638" i="2" s="1"/>
  <c r="J182" i="2"/>
  <c r="M182" i="2" s="1"/>
  <c r="J930" i="2"/>
  <c r="M930" i="2" s="1"/>
  <c r="J542" i="2"/>
  <c r="M542" i="2" s="1"/>
  <c r="J991" i="2"/>
  <c r="M991" i="2" s="1"/>
  <c r="J709" i="2"/>
  <c r="M709" i="2" s="1"/>
  <c r="J294" i="2"/>
  <c r="M294" i="2" s="1"/>
  <c r="J2" i="2"/>
  <c r="M2" i="2" s="1"/>
  <c r="J720" i="2"/>
  <c r="M720" i="2" s="1"/>
  <c r="J859" i="2"/>
  <c r="M859" i="2" s="1"/>
  <c r="J588" i="2"/>
  <c r="M588" i="2" s="1"/>
  <c r="J950" i="2"/>
  <c r="M950" i="2" s="1"/>
  <c r="J468" i="2"/>
  <c r="M468" i="2" s="1"/>
  <c r="J258" i="2"/>
  <c r="M258" i="2" s="1"/>
  <c r="J540" i="2"/>
  <c r="M540" i="2" s="1"/>
  <c r="J387" i="2"/>
  <c r="M387" i="2" s="1"/>
  <c r="J830" i="2"/>
  <c r="M830" i="2" s="1"/>
  <c r="J57" i="2"/>
  <c r="M57" i="2" s="1"/>
  <c r="J375" i="2"/>
  <c r="M375" i="2" s="1"/>
  <c r="J239" i="2"/>
  <c r="M239" i="2" s="1"/>
  <c r="J180" i="2"/>
  <c r="M180" i="2" s="1"/>
  <c r="J539" i="2"/>
  <c r="M539" i="2" s="1"/>
  <c r="J104" i="2"/>
  <c r="M104" i="2" s="1"/>
  <c r="J223" i="2"/>
  <c r="M223" i="2" s="1"/>
  <c r="J584" i="2"/>
  <c r="M584" i="2" s="1"/>
  <c r="J153" i="2"/>
  <c r="M153" i="2" s="1"/>
  <c r="J346" i="2"/>
  <c r="M346" i="2" s="1"/>
  <c r="J944" i="2"/>
  <c r="M944" i="2" s="1"/>
  <c r="J627" i="2"/>
  <c r="M627" i="2" s="1"/>
  <c r="J485" i="2"/>
  <c r="M485" i="2" s="1"/>
  <c r="J352" i="2"/>
  <c r="M352" i="2" s="1"/>
  <c r="J399" i="2"/>
  <c r="M399" i="2" s="1"/>
  <c r="J955" i="2"/>
  <c r="M955" i="2" s="1"/>
  <c r="J902" i="2"/>
  <c r="M902" i="2" s="1"/>
  <c r="J898" i="2"/>
  <c r="M898" i="2" s="1"/>
  <c r="J73" i="2"/>
  <c r="M73" i="2" s="1"/>
  <c r="J90" i="2"/>
  <c r="M90" i="2" s="1"/>
  <c r="J889" i="2"/>
  <c r="M889" i="2" s="1"/>
  <c r="J846" i="2"/>
  <c r="M846" i="2" s="1"/>
  <c r="J395" i="2"/>
  <c r="M395" i="2" s="1"/>
  <c r="J597" i="2"/>
  <c r="M597" i="2" s="1"/>
  <c r="J644" i="2"/>
  <c r="M644" i="2" s="1"/>
  <c r="J814" i="2"/>
  <c r="M814" i="2" s="1"/>
  <c r="J984" i="2"/>
  <c r="M984" i="2" s="1"/>
  <c r="J905" i="2"/>
  <c r="M905" i="2" s="1"/>
  <c r="J790" i="2"/>
  <c r="M790" i="2" s="1"/>
  <c r="J968" i="2"/>
  <c r="M968" i="2" s="1"/>
  <c r="J136" i="2"/>
  <c r="M136" i="2" s="1"/>
  <c r="J665" i="2"/>
  <c r="M665" i="2" s="1"/>
  <c r="J899" i="2"/>
  <c r="M899" i="2" s="1"/>
  <c r="J595" i="2"/>
  <c r="M595" i="2" s="1"/>
  <c r="J382" i="2"/>
  <c r="M382" i="2" s="1"/>
  <c r="J921" i="2"/>
  <c r="M921" i="2" s="1"/>
  <c r="J98" i="2"/>
  <c r="M98" i="2" s="1"/>
  <c r="J339" i="2"/>
  <c r="M339" i="2" s="1"/>
  <c r="J776" i="2"/>
  <c r="M776" i="2" s="1"/>
  <c r="J872" i="2"/>
  <c r="M872" i="2" s="1"/>
  <c r="J775" i="2"/>
  <c r="M775" i="2" s="1"/>
  <c r="J436" i="2"/>
  <c r="M436" i="2" s="1"/>
  <c r="J739" i="2"/>
  <c r="M739" i="2" s="1"/>
  <c r="J661" i="2"/>
  <c r="M661" i="2" s="1"/>
  <c r="J455" i="2"/>
  <c r="M455" i="2" s="1"/>
  <c r="J67" i="2"/>
  <c r="M67" i="2" s="1"/>
  <c r="J517" i="2"/>
  <c r="M517" i="2" s="1"/>
  <c r="J562" i="2"/>
  <c r="M562" i="2" s="1"/>
  <c r="J501" i="2"/>
  <c r="M501" i="2" s="1"/>
  <c r="J398" i="2"/>
  <c r="M398" i="2" s="1"/>
  <c r="J892" i="2"/>
  <c r="M892" i="2" s="1"/>
  <c r="J884" i="2"/>
  <c r="M884" i="2" s="1"/>
  <c r="J272" i="2"/>
  <c r="M272" i="2" s="1"/>
  <c r="J435" i="2"/>
  <c r="M435" i="2" s="1"/>
  <c r="J719" i="2"/>
  <c r="M719" i="2" s="1"/>
  <c r="J31" i="2"/>
  <c r="M31" i="2" s="1"/>
  <c r="J691" i="2"/>
  <c r="M691" i="2" s="1"/>
  <c r="J843" i="2"/>
  <c r="M843" i="2" s="1"/>
  <c r="J284" i="2"/>
  <c r="M284" i="2" s="1"/>
  <c r="J174" i="2"/>
  <c r="M174" i="2" s="1"/>
  <c r="J415" i="2"/>
  <c r="M415" i="2" s="1"/>
  <c r="J784" i="2"/>
  <c r="M784" i="2" s="1"/>
  <c r="J5" i="2"/>
  <c r="M5" i="2" s="1"/>
  <c r="J658" i="2"/>
  <c r="M658" i="2" s="1"/>
  <c r="J199" i="2"/>
  <c r="M199" i="2" s="1"/>
  <c r="J507" i="2"/>
  <c r="M507" i="2" s="1"/>
  <c r="J219" i="2"/>
  <c r="M219" i="2" s="1"/>
  <c r="J754" i="2"/>
  <c r="M754" i="2" s="1"/>
  <c r="J594" i="2"/>
  <c r="M594" i="2" s="1"/>
  <c r="J108" i="2"/>
  <c r="M108" i="2" s="1"/>
  <c r="J29" i="2"/>
  <c r="M29" i="2" s="1"/>
  <c r="J749" i="2"/>
  <c r="M749" i="2" s="1"/>
  <c r="J55" i="2"/>
  <c r="M55" i="2" s="1"/>
  <c r="J93" i="2"/>
  <c r="M93" i="2" s="1"/>
  <c r="J575" i="2"/>
  <c r="M575" i="2" s="1"/>
  <c r="J581" i="2"/>
  <c r="M581" i="2" s="1"/>
  <c r="J92" i="2"/>
  <c r="M92" i="2" s="1"/>
  <c r="J637" i="2"/>
  <c r="M637" i="2" s="1"/>
  <c r="J857" i="2"/>
  <c r="M857" i="2" s="1"/>
  <c r="J152" i="2"/>
  <c r="M152" i="2" s="1"/>
  <c r="J636" i="2"/>
  <c r="M636" i="2" s="1"/>
  <c r="J290" i="2"/>
  <c r="M290" i="2" s="1"/>
  <c r="J304" i="2"/>
  <c r="M304" i="2" s="1"/>
  <c r="J355" i="2"/>
  <c r="M355" i="2" s="1"/>
  <c r="J844" i="2"/>
  <c r="M844" i="2" s="1"/>
  <c r="J901" i="2"/>
  <c r="M901" i="2" s="1"/>
  <c r="J746" i="2"/>
  <c r="M746" i="2" s="1"/>
  <c r="J546" i="2"/>
  <c r="M546" i="2" s="1"/>
  <c r="J286" i="2"/>
  <c r="M286" i="2" s="1"/>
  <c r="J920" i="2"/>
  <c r="M920" i="2" s="1"/>
  <c r="J818" i="2"/>
  <c r="M818" i="2" s="1"/>
  <c r="J22" i="2"/>
  <c r="M22" i="2" s="1"/>
  <c r="J363" i="2"/>
  <c r="M363" i="2" s="1"/>
  <c r="J410" i="2"/>
  <c r="M410" i="2" s="1"/>
  <c r="J348" i="2"/>
  <c r="M348" i="2" s="1"/>
  <c r="J20" i="2"/>
  <c r="M20" i="2" s="1"/>
  <c r="J701" i="2"/>
  <c r="M701" i="2" s="1"/>
  <c r="J269" i="2"/>
  <c r="M269" i="2" s="1"/>
  <c r="J377" i="2"/>
  <c r="M377" i="2" s="1"/>
  <c r="J977" i="2"/>
  <c r="M977" i="2" s="1"/>
  <c r="J476" i="2"/>
  <c r="M476" i="2" s="1"/>
  <c r="J253" i="2"/>
  <c r="M253" i="2" s="1"/>
  <c r="J394" i="2"/>
  <c r="M394" i="2" s="1"/>
  <c r="J317" i="2"/>
  <c r="M317" i="2" s="1"/>
  <c r="J600" i="2"/>
  <c r="M600" i="2" s="1"/>
  <c r="J323" i="2"/>
  <c r="M323" i="2" s="1"/>
  <c r="J397" i="2"/>
  <c r="M397" i="2" s="1"/>
  <c r="J209" i="2"/>
  <c r="M209" i="2" s="1"/>
  <c r="J146" i="2"/>
  <c r="M146" i="2" s="1"/>
  <c r="J914" i="2"/>
  <c r="M914" i="2" s="1"/>
  <c r="J703" i="2"/>
  <c r="M703" i="2" s="1"/>
  <c r="J652" i="2"/>
  <c r="M652" i="2" s="1"/>
  <c r="J68" i="2"/>
  <c r="M68" i="2" s="1"/>
  <c r="J556" i="2"/>
  <c r="M556" i="2" s="1"/>
  <c r="J927" i="2"/>
  <c r="M927" i="2" s="1"/>
  <c r="J867" i="2"/>
  <c r="M867" i="2" s="1"/>
  <c r="J139" i="2"/>
  <c r="M139" i="2" s="1"/>
  <c r="H913" i="2"/>
  <c r="H299" i="2"/>
  <c r="H642" i="2"/>
  <c r="H322" i="2"/>
  <c r="H826" i="2"/>
  <c r="H8" i="2"/>
  <c r="H915" i="2"/>
  <c r="H504" i="2"/>
  <c r="H823" i="2"/>
  <c r="H329" i="2"/>
  <c r="H551" i="2"/>
  <c r="H941" i="2"/>
  <c r="H802" i="2"/>
  <c r="H618" i="2"/>
  <c r="H247" i="2"/>
  <c r="H660" i="2"/>
  <c r="H96" i="2"/>
  <c r="H842" i="2"/>
  <c r="H649" i="2"/>
  <c r="H926" i="2"/>
  <c r="H250" i="2"/>
  <c r="H186" i="2"/>
  <c r="H922" i="2"/>
  <c r="H406" i="2"/>
  <c r="H976" i="2"/>
  <c r="H439" i="2"/>
  <c r="H292" i="2"/>
  <c r="H477" i="2"/>
  <c r="H423" i="2"/>
  <c r="H666" i="2"/>
  <c r="H771" i="2"/>
  <c r="H246" i="2"/>
  <c r="H509" i="2"/>
  <c r="H585" i="2"/>
  <c r="H101" i="2"/>
  <c r="H265" i="2"/>
  <c r="H446" i="2"/>
  <c r="H109" i="2"/>
  <c r="H535" i="2"/>
  <c r="H89" i="2"/>
  <c r="H328" i="2"/>
  <c r="H769" i="2"/>
  <c r="J367" i="2"/>
  <c r="M367" i="2" s="1"/>
  <c r="J608" i="2"/>
  <c r="M608" i="2" s="1"/>
  <c r="J948" i="2"/>
  <c r="M948" i="2" s="1"/>
  <c r="J82" i="2"/>
  <c r="M82" i="2" s="1"/>
  <c r="J561" i="2"/>
  <c r="M561" i="2" s="1"/>
  <c r="J30" i="2"/>
  <c r="M30" i="2" s="1"/>
  <c r="J874" i="2"/>
  <c r="M874" i="2" s="1"/>
  <c r="J366" i="2"/>
  <c r="M366" i="2" s="1"/>
  <c r="J837" i="2"/>
  <c r="M837" i="2" s="1"/>
  <c r="J7" i="2"/>
  <c r="M7" i="2" s="1"/>
  <c r="J16" i="2"/>
  <c r="M16" i="2" s="1"/>
  <c r="J697" i="2"/>
  <c r="M697" i="2" s="1"/>
  <c r="J527" i="2"/>
  <c r="M527" i="2" s="1"/>
  <c r="J38" i="2"/>
  <c r="M38" i="2" s="1"/>
  <c r="J574" i="2"/>
  <c r="M574" i="2" s="1"/>
  <c r="J145" i="2"/>
  <c r="M145" i="2" s="1"/>
  <c r="J282" i="2"/>
  <c r="M282" i="2" s="1"/>
  <c r="J192" i="2"/>
  <c r="M192" i="2" s="1"/>
  <c r="J880" i="2"/>
  <c r="M880" i="2" s="1"/>
  <c r="J242" i="2"/>
  <c r="M242" i="2" s="1"/>
  <c r="J204" i="2"/>
  <c r="M204" i="2" s="1"/>
  <c r="J345" i="2"/>
  <c r="M345" i="2" s="1"/>
  <c r="J525" i="2"/>
  <c r="M525" i="2" s="1"/>
  <c r="J160" i="2"/>
  <c r="M160" i="2" s="1"/>
  <c r="J917" i="2"/>
  <c r="M917" i="2" s="1"/>
  <c r="J656" i="2"/>
  <c r="M656" i="2" s="1"/>
  <c r="J273" i="2"/>
  <c r="M273" i="2" s="1"/>
  <c r="J777" i="2"/>
  <c r="M777" i="2" s="1"/>
  <c r="J187" i="2"/>
  <c r="M187" i="2" s="1"/>
  <c r="J904" i="2"/>
  <c r="M904" i="2" s="1"/>
  <c r="J580" i="2"/>
  <c r="M580" i="2" s="1"/>
  <c r="J523" i="2"/>
  <c r="M523" i="2" s="1"/>
  <c r="J107" i="2"/>
  <c r="M107" i="2" s="1"/>
  <c r="J579" i="2"/>
  <c r="M579" i="2" s="1"/>
  <c r="J168" i="2"/>
  <c r="M168" i="2" s="1"/>
  <c r="J598" i="2"/>
  <c r="M598" i="2" s="1"/>
  <c r="J759" i="2"/>
  <c r="M759" i="2" s="1"/>
  <c r="J42" i="2"/>
  <c r="M42" i="2" s="1"/>
  <c r="J295" i="2"/>
  <c r="M295" i="2" s="1"/>
  <c r="J163" i="2"/>
  <c r="M163" i="2" s="1"/>
  <c r="J109" i="2"/>
  <c r="M109" i="2" s="1"/>
  <c r="J270" i="2"/>
  <c r="M270" i="2" s="1"/>
  <c r="J535" i="2"/>
  <c r="M535" i="2" s="1"/>
  <c r="J824" i="2"/>
  <c r="M824" i="2" s="1"/>
  <c r="J89" i="2"/>
  <c r="M89" i="2" s="1"/>
  <c r="J748" i="2"/>
  <c r="M748" i="2" s="1"/>
  <c r="J965" i="2"/>
  <c r="M965" i="2" s="1"/>
  <c r="J680" i="2"/>
  <c r="M680" i="2" s="1"/>
  <c r="J734" i="2"/>
  <c r="M734" i="2" s="1"/>
  <c r="J370" i="2"/>
  <c r="M370" i="2" s="1"/>
  <c r="J81" i="2"/>
  <c r="M81" i="2" s="1"/>
  <c r="J617" i="2"/>
  <c r="M617" i="2" s="1"/>
  <c r="J371" i="2"/>
  <c r="M371" i="2" s="1"/>
  <c r="J521" i="2"/>
  <c r="M521" i="2" s="1"/>
  <c r="J217" i="2"/>
  <c r="M217" i="2" s="1"/>
  <c r="J437" i="2"/>
  <c r="M437" i="2" s="1"/>
  <c r="J238" i="2"/>
  <c r="M238" i="2" s="1"/>
  <c r="J971" i="2"/>
  <c r="M971" i="2" s="1"/>
  <c r="J293" i="2"/>
  <c r="M293" i="2" s="1"/>
  <c r="J328" i="2"/>
  <c r="M328" i="2" s="1"/>
  <c r="J62" i="2"/>
  <c r="M62" i="2" s="1"/>
  <c r="J769" i="2"/>
  <c r="M769" i="2" s="1"/>
  <c r="J568" i="2"/>
  <c r="M568" i="2" s="1"/>
  <c r="J563" i="2"/>
  <c r="M563" i="2" s="1"/>
  <c r="J315" i="2"/>
  <c r="M315" i="2" s="1"/>
  <c r="J232" i="2"/>
  <c r="M232" i="2" s="1"/>
  <c r="J960" i="2"/>
  <c r="M960" i="2" s="1"/>
  <c r="J333" i="2"/>
  <c r="M333" i="2" s="1"/>
  <c r="J361" i="2"/>
  <c r="M361" i="2" s="1"/>
  <c r="J706" i="2"/>
  <c r="M706" i="2" s="1"/>
  <c r="J255" i="2"/>
  <c r="M255" i="2" s="1"/>
  <c r="J526" i="2"/>
  <c r="M526" i="2" s="1"/>
  <c r="J344" i="2"/>
  <c r="M344" i="2" s="1"/>
  <c r="J688" i="2"/>
  <c r="M688" i="2" s="1"/>
  <c r="J265" i="2"/>
  <c r="M265" i="2" s="1"/>
  <c r="J497" i="2"/>
  <c r="M497" i="2" s="1"/>
  <c r="J446" i="2"/>
  <c r="M446" i="2" s="1"/>
  <c r="J310" i="2"/>
  <c r="M310" i="2" s="1"/>
  <c r="J4" i="2"/>
  <c r="M4" i="2" s="1"/>
  <c r="J147" i="2"/>
  <c r="M147" i="2" s="1"/>
  <c r="J567" i="2"/>
  <c r="M567" i="2" s="1"/>
  <c r="J275" i="2"/>
  <c r="M275" i="2" s="1"/>
  <c r="J774" i="2"/>
  <c r="M774" i="2" s="1"/>
  <c r="J316" i="2"/>
  <c r="M316" i="2" s="1"/>
  <c r="J669" i="2"/>
  <c r="M669" i="2" s="1"/>
  <c r="J732" i="2"/>
  <c r="M732" i="2" s="1"/>
  <c r="J429" i="2"/>
  <c r="M429" i="2" s="1"/>
  <c r="J311" i="2"/>
  <c r="M311" i="2" s="1"/>
  <c r="J961" i="2"/>
  <c r="M961" i="2" s="1"/>
  <c r="J417" i="2"/>
  <c r="M417" i="2" s="1"/>
  <c r="J313" i="2"/>
  <c r="M313" i="2" s="1"/>
  <c r="J849" i="2"/>
  <c r="M849" i="2" s="1"/>
  <c r="J906" i="2"/>
  <c r="M906" i="2" s="1"/>
  <c r="J443" i="2"/>
  <c r="M443" i="2" s="1"/>
  <c r="J896" i="2"/>
  <c r="M896" i="2" s="1"/>
  <c r="J628" i="2"/>
  <c r="M628" i="2" s="1"/>
  <c r="J757" i="2"/>
  <c r="M757" i="2" s="1"/>
  <c r="J910" i="2"/>
  <c r="M910" i="2" s="1"/>
  <c r="J755" i="2"/>
  <c r="M755" i="2" s="1"/>
  <c r="J943" i="2"/>
  <c r="M943" i="2" s="1"/>
  <c r="J425" i="2"/>
  <c r="M425" i="2" s="1"/>
  <c r="J474" i="2"/>
  <c r="M474" i="2" s="1"/>
  <c r="J10" i="2"/>
  <c r="M10" i="2" s="1"/>
  <c r="J64" i="2"/>
  <c r="M64" i="2" s="1"/>
  <c r="J903" i="2"/>
  <c r="M903" i="2" s="1"/>
  <c r="J94" i="2"/>
  <c r="M94" i="2" s="1"/>
  <c r="J233" i="2"/>
  <c r="M233" i="2" s="1"/>
  <c r="J858" i="2"/>
  <c r="M858" i="2" s="1"/>
  <c r="J409" i="2"/>
  <c r="M409" i="2" s="1"/>
  <c r="J440" i="2"/>
  <c r="M440" i="2" s="1"/>
  <c r="J946" i="2"/>
  <c r="M946" i="2" s="1"/>
  <c r="J668" i="2"/>
  <c r="M668" i="2" s="1"/>
  <c r="J261" i="2"/>
  <c r="M261" i="2" s="1"/>
  <c r="J24" i="2"/>
  <c r="M24" i="2" s="1"/>
  <c r="J994" i="2"/>
  <c r="M994" i="2" s="1"/>
  <c r="J841" i="2"/>
  <c r="M841" i="2" s="1"/>
  <c r="J433" i="2"/>
  <c r="M433" i="2" s="1"/>
  <c r="J351" i="2"/>
  <c r="M351" i="2" s="1"/>
  <c r="J654" i="2"/>
  <c r="M654" i="2" s="1"/>
  <c r="J99" i="2"/>
  <c r="M99" i="2" s="1"/>
  <c r="J758" i="2"/>
  <c r="M758" i="2" s="1"/>
  <c r="J694" i="2"/>
  <c r="M694" i="2" s="1"/>
  <c r="J947" i="2"/>
  <c r="M947" i="2" s="1"/>
  <c r="J260" i="2"/>
  <c r="M260" i="2" s="1"/>
  <c r="J492" i="2"/>
  <c r="M492" i="2" s="1"/>
  <c r="J900" i="2"/>
  <c r="M900" i="2" s="1"/>
  <c r="J183" i="2"/>
  <c r="M183" i="2" s="1"/>
  <c r="J664" i="2"/>
  <c r="M664" i="2" s="1"/>
  <c r="J897" i="2"/>
  <c r="M897" i="2" s="1"/>
  <c r="J756" i="2"/>
  <c r="M756" i="2" s="1"/>
  <c r="J987" i="2"/>
  <c r="M987" i="2" s="1"/>
  <c r="J571" i="2"/>
  <c r="M571" i="2" s="1"/>
  <c r="J376" i="2"/>
  <c r="M376" i="2" s="1"/>
  <c r="J114" i="2"/>
  <c r="M114" i="2" s="1"/>
  <c r="J350" i="2"/>
  <c r="M350" i="2" s="1"/>
  <c r="J783" i="2"/>
  <c r="M783" i="2" s="1"/>
  <c r="J635" i="2"/>
  <c r="M635" i="2" s="1"/>
  <c r="J631" i="2"/>
  <c r="M631" i="2" s="1"/>
  <c r="J220" i="2"/>
  <c r="M220" i="2" s="1"/>
  <c r="J786" i="2"/>
  <c r="M786" i="2" s="1"/>
  <c r="J745" i="2"/>
  <c r="M745" i="2" s="1"/>
  <c r="J678" i="2"/>
  <c r="M678" i="2" s="1"/>
  <c r="J554" i="2"/>
  <c r="M554" i="2" s="1"/>
  <c r="J188" i="2"/>
  <c r="M188" i="2" s="1"/>
  <c r="J248" i="2"/>
  <c r="M248" i="2" s="1"/>
  <c r="J800" i="2"/>
  <c r="M800" i="2" s="1"/>
  <c r="J340" i="2"/>
  <c r="M340" i="2" s="1"/>
  <c r="J203" i="2"/>
  <c r="M203" i="2" s="1"/>
  <c r="J400" i="2"/>
  <c r="M400" i="2" s="1"/>
  <c r="J297" i="2"/>
  <c r="M297" i="2" s="1"/>
  <c r="J405" i="2"/>
  <c r="M405" i="2" s="1"/>
  <c r="J391" i="2"/>
  <c r="M391" i="2" s="1"/>
  <c r="J601" i="2"/>
  <c r="M601" i="2" s="1"/>
  <c r="J52" i="2"/>
  <c r="M52" i="2" s="1"/>
  <c r="J685" i="2"/>
  <c r="M685" i="2" s="1"/>
  <c r="J620" i="2"/>
  <c r="M620" i="2" s="1"/>
  <c r="J610" i="2"/>
  <c r="M610" i="2" s="1"/>
  <c r="J354" i="2"/>
  <c r="M354" i="2" s="1"/>
  <c r="J228" i="2"/>
  <c r="M228" i="2" s="1"/>
  <c r="J695" i="2"/>
  <c r="M695" i="2" s="1"/>
  <c r="J202" i="2"/>
  <c r="M202" i="2" s="1"/>
  <c r="J159" i="2"/>
  <c r="M159" i="2" s="1"/>
  <c r="J325" i="2"/>
  <c r="M325" i="2" s="1"/>
  <c r="J264" i="2"/>
  <c r="M264" i="2" s="1"/>
  <c r="J97" i="2"/>
  <c r="M97" i="2" s="1"/>
  <c r="J271" i="2"/>
  <c r="M271" i="2" s="1"/>
  <c r="J167" i="2"/>
  <c r="M167" i="2" s="1"/>
  <c r="J307" i="2"/>
  <c r="M307" i="2" s="1"/>
  <c r="J359" i="2"/>
  <c r="M359" i="2" s="1"/>
  <c r="J161" i="2"/>
  <c r="M161" i="2" s="1"/>
  <c r="J278" i="2"/>
  <c r="M278" i="2" s="1"/>
  <c r="J285" i="2"/>
  <c r="M285" i="2" s="1"/>
  <c r="J430" i="2"/>
  <c r="M430" i="2" s="1"/>
  <c r="J341" i="2"/>
  <c r="M341" i="2" s="1"/>
  <c r="J470" i="2"/>
  <c r="M470" i="2" s="1"/>
  <c r="J715" i="2"/>
  <c r="M715" i="2" s="1"/>
  <c r="J25" i="2"/>
  <c r="M25" i="2" s="1"/>
  <c r="J528" i="2"/>
  <c r="M528" i="2" s="1"/>
  <c r="J820" i="2"/>
  <c r="M820" i="2" s="1"/>
  <c r="J80" i="2"/>
  <c r="M80" i="2" s="1"/>
  <c r="J349" i="2"/>
  <c r="M349" i="2" s="1"/>
  <c r="J416" i="2"/>
  <c r="M416" i="2" s="1"/>
  <c r="J573" i="2"/>
  <c r="M573" i="2" s="1"/>
  <c r="J639" i="2"/>
  <c r="M639" i="2" s="1"/>
  <c r="J813" i="2"/>
  <c r="M813" i="2" s="1"/>
  <c r="J645" i="2"/>
  <c r="M645" i="2" s="1"/>
  <c r="J173" i="2"/>
  <c r="M173" i="2" s="1"/>
  <c r="J835" i="2"/>
  <c r="M835" i="2" s="1"/>
  <c r="J925" i="2"/>
  <c r="M925" i="2" s="1"/>
  <c r="J810" i="2"/>
  <c r="M810" i="2" s="1"/>
  <c r="J812" i="2"/>
  <c r="M812" i="2" s="1"/>
  <c r="J966" i="2"/>
  <c r="M966" i="2" s="1"/>
  <c r="J868" i="2"/>
  <c r="M868" i="2" s="1"/>
  <c r="J212" i="2"/>
  <c r="M212" i="2" s="1"/>
  <c r="J653" i="2"/>
  <c r="M653" i="2" s="1"/>
  <c r="J516" i="2"/>
  <c r="M516" i="2" s="1"/>
  <c r="J981" i="2"/>
  <c r="M981" i="2" s="1"/>
  <c r="J267" i="2"/>
  <c r="M267" i="2" s="1"/>
  <c r="J886" i="2"/>
  <c r="M886" i="2" s="1"/>
  <c r="J50" i="2"/>
  <c r="M50" i="2" s="1"/>
  <c r="J861" i="2"/>
  <c r="M861" i="2" s="1"/>
  <c r="J687" i="2"/>
  <c r="M687" i="2" s="1"/>
  <c r="J672" i="2"/>
  <c r="M672" i="2" s="1"/>
  <c r="J614" i="2"/>
  <c r="M614" i="2" s="1"/>
  <c r="J855" i="2"/>
  <c r="M855" i="2" s="1"/>
  <c r="J686" i="2"/>
  <c r="M686" i="2" s="1"/>
  <c r="J374" i="2"/>
  <c r="M374" i="2" s="1"/>
  <c r="J28" i="2"/>
  <c r="M28" i="2" s="1"/>
  <c r="J388" i="2"/>
  <c r="M388" i="2" s="1"/>
  <c r="J49" i="2"/>
  <c r="M49" i="2" s="1"/>
  <c r="J312" i="2"/>
  <c r="M312" i="2" s="1"/>
  <c r="J576" i="2"/>
  <c r="M576" i="2" s="1"/>
  <c r="J438" i="2"/>
  <c r="M438" i="2" s="1"/>
  <c r="J519" i="2"/>
  <c r="M519" i="2" s="1"/>
  <c r="J916" i="2"/>
  <c r="M916" i="2" s="1"/>
  <c r="J95" i="2"/>
  <c r="M95" i="2" s="1"/>
  <c r="J327" i="2"/>
  <c r="M327" i="2" s="1"/>
  <c r="J251" i="2"/>
  <c r="M251" i="2" s="1"/>
  <c r="J441" i="2"/>
  <c r="M441" i="2" s="1"/>
  <c r="J852" i="2"/>
  <c r="M852" i="2" s="1"/>
  <c r="J191" i="2"/>
  <c r="M191" i="2" s="1"/>
  <c r="J221" i="2"/>
  <c r="M221" i="2" s="1"/>
  <c r="J86" i="2"/>
  <c r="M86" i="2" s="1"/>
  <c r="J983" i="2"/>
  <c r="M983" i="2" s="1"/>
  <c r="J432" i="2"/>
  <c r="M432" i="2" s="1"/>
  <c r="J229" i="2"/>
  <c r="M229" i="2" s="1"/>
  <c r="J937" i="2"/>
  <c r="M937" i="2" s="1"/>
  <c r="J6" i="2"/>
  <c r="M6" i="2" s="1"/>
  <c r="J848" i="2"/>
  <c r="M848" i="2" s="1"/>
  <c r="J296" i="2"/>
  <c r="M296" i="2" s="1"/>
  <c r="J372" i="2"/>
  <c r="M372" i="2" s="1"/>
  <c r="J197" i="2"/>
  <c r="M197" i="2" s="1"/>
  <c r="J141" i="2"/>
  <c r="M141" i="2" s="1"/>
  <c r="J670" i="2"/>
  <c r="M670" i="2" s="1"/>
  <c r="J959" i="2"/>
  <c r="M959" i="2" s="1"/>
  <c r="J404" i="2"/>
  <c r="M404" i="2" s="1"/>
  <c r="J481" i="2"/>
  <c r="M481" i="2" s="1"/>
  <c r="J225" i="2"/>
  <c r="M225" i="2" s="1"/>
  <c r="J592" i="2"/>
  <c r="M592" i="2" s="1"/>
  <c r="J330" i="2"/>
  <c r="M330" i="2" s="1"/>
  <c r="J41" i="2"/>
  <c r="M41" i="2" s="1"/>
  <c r="J33" i="2"/>
  <c r="M33" i="2" s="1"/>
  <c r="J875" i="2"/>
  <c r="M875" i="2" s="1"/>
  <c r="J393" i="2"/>
  <c r="M393" i="2" s="1"/>
  <c r="J369" i="2"/>
  <c r="M369" i="2" s="1"/>
  <c r="J804" i="2"/>
  <c r="M804" i="2" s="1"/>
  <c r="J727" i="2"/>
  <c r="M727" i="2" s="1"/>
  <c r="J499" i="2"/>
  <c r="M499" i="2" s="1"/>
  <c r="J165" i="2"/>
  <c r="M165" i="2" s="1"/>
  <c r="J578" i="2"/>
  <c r="M578" i="2" s="1"/>
  <c r="J103" i="2"/>
  <c r="M103" i="2" s="1"/>
  <c r="J894" i="2"/>
  <c r="M894" i="2" s="1"/>
  <c r="J259" i="2"/>
  <c r="M259" i="2" s="1"/>
  <c r="J569" i="2"/>
  <c r="M569" i="2" s="1"/>
  <c r="J538" i="2"/>
  <c r="M538" i="2" s="1"/>
  <c r="J641" i="2"/>
  <c r="M641" i="2" s="1"/>
  <c r="J274" i="2"/>
  <c r="M274" i="2" s="1"/>
  <c r="J572" i="2"/>
  <c r="M572" i="2" s="1"/>
  <c r="J71" i="2"/>
  <c r="M71" i="2" s="1"/>
  <c r="J380" i="2"/>
  <c r="M380" i="2" s="1"/>
  <c r="J795" i="2"/>
  <c r="M795" i="2" s="1"/>
  <c r="J502" i="2"/>
  <c r="M502" i="2" s="1"/>
  <c r="J816" i="2"/>
  <c r="M816" i="2" s="1"/>
  <c r="J726" i="2"/>
  <c r="M726" i="2" s="1"/>
  <c r="J630" i="2"/>
  <c r="M630" i="2" s="1"/>
  <c r="J604" i="2"/>
  <c r="M604" i="2" s="1"/>
  <c r="J467" i="2"/>
  <c r="M467" i="2" s="1"/>
  <c r="J768" i="2"/>
  <c r="M768" i="2" s="1"/>
  <c r="J508" i="2"/>
  <c r="M508" i="2" s="1"/>
  <c r="J130" i="2"/>
  <c r="M130" i="2" s="1"/>
  <c r="J876" i="2"/>
  <c r="M876" i="2" s="1"/>
  <c r="J796" i="2"/>
  <c r="M796" i="2" s="1"/>
  <c r="J613" i="2"/>
  <c r="M613" i="2" s="1"/>
  <c r="J549" i="2"/>
  <c r="M549" i="2" s="1"/>
  <c r="J457" i="2"/>
  <c r="M457" i="2" s="1"/>
  <c r="J128" i="2"/>
  <c r="M128" i="2" s="1"/>
  <c r="J565" i="2"/>
  <c r="M565" i="2" s="1"/>
  <c r="J817" i="2"/>
  <c r="M817" i="2" s="1"/>
  <c r="J737" i="2"/>
  <c r="M737" i="2" s="1"/>
  <c r="J632" i="2"/>
  <c r="M632" i="2" s="1"/>
  <c r="J723" i="2"/>
  <c r="M723" i="2" s="1"/>
  <c r="J803" i="2"/>
  <c r="M803" i="2" s="1"/>
  <c r="J725" i="2"/>
  <c r="M725" i="2" s="1"/>
  <c r="J237" i="2"/>
  <c r="M237" i="2" s="1"/>
  <c r="J998" i="2"/>
  <c r="M998" i="2" s="1"/>
  <c r="J142" i="2"/>
  <c r="M142" i="2" s="1"/>
  <c r="J682" i="2"/>
  <c r="M682" i="2" s="1"/>
  <c r="J420" i="2"/>
  <c r="M420" i="2" s="1"/>
  <c r="J838" i="2"/>
  <c r="M838" i="2" s="1"/>
  <c r="J605" i="2"/>
  <c r="M605" i="2" s="1"/>
  <c r="J254" i="2"/>
  <c r="M254" i="2" s="1"/>
  <c r="J582" i="2"/>
  <c r="M582" i="2" s="1"/>
  <c r="J831" i="2"/>
  <c r="M831" i="2" s="1"/>
  <c r="J422" i="2"/>
  <c r="M422" i="2" s="1"/>
  <c r="J302" i="2"/>
  <c r="M302" i="2" s="1"/>
  <c r="J938" i="2"/>
  <c r="M938" i="2" s="1"/>
  <c r="J465" i="2"/>
  <c r="M465" i="2" s="1"/>
  <c r="J120" i="2"/>
  <c r="M120" i="2" s="1"/>
  <c r="J498" i="2"/>
  <c r="M498" i="2" s="1"/>
  <c r="J863" i="2"/>
  <c r="M863" i="2" s="1"/>
  <c r="J711" i="2"/>
  <c r="M711" i="2" s="1"/>
  <c r="J132" i="2"/>
  <c r="M132" i="2" s="1"/>
  <c r="J911" i="2"/>
  <c r="M911" i="2" s="1"/>
  <c r="J871" i="2"/>
  <c r="M871" i="2" s="1"/>
  <c r="J794" i="2"/>
  <c r="M794" i="2" s="1"/>
  <c r="J564" i="2"/>
  <c r="M564" i="2" s="1"/>
  <c r="J342" i="2"/>
  <c r="M342" i="2" s="1"/>
  <c r="J993" i="2"/>
  <c r="M993" i="2" s="1"/>
  <c r="J368" i="2"/>
  <c r="M368" i="2" s="1"/>
  <c r="J15" i="2"/>
  <c r="M15" i="2" s="1"/>
  <c r="J919" i="2"/>
  <c r="M919" i="2" s="1"/>
  <c r="J164" i="2"/>
  <c r="M164" i="2" s="1"/>
  <c r="J702" i="2"/>
  <c r="M702" i="2" s="1"/>
  <c r="J331" i="2"/>
  <c r="M331" i="2" s="1"/>
  <c r="J615" i="2"/>
  <c r="M615" i="2" s="1"/>
  <c r="J860" i="2"/>
  <c r="M860" i="2" s="1"/>
  <c r="J263" i="2"/>
  <c r="M263" i="2" s="1"/>
  <c r="J306" i="2"/>
  <c r="M306" i="2" s="1"/>
  <c r="J144" i="2"/>
  <c r="M144" i="2" s="1"/>
  <c r="J612" i="2"/>
  <c r="M612" i="2" s="1"/>
  <c r="J411" i="2"/>
  <c r="M411" i="2" s="1"/>
  <c r="J279" i="2"/>
  <c r="M279" i="2" s="1"/>
  <c r="J473" i="2"/>
  <c r="M473" i="2" s="1"/>
  <c r="J915" i="2"/>
  <c r="M915" i="2" s="1"/>
  <c r="J995" i="2"/>
  <c r="M995" i="2" s="1"/>
  <c r="J504" i="2"/>
  <c r="M504" i="2" s="1"/>
  <c r="J449" i="2"/>
  <c r="M449" i="2" s="1"/>
  <c r="J599" i="2"/>
  <c r="M599" i="2" s="1"/>
  <c r="J493" i="2"/>
  <c r="M493" i="2" s="1"/>
  <c r="J113" i="2"/>
  <c r="M113" i="2" s="1"/>
  <c r="J158" i="2"/>
  <c r="M158" i="2" s="1"/>
  <c r="J268" i="2"/>
  <c r="M268" i="2" s="1"/>
  <c r="J491" i="2"/>
  <c r="M491" i="2" s="1"/>
  <c r="J724" i="2"/>
  <c r="M724" i="2" s="1"/>
  <c r="J216" i="2"/>
  <c r="M216" i="2" s="1"/>
  <c r="J762" i="2"/>
  <c r="M762" i="2" s="1"/>
  <c r="J458" i="2"/>
  <c r="M458" i="2" s="1"/>
  <c r="J505" i="2"/>
  <c r="M505" i="2" s="1"/>
  <c r="J195" i="2"/>
  <c r="M195" i="2" s="1"/>
  <c r="J21" i="2"/>
  <c r="M21" i="2" s="1"/>
  <c r="J823" i="2"/>
  <c r="M823" i="2" s="1"/>
  <c r="J929" i="2"/>
  <c r="M929" i="2" s="1"/>
  <c r="J329" i="2"/>
  <c r="M329" i="2" s="1"/>
  <c r="J589" i="2"/>
  <c r="M589" i="2" s="1"/>
  <c r="J551" i="2"/>
  <c r="M551" i="2" s="1"/>
  <c r="J213" i="2"/>
  <c r="M213" i="2" s="1"/>
  <c r="J413" i="2"/>
  <c r="M413" i="2" s="1"/>
  <c r="J962" i="2"/>
  <c r="M962" i="2" s="1"/>
  <c r="J733" i="2"/>
  <c r="M733" i="2" s="1"/>
  <c r="J215" i="2"/>
  <c r="M215" i="2" s="1"/>
  <c r="J566" i="2"/>
  <c r="M566" i="2" s="1"/>
  <c r="J969" i="2"/>
  <c r="M969" i="2" s="1"/>
  <c r="J607" i="2"/>
  <c r="M607" i="2" s="1"/>
  <c r="J8" i="2"/>
  <c r="M8" i="2" s="1"/>
  <c r="J469" i="2"/>
  <c r="M469" i="2" s="1"/>
  <c r="J454" i="2"/>
  <c r="M454" i="2" s="1"/>
  <c r="J463" i="2"/>
  <c r="M463" i="2" s="1"/>
  <c r="J18" i="2"/>
  <c r="M18" i="2" s="1"/>
  <c r="J626" i="2"/>
  <c r="M626" i="2" s="1"/>
  <c r="J788" i="2"/>
  <c r="M788" i="2" s="1"/>
  <c r="J337" i="2"/>
  <c r="M337" i="2" s="1"/>
  <c r="J655" i="2"/>
  <c r="M655" i="2" s="1"/>
  <c r="J157" i="2"/>
  <c r="M157" i="2" s="1"/>
  <c r="J384" i="2"/>
  <c r="M384" i="2" s="1"/>
  <c r="J593" i="2"/>
  <c r="M593" i="2" s="1"/>
  <c r="J847" i="2"/>
  <c r="M847" i="2" s="1"/>
  <c r="J659" i="2"/>
  <c r="M659" i="2" s="1"/>
  <c r="J134" i="2"/>
  <c r="M134" i="2" s="1"/>
  <c r="J721" i="2"/>
  <c r="M721" i="2" s="1"/>
  <c r="J373" i="2"/>
  <c r="M373" i="2" s="1"/>
  <c r="J464" i="2"/>
  <c r="M464" i="2" s="1"/>
  <c r="J452" i="2"/>
  <c r="M452" i="2" s="1"/>
  <c r="J117" i="2"/>
  <c r="M117" i="2" s="1"/>
  <c r="J819" i="2"/>
  <c r="M819" i="2" s="1"/>
  <c r="J550" i="2"/>
  <c r="M550" i="2" s="1"/>
  <c r="J236" i="2"/>
  <c r="M236" i="2" s="1"/>
  <c r="J85" i="2"/>
  <c r="M85" i="2" s="1"/>
  <c r="J112" i="2"/>
  <c r="M112" i="2" s="1"/>
  <c r="J122" i="2"/>
  <c r="M122" i="2" s="1"/>
  <c r="J616" i="2"/>
  <c r="M616" i="2" s="1"/>
  <c r="J895" i="2"/>
  <c r="M895" i="2" s="1"/>
  <c r="J149" i="2"/>
  <c r="M149" i="2" s="1"/>
  <c r="J211" i="2"/>
  <c r="M211" i="2" s="1"/>
  <c r="J190" i="2"/>
  <c r="M190" i="2" s="1"/>
  <c r="J738" i="2"/>
  <c r="M738" i="2" s="1"/>
  <c r="J66" i="2"/>
  <c r="M66" i="2" s="1"/>
  <c r="J51" i="2"/>
  <c r="M51" i="2" s="1"/>
  <c r="J797" i="2"/>
  <c r="M797" i="2" s="1"/>
  <c r="J883" i="2"/>
  <c r="M883" i="2" s="1"/>
  <c r="J84" i="2"/>
  <c r="M84" i="2" s="1"/>
  <c r="J742" i="2"/>
  <c r="M742" i="2" s="1"/>
  <c r="J347" i="2"/>
  <c r="M347" i="2" s="1"/>
  <c r="J834" i="2"/>
  <c r="M834" i="2" s="1"/>
  <c r="J740" i="2"/>
  <c r="M740" i="2" s="1"/>
  <c r="J986" i="2"/>
  <c r="M986" i="2" s="1"/>
  <c r="J177" i="2"/>
  <c r="M177" i="2" s="1"/>
  <c r="J881" i="2"/>
  <c r="M881" i="2" s="1"/>
  <c r="J808" i="2"/>
  <c r="M808" i="2" s="1"/>
  <c r="J805" i="2"/>
  <c r="M805" i="2" s="1"/>
  <c r="J586" i="2"/>
  <c r="M586" i="2" s="1"/>
  <c r="J869" i="2"/>
  <c r="M869" i="2" s="1"/>
  <c r="J512" i="2"/>
  <c r="M512" i="2" s="1"/>
  <c r="J193" i="2"/>
  <c r="M193" i="2" s="1"/>
  <c r="J537" i="2"/>
  <c r="M537" i="2" s="1"/>
  <c r="J850" i="2"/>
  <c r="M850" i="2" s="1"/>
  <c r="J651" i="2"/>
  <c r="M651" i="2" s="1"/>
  <c r="J590" i="2"/>
  <c r="M590" i="2" s="1"/>
  <c r="J853" i="2"/>
  <c r="M853" i="2" s="1"/>
  <c r="J496" i="2"/>
  <c r="M496" i="2" s="1"/>
  <c r="J45" i="2"/>
  <c r="M45" i="2" s="1"/>
  <c r="J385" i="2"/>
  <c r="M385" i="2" s="1"/>
  <c r="J996" i="2"/>
  <c r="M996" i="2" s="1"/>
  <c r="J205" i="2"/>
  <c r="M205" i="2" s="1"/>
  <c r="J241" i="2"/>
  <c r="M241" i="2" s="1"/>
  <c r="J736" i="2"/>
  <c r="M736" i="2" s="1"/>
  <c r="J536" i="2"/>
  <c r="M536" i="2" s="1"/>
  <c r="J606" i="2"/>
  <c r="M606" i="2" s="1"/>
  <c r="J456" i="2"/>
  <c r="M456" i="2" s="1"/>
  <c r="J647" i="2"/>
  <c r="M647" i="2" s="1"/>
  <c r="J866" i="2"/>
  <c r="M866" i="2" s="1"/>
  <c r="J206" i="2"/>
  <c r="M206" i="2" s="1"/>
  <c r="J43" i="2"/>
  <c r="M43" i="2" s="1"/>
  <c r="J534" i="2"/>
  <c r="M534" i="2" s="1"/>
  <c r="J671" i="2"/>
  <c r="M671" i="2" s="1"/>
  <c r="J712" i="2"/>
  <c r="M712" i="2" s="1"/>
  <c r="J181" i="2"/>
  <c r="M181" i="2" s="1"/>
  <c r="J389" i="2"/>
  <c r="M389" i="2" s="1"/>
  <c r="J289" i="2"/>
  <c r="M289" i="2" s="1"/>
  <c r="J319" i="2"/>
  <c r="M319" i="2" s="1"/>
  <c r="J743" i="2"/>
  <c r="M743" i="2" s="1"/>
  <c r="J222" i="2"/>
  <c r="M222" i="2" s="1"/>
  <c r="J716" i="2"/>
  <c r="M716" i="2" s="1"/>
  <c r="J741" i="2"/>
  <c r="M741" i="2" s="1"/>
  <c r="J200" i="2"/>
  <c r="M200" i="2" s="1"/>
  <c r="J985" i="2"/>
  <c r="M985" i="2" s="1"/>
  <c r="J708" i="2"/>
  <c r="M708" i="2" s="1"/>
  <c r="J822" i="2"/>
  <c r="M822" i="2" s="1"/>
  <c r="J426" i="2"/>
  <c r="M426" i="2" s="1"/>
  <c r="J532" i="2"/>
  <c r="M532" i="2" s="1"/>
  <c r="J244" i="2"/>
  <c r="M244" i="2" s="1"/>
  <c r="J207" i="2"/>
  <c r="M207" i="2" s="1"/>
  <c r="J309" i="2"/>
  <c r="M309" i="2" s="1"/>
  <c r="J529" i="2"/>
  <c r="M529" i="2" s="1"/>
  <c r="J480" i="2"/>
  <c r="M480" i="2" s="1"/>
  <c r="J226" i="2"/>
  <c r="M226" i="2" s="1"/>
  <c r="J511" i="2"/>
  <c r="M511" i="2" s="1"/>
  <c r="J356" i="2"/>
  <c r="M356" i="2" s="1"/>
  <c r="J448" i="2"/>
  <c r="M448" i="2" s="1"/>
  <c r="J70" i="2"/>
  <c r="M70" i="2" s="1"/>
  <c r="J747" i="2"/>
  <c r="M747" i="2" s="1"/>
  <c r="J299" i="2"/>
  <c r="M299" i="2" s="1"/>
  <c r="J609" i="2"/>
  <c r="M609" i="2" s="1"/>
  <c r="J642" i="2"/>
  <c r="M642" i="2" s="1"/>
  <c r="J530" i="2"/>
  <c r="M530" i="2" s="1"/>
  <c r="J179" i="2"/>
  <c r="M179" i="2" s="1"/>
  <c r="J792" i="2"/>
  <c r="M792" i="2" s="1"/>
  <c r="J650" i="2"/>
  <c r="M650" i="2" s="1"/>
  <c r="J722" i="2"/>
  <c r="M722" i="2" s="1"/>
  <c r="J322" i="2"/>
  <c r="M322" i="2" s="1"/>
  <c r="J545" i="2"/>
  <c r="M545" i="2" s="1"/>
  <c r="J826" i="2"/>
  <c r="M826" i="2" s="1"/>
  <c r="J888" i="2"/>
  <c r="M888" i="2" s="1"/>
  <c r="J879" i="2"/>
  <c r="M879" i="2" s="1"/>
  <c r="J298" i="2"/>
  <c r="M298" i="2" s="1"/>
  <c r="J752" i="2"/>
  <c r="M752" i="2" s="1"/>
  <c r="J972" i="2"/>
  <c r="M972" i="2" s="1"/>
  <c r="J851" i="2"/>
  <c r="M851" i="2" s="1"/>
  <c r="J936" i="2"/>
  <c r="M936" i="2" s="1"/>
  <c r="J156" i="2"/>
  <c r="M156" i="2" s="1"/>
  <c r="J700" i="2"/>
  <c r="M700" i="2" s="1"/>
  <c r="J155" i="2"/>
  <c r="M155" i="2" s="1"/>
  <c r="J570" i="2"/>
  <c r="M570" i="2" s="1"/>
  <c r="J815" i="2"/>
  <c r="M815" i="2" s="1"/>
  <c r="J913" i="2"/>
  <c r="M913" i="2" s="1"/>
  <c r="J214" i="2"/>
  <c r="M214" i="2" s="1"/>
  <c r="J116" i="2"/>
  <c r="M116" i="2" s="1"/>
  <c r="J629" i="2"/>
  <c r="M629" i="2" s="1"/>
  <c r="J887" i="2"/>
  <c r="M887" i="2" s="1"/>
  <c r="J79" i="2"/>
  <c r="M79" i="2" s="1"/>
  <c r="J506" i="2"/>
  <c r="M506" i="2" s="1"/>
  <c r="J489" i="2"/>
  <c r="M489" i="2" s="1"/>
  <c r="J974" i="2"/>
  <c r="M974" i="2" s="1"/>
  <c r="J713" i="2"/>
  <c r="M713" i="2" s="1"/>
  <c r="J999" i="2"/>
  <c r="M999" i="2" s="1"/>
  <c r="J787" i="2"/>
  <c r="M787" i="2" s="1"/>
  <c r="J198" i="2"/>
  <c r="M198" i="2" s="1"/>
  <c r="J603" i="2"/>
  <c r="M603" i="2" s="1"/>
  <c r="J789" i="2"/>
  <c r="M789" i="2" s="1"/>
  <c r="J696" i="2"/>
  <c r="M696" i="2" s="1"/>
  <c r="J500" i="2"/>
  <c r="M500" i="2" s="1"/>
  <c r="J32" i="2"/>
  <c r="M32" i="2" s="1"/>
  <c r="J753" i="2"/>
  <c r="M753" i="2" s="1"/>
  <c r="J885" i="2"/>
  <c r="M885" i="2" s="1"/>
  <c r="J421" i="2"/>
  <c r="M421" i="2" s="1"/>
  <c r="J353" i="2"/>
  <c r="M353" i="2" s="1"/>
  <c r="J854" i="2"/>
  <c r="M854" i="2" s="1"/>
  <c r="J801" i="2"/>
  <c r="M801" i="2" s="1"/>
  <c r="J231" i="2"/>
  <c r="M231" i="2" s="1"/>
  <c r="J126" i="2"/>
  <c r="M126" i="2" s="1"/>
  <c r="J559" i="2"/>
  <c r="M559" i="2" s="1"/>
  <c r="J172" i="2"/>
  <c r="M172" i="2" s="1"/>
  <c r="J503" i="2"/>
  <c r="M503" i="2" s="1"/>
  <c r="J640" i="2"/>
  <c r="M640" i="2" s="1"/>
  <c r="J170" i="2"/>
  <c r="M170" i="2" s="1"/>
  <c r="J760" i="2"/>
  <c r="M760" i="2" s="1"/>
  <c r="J766" i="2"/>
  <c r="M766" i="2" s="1"/>
  <c r="J59" i="2"/>
  <c r="M59" i="2" s="1"/>
  <c r="J864" i="2"/>
  <c r="M864" i="2" s="1"/>
  <c r="J484" i="2"/>
  <c r="M484" i="2" s="1"/>
  <c r="J967" i="2"/>
  <c r="M967" i="2" s="1"/>
  <c r="J110" i="2"/>
  <c r="M110" i="2" s="1"/>
  <c r="J459" i="2"/>
  <c r="M459" i="2" s="1"/>
  <c r="J941" i="2"/>
  <c r="M941" i="2" s="1"/>
  <c r="J865" i="2"/>
  <c r="M865" i="2" s="1"/>
  <c r="J802" i="2"/>
  <c r="M802" i="2" s="1"/>
  <c r="J840" i="2"/>
  <c r="M840" i="2" s="1"/>
  <c r="J557" i="2"/>
  <c r="M557" i="2" s="1"/>
  <c r="J392" i="2"/>
  <c r="M392" i="2" s="1"/>
  <c r="J676" i="2"/>
  <c r="M676" i="2" s="1"/>
  <c r="J431" i="2"/>
  <c r="M431" i="2" s="1"/>
  <c r="J625" i="2"/>
  <c r="M625" i="2" s="1"/>
  <c r="J461" i="2"/>
  <c r="M461" i="2" s="1"/>
  <c r="J471" i="2"/>
  <c r="M471" i="2" s="1"/>
  <c r="J378" i="2"/>
  <c r="M378" i="2" s="1"/>
  <c r="J611" i="2"/>
  <c r="M611" i="2" s="1"/>
  <c r="J235" i="2"/>
  <c r="M235" i="2" s="1"/>
  <c r="J61" i="2"/>
  <c r="M61" i="2" s="1"/>
  <c r="J957" i="2"/>
  <c r="M957" i="2" s="1"/>
  <c r="J53" i="2"/>
  <c r="M53" i="2" s="1"/>
  <c r="J924" i="2"/>
  <c r="M924" i="2" s="1"/>
  <c r="J782" i="2"/>
  <c r="M782" i="2" s="1"/>
  <c r="J779" i="2"/>
  <c r="M779" i="2" s="1"/>
  <c r="J618" i="2"/>
  <c r="M618" i="2" s="1"/>
  <c r="J763" i="2"/>
  <c r="M763" i="2" s="1"/>
  <c r="J247" i="2"/>
  <c r="M247" i="2" s="1"/>
  <c r="J486" i="2"/>
  <c r="M486" i="2" s="1"/>
  <c r="J379" i="2"/>
  <c r="M379" i="2" s="1"/>
  <c r="J27" i="2"/>
  <c r="M27" i="2" s="1"/>
  <c r="J514" i="2"/>
  <c r="M514" i="2" s="1"/>
  <c r="J54" i="2"/>
  <c r="M54" i="2" s="1"/>
  <c r="J169" i="2"/>
  <c r="M169" i="2" s="1"/>
  <c r="J154" i="2"/>
  <c r="M154" i="2" s="1"/>
  <c r="J541" i="2"/>
  <c r="M541" i="2" s="1"/>
  <c r="J660" i="2"/>
  <c r="M660" i="2" s="1"/>
  <c r="J646" i="2"/>
  <c r="M646" i="2" s="1"/>
  <c r="J96" i="2"/>
  <c r="M96" i="2" s="1"/>
  <c r="J928" i="2"/>
  <c r="M928" i="2" s="1"/>
  <c r="J596" i="2"/>
  <c r="M596" i="2" s="1"/>
  <c r="J266" i="2"/>
  <c r="M266" i="2" s="1"/>
  <c r="J689" i="2"/>
  <c r="M689" i="2" s="1"/>
  <c r="J828" i="2"/>
  <c r="M828" i="2" s="1"/>
  <c r="J953" i="2"/>
  <c r="M953" i="2" s="1"/>
  <c r="J553" i="2"/>
  <c r="M553" i="2" s="1"/>
  <c r="J932" i="2"/>
  <c r="M932" i="2" s="1"/>
  <c r="J623" i="2"/>
  <c r="M623" i="2" s="1"/>
  <c r="J218" i="2"/>
  <c r="M218" i="2" s="1"/>
  <c r="J332" i="2"/>
  <c r="M332" i="2" s="1"/>
  <c r="J360" i="2"/>
  <c r="M360" i="2" s="1"/>
  <c r="J83" i="2"/>
  <c r="M83" i="2" s="1"/>
  <c r="J17" i="2"/>
  <c r="M17" i="2" s="1"/>
  <c r="J673" i="2"/>
  <c r="M673" i="2" s="1"/>
  <c r="J162" i="2"/>
  <c r="M162" i="2" s="1"/>
  <c r="J842" i="2"/>
  <c r="M842" i="2" s="1"/>
  <c r="J256" i="2"/>
  <c r="M256" i="2" s="1"/>
  <c r="J444" i="2"/>
  <c r="M444" i="2" s="1"/>
  <c r="J643" i="2"/>
  <c r="M643" i="2" s="1"/>
  <c r="J649" i="2"/>
  <c r="M649" i="2" s="1"/>
  <c r="J124" i="2"/>
  <c r="M124" i="2" s="1"/>
  <c r="J383" i="2"/>
  <c r="M383" i="2" s="1"/>
  <c r="J118" i="2"/>
  <c r="M118" i="2" s="1"/>
  <c r="J988" i="2"/>
  <c r="M988" i="2" s="1"/>
  <c r="J140" i="2"/>
  <c r="M140" i="2" s="1"/>
  <c r="J973" i="2"/>
  <c r="M973" i="2" s="1"/>
  <c r="J533" i="2"/>
  <c r="M533" i="2" s="1"/>
  <c r="J3" i="2"/>
  <c r="M3" i="2" s="1"/>
  <c r="J926" i="2"/>
  <c r="M926" i="2" s="1"/>
  <c r="J699" i="2"/>
  <c r="M699" i="2" s="1"/>
  <c r="J250" i="2"/>
  <c r="M250" i="2" s="1"/>
  <c r="J718" i="2"/>
  <c r="M718" i="2" s="1"/>
  <c r="J186" i="2"/>
  <c r="M186" i="2" s="1"/>
  <c r="J88" i="2"/>
  <c r="M88" i="2" s="1"/>
  <c r="J135" i="2"/>
  <c r="M135" i="2" s="1"/>
  <c r="J11" i="2"/>
  <c r="M11" i="2" s="1"/>
  <c r="J166" i="2"/>
  <c r="M166" i="2" s="1"/>
  <c r="J87" i="2"/>
  <c r="M87" i="2" s="1"/>
  <c r="J412" i="2"/>
  <c r="M412" i="2" s="1"/>
  <c r="J102" i="2"/>
  <c r="M102" i="2" s="1"/>
  <c r="J679" i="2"/>
  <c r="M679" i="2" s="1"/>
  <c r="J773" i="2"/>
  <c r="M773" i="2" s="1"/>
  <c r="J252" i="2"/>
  <c r="M252" i="2" s="1"/>
  <c r="J243" i="2"/>
  <c r="M243" i="2" s="1"/>
  <c r="J891" i="2"/>
  <c r="M891" i="2" s="1"/>
  <c r="J698" i="2"/>
  <c r="M698" i="2" s="1"/>
  <c r="J731" i="2"/>
  <c r="M731" i="2" s="1"/>
  <c r="J439" i="2"/>
  <c r="M439" i="2" s="1"/>
  <c r="J780" i="2"/>
  <c r="M780" i="2" s="1"/>
  <c r="J951" i="2"/>
  <c r="M951" i="2" s="1"/>
  <c r="J684" i="2"/>
  <c r="M684" i="2" s="1"/>
  <c r="J343" i="2"/>
  <c r="M343" i="2" s="1"/>
  <c r="J224" i="2"/>
  <c r="M224" i="2" s="1"/>
  <c r="J277" i="2"/>
  <c r="M277" i="2" s="1"/>
  <c r="J77" i="2"/>
  <c r="M77" i="2" s="1"/>
  <c r="J119" i="2"/>
  <c r="M119" i="2" s="1"/>
  <c r="J690" i="2"/>
  <c r="M690" i="2" s="1"/>
  <c r="J423" i="2"/>
  <c r="M423" i="2" s="1"/>
  <c r="J288" i="2"/>
  <c r="M288" i="2" s="1"/>
  <c r="J666" i="2"/>
  <c r="M666" i="2" s="1"/>
  <c r="J403" i="2"/>
  <c r="M403" i="2" s="1"/>
  <c r="J714" i="2"/>
  <c r="M714" i="2" s="1"/>
  <c r="J704" i="2"/>
  <c r="M704" i="2" s="1"/>
  <c r="J543" i="2"/>
  <c r="M543" i="2" s="1"/>
  <c r="J408" i="2"/>
  <c r="M408" i="2" s="1"/>
  <c r="J954" i="2"/>
  <c r="M954" i="2" s="1"/>
  <c r="J552" i="2"/>
  <c r="M552" i="2" s="1"/>
  <c r="J648" i="2"/>
  <c r="M648" i="2" s="1"/>
  <c r="J811" i="2"/>
  <c r="M811" i="2" s="1"/>
  <c r="J12" i="2"/>
  <c r="M12" i="2" s="1"/>
  <c r="J750" i="2"/>
  <c r="M750" i="2" s="1"/>
  <c r="J63" i="2"/>
  <c r="M63" i="2" s="1"/>
  <c r="J76" i="2"/>
  <c r="M76" i="2" s="1"/>
  <c r="J518" i="2"/>
  <c r="M518" i="2" s="1"/>
  <c r="J771" i="2"/>
  <c r="M771" i="2" s="1"/>
  <c r="J427" i="2"/>
  <c r="M427" i="2" s="1"/>
  <c r="J246" i="2"/>
  <c r="M246" i="2" s="1"/>
  <c r="J809" i="2"/>
  <c r="M809" i="2" s="1"/>
  <c r="J509" i="2"/>
  <c r="M509" i="2" s="1"/>
  <c r="J833" i="2"/>
  <c r="M833" i="2" s="1"/>
  <c r="J100" i="2"/>
  <c r="M100" i="2" s="1"/>
  <c r="J634" i="2"/>
  <c r="M634" i="2" s="1"/>
  <c r="J115" i="2"/>
  <c r="M115" i="2" s="1"/>
  <c r="J381" i="2"/>
  <c r="M381" i="2" s="1"/>
  <c r="J19" i="2"/>
  <c r="M19" i="2" s="1"/>
  <c r="J48" i="2"/>
  <c r="M48" i="2" s="1"/>
  <c r="J683" i="2"/>
  <c r="M683" i="2" s="1"/>
  <c r="J585" i="2"/>
  <c r="M585" i="2" s="1"/>
  <c r="J707" i="2"/>
  <c r="M707" i="2" s="1"/>
  <c r="J621" i="2"/>
  <c r="M621" i="2" s="1"/>
  <c r="J1000" i="2"/>
  <c r="M1000" i="2" s="1"/>
  <c r="J101" i="2"/>
  <c r="M101" i="2" s="1"/>
  <c r="J171" i="2"/>
  <c r="M171" i="2" s="1"/>
  <c r="J958" i="2"/>
  <c r="M958" i="2" s="1"/>
  <c r="J979" i="2"/>
  <c r="M979" i="2" s="1"/>
  <c r="J624" i="2"/>
  <c r="M624" i="2" s="1"/>
  <c r="J729" i="2"/>
  <c r="M729" i="2" s="1"/>
  <c r="J414" i="2"/>
  <c r="M414" i="2" s="1"/>
  <c r="J185" i="2"/>
  <c r="M185" i="2" s="1"/>
  <c r="J26" i="2"/>
  <c r="M26" i="2" s="1"/>
  <c r="J210" i="2"/>
  <c r="M210" i="2" s="1"/>
  <c r="J907" i="2"/>
  <c r="M907" i="2" s="1"/>
  <c r="J681" i="2"/>
  <c r="M681" i="2" s="1"/>
  <c r="J807" i="2"/>
  <c r="M807" i="2" s="1"/>
  <c r="J785" i="2"/>
  <c r="M785" i="2" s="1"/>
  <c r="J280" i="2"/>
  <c r="M280" i="2" s="1"/>
  <c r="J137" i="2"/>
  <c r="M137" i="2" s="1"/>
  <c r="J778" i="2"/>
  <c r="M778" i="2" s="1"/>
  <c r="J922" i="2"/>
  <c r="M922" i="2" s="1"/>
  <c r="J287" i="2"/>
  <c r="M287" i="2" s="1"/>
  <c r="J406" i="2"/>
  <c r="M406" i="2" s="1"/>
  <c r="J194" i="2"/>
  <c r="M194" i="2" s="1"/>
  <c r="J14" i="2"/>
  <c r="M14" i="2" s="1"/>
  <c r="J234" i="2"/>
  <c r="M234" i="2" s="1"/>
  <c r="J829" i="2"/>
  <c r="M829" i="2" s="1"/>
  <c r="J990" i="2"/>
  <c r="M990" i="2" s="1"/>
  <c r="J976" i="2"/>
  <c r="M976" i="2" s="1"/>
  <c r="J396" i="2"/>
  <c r="M396" i="2" s="1"/>
  <c r="J488" i="2"/>
  <c r="M488" i="2" s="1"/>
  <c r="L816" i="2" l="1"/>
  <c r="N816" i="2" s="1"/>
  <c r="T816" i="2" s="1"/>
  <c r="L890" i="2"/>
  <c r="N890" i="2" s="1"/>
  <c r="T890" i="2" s="1"/>
  <c r="L963" i="2"/>
  <c r="N963" i="2" s="1"/>
  <c r="T963" i="2" s="1"/>
  <c r="L515" i="2"/>
  <c r="N515" i="2" s="1"/>
  <c r="T515" i="2" s="1"/>
  <c r="L526" i="2"/>
  <c r="N526" i="2" s="1"/>
  <c r="T526" i="2" s="1"/>
  <c r="L293" i="2"/>
  <c r="N293" i="2" s="1"/>
  <c r="T293" i="2" s="1"/>
  <c r="L561" i="2"/>
  <c r="N561" i="2" s="1"/>
  <c r="T561" i="2" s="1"/>
  <c r="L194" i="2"/>
  <c r="N194" i="2" s="1"/>
  <c r="T194" i="2" s="1"/>
  <c r="L954" i="2"/>
  <c r="N954" i="2" s="1"/>
  <c r="T954" i="2" s="1"/>
  <c r="L11" i="2"/>
  <c r="N11" i="2" s="1"/>
  <c r="T11" i="2" s="1"/>
  <c r="L279" i="2"/>
  <c r="N279" i="2" s="1"/>
  <c r="T279" i="2" s="1"/>
  <c r="L15" i="2"/>
  <c r="N15" i="2" s="1"/>
  <c r="T15" i="2" s="1"/>
  <c r="L936" i="2"/>
  <c r="N936" i="2" s="1"/>
  <c r="T936" i="2" s="1"/>
  <c r="L70" i="2"/>
  <c r="N70" i="2" s="1"/>
  <c r="T70" i="2" s="1"/>
  <c r="L181" i="2"/>
  <c r="N181" i="2" s="1"/>
  <c r="T181" i="2" s="1"/>
  <c r="L440" i="2"/>
  <c r="N440" i="2" s="1"/>
  <c r="T440" i="2" s="1"/>
  <c r="L117" i="2"/>
  <c r="N117" i="2" s="1"/>
  <c r="T117" i="2" s="1"/>
  <c r="L229" i="2"/>
  <c r="N229" i="2" s="1"/>
  <c r="T229" i="2" s="1"/>
  <c r="L672" i="2"/>
  <c r="N672" i="2" s="1"/>
  <c r="T672" i="2" s="1"/>
  <c r="L307" i="2"/>
  <c r="N307" i="2" s="1"/>
  <c r="T307" i="2" s="1"/>
  <c r="L554" i="2"/>
  <c r="N554" i="2" s="1"/>
  <c r="T554" i="2" s="1"/>
  <c r="L918" i="2"/>
  <c r="N918" i="2" s="1"/>
  <c r="T918" i="2" s="1"/>
  <c r="L174" i="2"/>
  <c r="N174" i="2" s="1"/>
  <c r="T174" i="2" s="1"/>
  <c r="L275" i="2"/>
  <c r="N275" i="2" s="1"/>
  <c r="T275" i="2" s="1"/>
  <c r="L777" i="2"/>
  <c r="N777" i="2" s="1"/>
  <c r="T777" i="2" s="1"/>
  <c r="L427" i="2"/>
  <c r="N427" i="2" s="1"/>
  <c r="T427" i="2" s="1"/>
  <c r="L158" i="2"/>
  <c r="N158" i="2" s="1"/>
  <c r="T158" i="2" s="1"/>
  <c r="L694" i="2"/>
  <c r="N694" i="2" s="1"/>
  <c r="T694" i="2" s="1"/>
  <c r="L385" i="2"/>
  <c r="N385" i="2" s="1"/>
  <c r="T385" i="2" s="1"/>
  <c r="L327" i="2"/>
  <c r="N327" i="2" s="1"/>
  <c r="T327" i="2" s="1"/>
  <c r="L685" i="2"/>
  <c r="N685" i="2" s="1"/>
  <c r="T685" i="2" s="1"/>
  <c r="L9" i="2"/>
  <c r="N9" i="2" s="1"/>
  <c r="T9" i="2" s="1"/>
  <c r="L67" i="2"/>
  <c r="N67" i="2" s="1"/>
  <c r="T67" i="2" s="1"/>
  <c r="L594" i="2"/>
  <c r="N594" i="2" s="1"/>
  <c r="T594" i="2" s="1"/>
  <c r="L370" i="2"/>
  <c r="N370" i="2" s="1"/>
  <c r="T370" i="2" s="1"/>
  <c r="L26" i="2"/>
  <c r="N26" i="2" s="1"/>
  <c r="T26" i="2" s="1"/>
  <c r="L8" i="2"/>
  <c r="N8" i="2" s="1"/>
  <c r="T8" i="2" s="1"/>
  <c r="L465" i="2"/>
  <c r="N465" i="2" s="1"/>
  <c r="T465" i="2" s="1"/>
  <c r="L351" i="2"/>
  <c r="N351" i="2" s="1"/>
  <c r="T351" i="2" s="1"/>
  <c r="L757" i="2"/>
  <c r="N757" i="2" s="1"/>
  <c r="T757" i="2" s="1"/>
  <c r="L349" i="2"/>
  <c r="N349" i="2" s="1"/>
  <c r="T349" i="2" s="1"/>
  <c r="L314" i="2"/>
  <c r="N314" i="2" s="1"/>
  <c r="T314" i="2" s="1"/>
  <c r="L133" i="2"/>
  <c r="N133" i="2" s="1"/>
  <c r="T133" i="2" s="1"/>
  <c r="L814" i="2"/>
  <c r="N814" i="2" s="1"/>
  <c r="T814" i="2" s="1"/>
  <c r="L303" i="2"/>
  <c r="N303" i="2" s="1"/>
  <c r="T303" i="2" s="1"/>
  <c r="L163" i="2"/>
  <c r="N163" i="2" s="1"/>
  <c r="T163" i="2" s="1"/>
  <c r="L585" i="2"/>
  <c r="N585" i="2" s="1"/>
  <c r="T585" i="2" s="1"/>
  <c r="L589" i="2"/>
  <c r="N589" i="2" s="1"/>
  <c r="T589" i="2" s="1"/>
  <c r="L214" i="2"/>
  <c r="N214" i="2" s="1"/>
  <c r="T214" i="2" s="1"/>
  <c r="L994" i="2"/>
  <c r="N994" i="2" s="1"/>
  <c r="T994" i="2" s="1"/>
  <c r="L895" i="2"/>
  <c r="N895" i="2" s="1"/>
  <c r="T895" i="2" s="1"/>
  <c r="L868" i="2"/>
  <c r="N868" i="2" s="1"/>
  <c r="T868" i="2" s="1"/>
  <c r="L756" i="2"/>
  <c r="N756" i="2" s="1"/>
  <c r="T756" i="2" s="1"/>
  <c r="L522" i="2"/>
  <c r="N522" i="2" s="1"/>
  <c r="T522" i="2" s="1"/>
  <c r="L339" i="2"/>
  <c r="N339" i="2" s="1"/>
  <c r="T339" i="2" s="1"/>
  <c r="L178" i="2"/>
  <c r="N178" i="2" s="1"/>
  <c r="T178" i="2" s="1"/>
  <c r="L578" i="2"/>
  <c r="N578" i="2" s="1"/>
  <c r="T578" i="2" s="1"/>
  <c r="L46" i="2"/>
  <c r="N46" i="2" s="1"/>
  <c r="T46" i="2" s="1"/>
  <c r="L632" i="2"/>
  <c r="N632" i="2" s="1"/>
  <c r="T632" i="2" s="1"/>
  <c r="L45" i="2"/>
  <c r="N45" i="2" s="1"/>
  <c r="T45" i="2" s="1"/>
  <c r="L278" i="2"/>
  <c r="N278" i="2" s="1"/>
  <c r="T278" i="2" s="1"/>
  <c r="L671" i="2"/>
  <c r="N671" i="2" s="1"/>
  <c r="T671" i="2" s="1"/>
  <c r="L428" i="2"/>
  <c r="N428" i="2" s="1"/>
  <c r="T428" i="2" s="1"/>
  <c r="L754" i="2"/>
  <c r="N754" i="2" s="1"/>
  <c r="T754" i="2" s="1"/>
  <c r="L295" i="2"/>
  <c r="N295" i="2" s="1"/>
  <c r="T295" i="2" s="1"/>
  <c r="L185" i="2"/>
  <c r="N185" i="2" s="1"/>
  <c r="T185" i="2" s="1"/>
  <c r="L88" i="2"/>
  <c r="N88" i="2" s="1"/>
  <c r="T88" i="2" s="1"/>
  <c r="L113" i="2"/>
  <c r="N113" i="2" s="1"/>
  <c r="T113" i="2" s="1"/>
  <c r="L900" i="2"/>
  <c r="N900" i="2" s="1"/>
  <c r="T900" i="2" s="1"/>
  <c r="L712" i="2"/>
  <c r="N712" i="2" s="1"/>
  <c r="T712" i="2" s="1"/>
  <c r="L616" i="2"/>
  <c r="N616" i="2" s="1"/>
  <c r="T616" i="2" s="1"/>
  <c r="L687" i="2"/>
  <c r="N687" i="2" s="1"/>
  <c r="T687" i="2" s="1"/>
  <c r="L52" i="2"/>
  <c r="N52" i="2" s="1"/>
  <c r="T52" i="2" s="1"/>
  <c r="L184" i="2"/>
  <c r="N184" i="2" s="1"/>
  <c r="T184" i="2" s="1"/>
  <c r="L451" i="2"/>
  <c r="N451" i="2" s="1"/>
  <c r="T451" i="2" s="1"/>
  <c r="L455" i="2"/>
  <c r="N455" i="2" s="1"/>
  <c r="T455" i="2" s="1"/>
  <c r="L57" i="2"/>
  <c r="N57" i="2" s="1"/>
  <c r="T57" i="2" s="1"/>
  <c r="L461" i="2"/>
  <c r="N461" i="2" s="1"/>
  <c r="T461" i="2" s="1"/>
  <c r="L556" i="2"/>
  <c r="N556" i="2" s="1"/>
  <c r="T556" i="2" s="1"/>
  <c r="L847" i="2"/>
  <c r="N847" i="2" s="1"/>
  <c r="T847" i="2" s="1"/>
  <c r="L450" i="2"/>
  <c r="N450" i="2" s="1"/>
  <c r="T450" i="2" s="1"/>
  <c r="L3" i="2"/>
  <c r="N3" i="2" s="1"/>
  <c r="T3" i="2" s="1"/>
  <c r="L128" i="2"/>
  <c r="N128" i="2" s="1"/>
  <c r="T128" i="2" s="1"/>
  <c r="L59" i="2"/>
  <c r="N59" i="2" s="1"/>
  <c r="T59" i="2" s="1"/>
  <c r="L875" i="2"/>
  <c r="N875" i="2" s="1"/>
  <c r="T875" i="2" s="1"/>
  <c r="L25" i="2"/>
  <c r="N25" i="2" s="1"/>
  <c r="T25" i="2" s="1"/>
  <c r="L435" i="2"/>
  <c r="N435" i="2" s="1"/>
  <c r="T435" i="2" s="1"/>
  <c r="L558" i="2"/>
  <c r="N558" i="2" s="1"/>
  <c r="T558" i="2" s="1"/>
  <c r="L76" i="2"/>
  <c r="N76" i="2" s="1"/>
  <c r="T76" i="2" s="1"/>
  <c r="L270" i="2"/>
  <c r="N270" i="2" s="1"/>
  <c r="T270" i="2" s="1"/>
  <c r="L467" i="2"/>
  <c r="N467" i="2" s="1"/>
  <c r="T467" i="2" s="1"/>
  <c r="L272" i="2"/>
  <c r="N272" i="2" s="1"/>
  <c r="T272" i="2" s="1"/>
  <c r="L219" i="2"/>
  <c r="N219" i="2" s="1"/>
  <c r="T219" i="2" s="1"/>
  <c r="L42" i="2"/>
  <c r="N42" i="2" s="1"/>
  <c r="T42" i="2" s="1"/>
  <c r="L381" i="2"/>
  <c r="N381" i="2" s="1"/>
  <c r="T381" i="2" s="1"/>
  <c r="L969" i="2"/>
  <c r="N969" i="2" s="1"/>
  <c r="T969" i="2" s="1"/>
  <c r="L422" i="2"/>
  <c r="N422" i="2" s="1"/>
  <c r="T422" i="2" s="1"/>
  <c r="L464" i="2"/>
  <c r="N464" i="2" s="1"/>
  <c r="T464" i="2" s="1"/>
  <c r="L651" i="2"/>
  <c r="N651" i="2" s="1"/>
  <c r="T651" i="2" s="1"/>
  <c r="L983" i="2"/>
  <c r="N983" i="2" s="1"/>
  <c r="T983" i="2" s="1"/>
  <c r="L271" i="2"/>
  <c r="N271" i="2" s="1"/>
  <c r="T271" i="2" s="1"/>
  <c r="L338" i="2"/>
  <c r="N338" i="2" s="1"/>
  <c r="T338" i="2" s="1"/>
  <c r="L291" i="2"/>
  <c r="N291" i="2" s="1"/>
  <c r="T291" i="2" s="1"/>
  <c r="L357" i="2"/>
  <c r="N357" i="2" s="1"/>
  <c r="T357" i="2" s="1"/>
  <c r="L921" i="2"/>
  <c r="N921" i="2" s="1"/>
  <c r="T921" i="2" s="1"/>
  <c r="L364" i="2"/>
  <c r="N364" i="2" s="1"/>
  <c r="T364" i="2" s="1"/>
  <c r="L840" i="2"/>
  <c r="N840" i="2" s="1"/>
  <c r="T840" i="2" s="1"/>
  <c r="L68" i="2"/>
  <c r="N68" i="2" s="1"/>
  <c r="T68" i="2" s="1"/>
  <c r="L384" i="2"/>
  <c r="N384" i="2" s="1"/>
  <c r="T384" i="2" s="1"/>
  <c r="L531" i="2"/>
  <c r="N531" i="2" s="1"/>
  <c r="T531" i="2" s="1"/>
  <c r="L689" i="2"/>
  <c r="N689" i="2" s="1"/>
  <c r="T689" i="2" s="1"/>
  <c r="L773" i="2"/>
  <c r="N773" i="2" s="1"/>
  <c r="T773" i="2" s="1"/>
  <c r="L549" i="2"/>
  <c r="N549" i="2" s="1"/>
  <c r="T549" i="2" s="1"/>
  <c r="L916" i="2"/>
  <c r="N916" i="2" s="1"/>
  <c r="T916" i="2" s="1"/>
  <c r="L121" i="2"/>
  <c r="N121" i="2" s="1"/>
  <c r="T121" i="2" s="1"/>
  <c r="L56" i="2"/>
  <c r="N56" i="2" s="1"/>
  <c r="T56" i="2" s="1"/>
  <c r="L345" i="2"/>
  <c r="N345" i="2" s="1"/>
  <c r="T345" i="2" s="1"/>
  <c r="L494" i="2"/>
  <c r="N494" i="2" s="1"/>
  <c r="T494" i="2" s="1"/>
  <c r="L744" i="2"/>
  <c r="N744" i="2" s="1"/>
  <c r="T744" i="2" s="1"/>
  <c r="L647" i="2"/>
  <c r="N647" i="2" s="1"/>
  <c r="T647" i="2" s="1"/>
  <c r="L930" i="2"/>
  <c r="N930" i="2" s="1"/>
  <c r="T930" i="2" s="1"/>
  <c r="L703" i="2"/>
  <c r="N703" i="2" s="1"/>
  <c r="T703" i="2" s="1"/>
  <c r="L333" i="2"/>
  <c r="N333" i="2" s="1"/>
  <c r="T333" i="2" s="1"/>
  <c r="L976" i="2"/>
  <c r="N976" i="2" s="1"/>
  <c r="T976" i="2" s="1"/>
  <c r="L63" i="2"/>
  <c r="N63" i="2" s="1"/>
  <c r="T63" i="2" s="1"/>
  <c r="L458" i="2"/>
  <c r="N458" i="2" s="1"/>
  <c r="T458" i="2" s="1"/>
  <c r="L401" i="2"/>
  <c r="N401" i="2" s="1"/>
  <c r="T401" i="2" s="1"/>
  <c r="L373" i="2"/>
  <c r="N373" i="2" s="1"/>
  <c r="T373" i="2" s="1"/>
  <c r="L261" i="2"/>
  <c r="N261" i="2" s="1"/>
  <c r="T261" i="2" s="1"/>
  <c r="L372" i="2"/>
  <c r="N372" i="2" s="1"/>
  <c r="T372" i="2" s="1"/>
  <c r="L50" i="2"/>
  <c r="N50" i="2" s="1"/>
  <c r="T50" i="2" s="1"/>
  <c r="L405" i="2"/>
  <c r="N405" i="2" s="1"/>
  <c r="T405" i="2" s="1"/>
  <c r="L150" i="2"/>
  <c r="N150" i="2" s="1"/>
  <c r="T150" i="2" s="1"/>
  <c r="L739" i="2"/>
  <c r="N739" i="2" s="1"/>
  <c r="T739" i="2" s="1"/>
  <c r="L387" i="2"/>
  <c r="N387" i="2" s="1"/>
  <c r="T387" i="2" s="1"/>
  <c r="L941" i="2"/>
  <c r="N941" i="2" s="1"/>
  <c r="T941" i="2" s="1"/>
  <c r="L652" i="2"/>
  <c r="N652" i="2" s="1"/>
  <c r="T652" i="2" s="1"/>
  <c r="L337" i="2"/>
  <c r="N337" i="2" s="1"/>
  <c r="T337" i="2" s="1"/>
  <c r="L761" i="2"/>
  <c r="N761" i="2" s="1"/>
  <c r="T761" i="2" s="1"/>
  <c r="L864" i="2"/>
  <c r="N864" i="2" s="1"/>
  <c r="T864" i="2" s="1"/>
  <c r="L96" i="2"/>
  <c r="N96" i="2" s="1"/>
  <c r="T96" i="2" s="1"/>
  <c r="L794" i="2"/>
  <c r="N794" i="2" s="1"/>
  <c r="T794" i="2" s="1"/>
  <c r="L576" i="2"/>
  <c r="N576" i="2" s="1"/>
  <c r="T576" i="2" s="1"/>
  <c r="L735" i="2"/>
  <c r="N735" i="2" s="1"/>
  <c r="T735" i="2" s="1"/>
  <c r="L230" i="2"/>
  <c r="N230" i="2" s="1"/>
  <c r="T230" i="2" s="1"/>
  <c r="L874" i="2"/>
  <c r="N874" i="2" s="1"/>
  <c r="T874" i="2" s="1"/>
  <c r="L905" i="2"/>
  <c r="N905" i="2" s="1"/>
  <c r="T905" i="2" s="1"/>
  <c r="L320" i="2"/>
  <c r="N320" i="2" s="1"/>
  <c r="T320" i="2" s="1"/>
  <c r="L24" i="2"/>
  <c r="N24" i="2" s="1"/>
  <c r="T24" i="2" s="1"/>
  <c r="L149" i="2"/>
  <c r="N149" i="2" s="1"/>
  <c r="T149" i="2" s="1"/>
  <c r="L146" i="2"/>
  <c r="N146" i="2" s="1"/>
  <c r="T146" i="2" s="1"/>
  <c r="L93" i="2"/>
  <c r="N93" i="2" s="1"/>
  <c r="T93" i="2" s="1"/>
  <c r="L397" i="2"/>
  <c r="N397" i="2" s="1"/>
  <c r="T397" i="2" s="1"/>
  <c r="L446" i="2"/>
  <c r="N446" i="2" s="1"/>
  <c r="T446" i="2" s="1"/>
  <c r="L960" i="2"/>
  <c r="N960" i="2" s="1"/>
  <c r="T960" i="2" s="1"/>
  <c r="L217" i="2"/>
  <c r="N217" i="2" s="1"/>
  <c r="T217" i="2" s="1"/>
  <c r="L748" i="2"/>
  <c r="N748" i="2" s="1"/>
  <c r="T748" i="2" s="1"/>
  <c r="L598" i="2"/>
  <c r="N598" i="2" s="1"/>
  <c r="T598" i="2" s="1"/>
  <c r="L242" i="2"/>
  <c r="N242" i="2" s="1"/>
  <c r="T242" i="2" s="1"/>
  <c r="L990" i="2"/>
  <c r="N990" i="2" s="1"/>
  <c r="T990" i="2" s="1"/>
  <c r="L280" i="2"/>
  <c r="N280" i="2" s="1"/>
  <c r="T280" i="2" s="1"/>
  <c r="L979" i="2"/>
  <c r="N979" i="2" s="1"/>
  <c r="T979" i="2" s="1"/>
  <c r="L634" i="2"/>
  <c r="N634" i="2" s="1"/>
  <c r="T634" i="2" s="1"/>
  <c r="L750" i="2"/>
  <c r="N750" i="2" s="1"/>
  <c r="T750" i="2" s="1"/>
  <c r="L77" i="2"/>
  <c r="N77" i="2" s="1"/>
  <c r="T77" i="2" s="1"/>
  <c r="L626" i="2"/>
  <c r="N626" i="2" s="1"/>
  <c r="T626" i="2" s="1"/>
  <c r="L215" i="2"/>
  <c r="N215" i="2" s="1"/>
  <c r="T215" i="2" s="1"/>
  <c r="L762" i="2"/>
  <c r="N762" i="2" s="1"/>
  <c r="T762" i="2" s="1"/>
  <c r="L504" i="2"/>
  <c r="N504" i="2" s="1"/>
  <c r="T504" i="2" s="1"/>
  <c r="L860" i="2"/>
  <c r="N860" i="2" s="1"/>
  <c r="T860" i="2" s="1"/>
  <c r="L871" i="2"/>
  <c r="N871" i="2" s="1"/>
  <c r="T871" i="2" s="1"/>
  <c r="L582" i="2"/>
  <c r="N582" i="2" s="1"/>
  <c r="T582" i="2" s="1"/>
  <c r="L155" i="2"/>
  <c r="N155" i="2" s="1"/>
  <c r="T155" i="2" s="1"/>
  <c r="L879" i="2"/>
  <c r="N879" i="2" s="1"/>
  <c r="T879" i="2" s="1"/>
  <c r="L179" i="2"/>
  <c r="N179" i="2" s="1"/>
  <c r="T179" i="2" s="1"/>
  <c r="L511" i="2"/>
  <c r="N511" i="2" s="1"/>
  <c r="T511" i="2" s="1"/>
  <c r="L426" i="2"/>
  <c r="N426" i="2" s="1"/>
  <c r="T426" i="2" s="1"/>
  <c r="L721" i="2"/>
  <c r="N721" i="2" s="1"/>
  <c r="T721" i="2" s="1"/>
  <c r="L206" i="2"/>
  <c r="N206" i="2" s="1"/>
  <c r="T206" i="2" s="1"/>
  <c r="L537" i="2"/>
  <c r="N537" i="2" s="1"/>
  <c r="T537" i="2" s="1"/>
  <c r="L64" i="2"/>
  <c r="N64" i="2" s="1"/>
  <c r="T64" i="2" s="1"/>
  <c r="L311" i="2"/>
  <c r="N311" i="2" s="1"/>
  <c r="T311" i="2" s="1"/>
  <c r="L85" i="2"/>
  <c r="N85" i="2" s="1"/>
  <c r="T85" i="2" s="1"/>
  <c r="L296" i="2"/>
  <c r="N296" i="2" s="1"/>
  <c r="T296" i="2" s="1"/>
  <c r="L221" i="2"/>
  <c r="N221" i="2" s="1"/>
  <c r="T221" i="2" s="1"/>
  <c r="L388" i="2"/>
  <c r="N388" i="2" s="1"/>
  <c r="T388" i="2" s="1"/>
  <c r="L267" i="2"/>
  <c r="N267" i="2" s="1"/>
  <c r="T267" i="2" s="1"/>
  <c r="L813" i="2"/>
  <c r="N813" i="2" s="1"/>
  <c r="T813" i="2" s="1"/>
  <c r="L341" i="2"/>
  <c r="N341" i="2" s="1"/>
  <c r="T341" i="2" s="1"/>
  <c r="L159" i="2"/>
  <c r="N159" i="2" s="1"/>
  <c r="T159" i="2" s="1"/>
  <c r="L297" i="2"/>
  <c r="N297" i="2" s="1"/>
  <c r="T297" i="2" s="1"/>
  <c r="L350" i="2"/>
  <c r="N350" i="2" s="1"/>
  <c r="T350" i="2" s="1"/>
  <c r="L475" i="2"/>
  <c r="N475" i="2" s="1"/>
  <c r="T475" i="2" s="1"/>
  <c r="L989" i="2"/>
  <c r="N989" i="2" s="1"/>
  <c r="T989" i="2" s="1"/>
  <c r="L878" i="2"/>
  <c r="N878" i="2" s="1"/>
  <c r="T878" i="2" s="1"/>
  <c r="L72" i="2"/>
  <c r="N72" i="2" s="1"/>
  <c r="T72" i="2" s="1"/>
  <c r="L583" i="2"/>
  <c r="N583" i="2" s="1"/>
  <c r="T583" i="2" s="1"/>
  <c r="L770" i="2"/>
  <c r="N770" i="2" s="1"/>
  <c r="T770" i="2" s="1"/>
  <c r="L893" i="2"/>
  <c r="N893" i="2" s="1"/>
  <c r="T893" i="2" s="1"/>
  <c r="L560" i="2"/>
  <c r="N560" i="2" s="1"/>
  <c r="T560" i="2" s="1"/>
  <c r="L514" i="2"/>
  <c r="N514" i="2" s="1"/>
  <c r="T514" i="2" s="1"/>
  <c r="L587" i="2"/>
  <c r="N587" i="2" s="1"/>
  <c r="T587" i="2" s="1"/>
  <c r="L884" i="2"/>
  <c r="N884" i="2" s="1"/>
  <c r="T884" i="2" s="1"/>
  <c r="L436" i="2"/>
  <c r="N436" i="2" s="1"/>
  <c r="T436" i="2" s="1"/>
  <c r="L665" i="2"/>
  <c r="N665" i="2" s="1"/>
  <c r="T665" i="2" s="1"/>
  <c r="L73" i="2"/>
  <c r="N73" i="2" s="1"/>
  <c r="T73" i="2" s="1"/>
  <c r="L346" i="2"/>
  <c r="N346" i="2" s="1"/>
  <c r="T346" i="2" s="1"/>
  <c r="L540" i="2"/>
  <c r="N540" i="2" s="1"/>
  <c r="T540" i="2" s="1"/>
  <c r="L182" i="2"/>
  <c r="N182" i="2" s="1"/>
  <c r="T182" i="2" s="1"/>
  <c r="L201" i="2"/>
  <c r="N201" i="2" s="1"/>
  <c r="T201" i="2" s="1"/>
  <c r="L679" i="2"/>
  <c r="N679" i="2" s="1"/>
  <c r="T679" i="2" s="1"/>
  <c r="L54" i="2"/>
  <c r="N54" i="2" s="1"/>
  <c r="T54" i="2" s="1"/>
  <c r="L967" i="2"/>
  <c r="N967" i="2" s="1"/>
  <c r="T967" i="2" s="1"/>
  <c r="L489" i="2"/>
  <c r="N489" i="2" s="1"/>
  <c r="T489" i="2" s="1"/>
  <c r="L630" i="2"/>
  <c r="N630" i="2" s="1"/>
  <c r="T630" i="2" s="1"/>
  <c r="L273" i="2"/>
  <c r="N273" i="2" s="1"/>
  <c r="T273" i="2" s="1"/>
  <c r="L209" i="2"/>
  <c r="N209" i="2" s="1"/>
  <c r="T209" i="2" s="1"/>
  <c r="L920" i="2"/>
  <c r="N920" i="2" s="1"/>
  <c r="T920" i="2" s="1"/>
  <c r="L186" i="2"/>
  <c r="N186" i="2" s="1"/>
  <c r="T186" i="2" s="1"/>
  <c r="L782" i="2"/>
  <c r="N782" i="2" s="1"/>
  <c r="T782" i="2" s="1"/>
  <c r="L503" i="2"/>
  <c r="N503" i="2" s="1"/>
  <c r="T503" i="2" s="1"/>
  <c r="L188" i="2"/>
  <c r="N188" i="2" s="1"/>
  <c r="T188" i="2" s="1"/>
  <c r="L165" i="2"/>
  <c r="N165" i="2" s="1"/>
  <c r="T165" i="2" s="1"/>
  <c r="L805" i="2"/>
  <c r="N805" i="2" s="1"/>
  <c r="T805" i="2" s="1"/>
  <c r="L305" i="2"/>
  <c r="N305" i="2" s="1"/>
  <c r="T305" i="2" s="1"/>
  <c r="L986" i="2"/>
  <c r="N986" i="2" s="1"/>
  <c r="T986" i="2" s="1"/>
  <c r="L806" i="2"/>
  <c r="N806" i="2" s="1"/>
  <c r="T806" i="2" s="1"/>
  <c r="L602" i="2"/>
  <c r="N602" i="2" s="1"/>
  <c r="T602" i="2" s="1"/>
  <c r="L444" i="2"/>
  <c r="N444" i="2" s="1"/>
  <c r="T444" i="2" s="1"/>
  <c r="L154" i="2"/>
  <c r="N154" i="2" s="1"/>
  <c r="T154" i="2" s="1"/>
  <c r="L170" i="2"/>
  <c r="N170" i="2" s="1"/>
  <c r="T170" i="2" s="1"/>
  <c r="L788" i="2"/>
  <c r="N788" i="2" s="1"/>
  <c r="T788" i="2" s="1"/>
  <c r="L380" i="2"/>
  <c r="N380" i="2" s="1"/>
  <c r="T380" i="2" s="1"/>
  <c r="L988" i="2"/>
  <c r="N988" i="2" s="1"/>
  <c r="T988" i="2" s="1"/>
  <c r="L169" i="2"/>
  <c r="N169" i="2" s="1"/>
  <c r="T169" i="2" s="1"/>
  <c r="L789" i="2"/>
  <c r="N789" i="2" s="1"/>
  <c r="T789" i="2" s="1"/>
  <c r="L195" i="2"/>
  <c r="N195" i="2" s="1"/>
  <c r="T195" i="2" s="1"/>
  <c r="L911" i="2"/>
  <c r="N911" i="2" s="1"/>
  <c r="T911" i="2" s="1"/>
  <c r="L508" i="2"/>
  <c r="N508" i="2" s="1"/>
  <c r="T508" i="2" s="1"/>
  <c r="L815" i="2"/>
  <c r="N815" i="2" s="1"/>
  <c r="T815" i="2" s="1"/>
  <c r="L389" i="2"/>
  <c r="N389" i="2" s="1"/>
  <c r="T389" i="2" s="1"/>
  <c r="L869" i="2"/>
  <c r="N869" i="2" s="1"/>
  <c r="T869" i="2" s="1"/>
  <c r="L600" i="2"/>
  <c r="N600" i="2" s="1"/>
  <c r="T600" i="2" s="1"/>
  <c r="L49" i="2"/>
  <c r="N49" i="2" s="1"/>
  <c r="T49" i="2" s="1"/>
  <c r="L203" i="2"/>
  <c r="N203" i="2" s="1"/>
  <c r="T203" i="2" s="1"/>
  <c r="L765" i="2"/>
  <c r="N765" i="2" s="1"/>
  <c r="T765" i="2" s="1"/>
  <c r="L91" i="2"/>
  <c r="N91" i="2" s="1"/>
  <c r="T91" i="2" s="1"/>
  <c r="L281" i="2"/>
  <c r="N281" i="2" s="1"/>
  <c r="T281" i="2" s="1"/>
  <c r="L933" i="2"/>
  <c r="N933" i="2" s="1"/>
  <c r="T933" i="2" s="1"/>
  <c r="L382" i="2"/>
  <c r="N382" i="2" s="1"/>
  <c r="T382" i="2" s="1"/>
  <c r="L239" i="2"/>
  <c r="N239" i="2" s="1"/>
  <c r="T239" i="2" s="1"/>
  <c r="L836" i="2"/>
  <c r="N836" i="2" s="1"/>
  <c r="T836" i="2" s="1"/>
  <c r="L367" i="2"/>
  <c r="N367" i="2" s="1"/>
  <c r="T367" i="2" s="1"/>
  <c r="L666" i="2"/>
  <c r="N666" i="2" s="1"/>
  <c r="T666" i="2" s="1"/>
  <c r="L394" i="2"/>
  <c r="N394" i="2" s="1"/>
  <c r="T394" i="2" s="1"/>
  <c r="L48" i="2"/>
  <c r="N48" i="2" s="1"/>
  <c r="T48" i="2" s="1"/>
  <c r="L476" i="2"/>
  <c r="N476" i="2" s="1"/>
  <c r="T476" i="2" s="1"/>
  <c r="L328" i="2"/>
  <c r="N328" i="2" s="1"/>
  <c r="T328" i="2" s="1"/>
  <c r="L544" i="2"/>
  <c r="N544" i="2" s="1"/>
  <c r="T544" i="2" s="1"/>
  <c r="L125" i="2"/>
  <c r="N125" i="2" s="1"/>
  <c r="T125" i="2" s="1"/>
  <c r="L846" i="2"/>
  <c r="N846" i="2" s="1"/>
  <c r="T846" i="2" s="1"/>
  <c r="L939" i="2"/>
  <c r="N939" i="2" s="1"/>
  <c r="T939" i="2" s="1"/>
  <c r="L282" i="2"/>
  <c r="N282" i="2" s="1"/>
  <c r="T282" i="2" s="1"/>
  <c r="L907" i="2"/>
  <c r="N907" i="2" s="1"/>
  <c r="T907" i="2" s="1"/>
  <c r="L249" i="2"/>
  <c r="N249" i="2" s="1"/>
  <c r="T249" i="2" s="1"/>
  <c r="L533" i="2"/>
  <c r="N533" i="2" s="1"/>
  <c r="T533" i="2" s="1"/>
  <c r="L676" i="2"/>
  <c r="N676" i="2" s="1"/>
  <c r="T676" i="2" s="1"/>
  <c r="L528" i="2"/>
  <c r="N528" i="2" s="1"/>
  <c r="T528" i="2" s="1"/>
  <c r="L946" i="2"/>
  <c r="N946" i="2" s="1"/>
  <c r="T946" i="2" s="1"/>
  <c r="L929" i="2"/>
  <c r="N929" i="2" s="1"/>
  <c r="T929" i="2" s="1"/>
  <c r="L850" i="2"/>
  <c r="N850" i="2" s="1"/>
  <c r="T850" i="2" s="1"/>
  <c r="L674" i="2"/>
  <c r="N674" i="2" s="1"/>
  <c r="T674" i="2" s="1"/>
  <c r="L82" i="2"/>
  <c r="N82" i="2" s="1"/>
  <c r="T82" i="2" s="1"/>
  <c r="L799" i="2"/>
  <c r="N799" i="2" s="1"/>
  <c r="T799" i="2" s="1"/>
  <c r="L438" i="2"/>
  <c r="N438" i="2" s="1"/>
  <c r="T438" i="2" s="1"/>
  <c r="L399" i="2"/>
  <c r="N399" i="2" s="1"/>
  <c r="T399" i="2" s="1"/>
  <c r="L677" i="2"/>
  <c r="N677" i="2" s="1"/>
  <c r="T677" i="2" s="1"/>
  <c r="L885" i="2"/>
  <c r="N885" i="2" s="1"/>
  <c r="T885" i="2" s="1"/>
  <c r="L977" i="2"/>
  <c r="N977" i="2" s="1"/>
  <c r="T977" i="2" s="1"/>
  <c r="L696" i="2"/>
  <c r="N696" i="2" s="1"/>
  <c r="T696" i="2" s="1"/>
  <c r="L227" i="2"/>
  <c r="N227" i="2" s="1"/>
  <c r="T227" i="2" s="1"/>
  <c r="L127" i="2"/>
  <c r="N127" i="2" s="1"/>
  <c r="T127" i="2" s="1"/>
  <c r="L392" i="2"/>
  <c r="N392" i="2" s="1"/>
  <c r="T392" i="2" s="1"/>
  <c r="L932" i="2"/>
  <c r="N932" i="2" s="1"/>
  <c r="T932" i="2" s="1"/>
  <c r="L612" i="2"/>
  <c r="N612" i="2" s="1"/>
  <c r="T612" i="2" s="1"/>
  <c r="L888" i="2"/>
  <c r="N888" i="2" s="1"/>
  <c r="T888" i="2" s="1"/>
  <c r="L173" i="2"/>
  <c r="N173" i="2" s="1"/>
  <c r="T173" i="2" s="1"/>
  <c r="L619" i="2"/>
  <c r="N619" i="2" s="1"/>
  <c r="T619" i="2" s="1"/>
  <c r="L542" i="2"/>
  <c r="N542" i="2" s="1"/>
  <c r="T542" i="2" s="1"/>
  <c r="L138" i="2"/>
  <c r="N138" i="2" s="1"/>
  <c r="T138" i="2" s="1"/>
  <c r="L769" i="2"/>
  <c r="N769" i="2" s="1"/>
  <c r="T769" i="2" s="1"/>
  <c r="L176" i="2"/>
  <c r="N176" i="2" s="1"/>
  <c r="T176" i="2" s="1"/>
  <c r="L688" i="2"/>
  <c r="N688" i="2" s="1"/>
  <c r="T688" i="2" s="1"/>
  <c r="L618" i="2"/>
  <c r="N618" i="2" s="1"/>
  <c r="T618" i="2" s="1"/>
  <c r="L826" i="2"/>
  <c r="N826" i="2" s="1"/>
  <c r="T826" i="2" s="1"/>
  <c r="L538" i="2"/>
  <c r="N538" i="2" s="1"/>
  <c r="T538" i="2" s="1"/>
  <c r="L971" i="2"/>
  <c r="N971" i="2" s="1"/>
  <c r="T971" i="2" s="1"/>
  <c r="L406" i="2"/>
  <c r="N406" i="2" s="1"/>
  <c r="T406" i="2" s="1"/>
  <c r="L543" i="2"/>
  <c r="N543" i="2" s="1"/>
  <c r="T543" i="2" s="1"/>
  <c r="L144" i="2"/>
  <c r="N144" i="2" s="1"/>
  <c r="T144" i="2" s="1"/>
  <c r="L758" i="2"/>
  <c r="N758" i="2" s="1"/>
  <c r="T758" i="2" s="1"/>
  <c r="L200" i="2"/>
  <c r="N200" i="2" s="1"/>
  <c r="T200" i="2" s="1"/>
  <c r="L628" i="2"/>
  <c r="N628" i="2" s="1"/>
  <c r="T628" i="2" s="1"/>
  <c r="L95" i="2"/>
  <c r="N95" i="2" s="1"/>
  <c r="T95" i="2" s="1"/>
  <c r="L167" i="2"/>
  <c r="N167" i="2" s="1"/>
  <c r="T167" i="2" s="1"/>
  <c r="L923" i="2"/>
  <c r="N923" i="2" s="1"/>
  <c r="T923" i="2" s="1"/>
  <c r="L75" i="2"/>
  <c r="N75" i="2" s="1"/>
  <c r="T75" i="2" s="1"/>
  <c r="L577" i="2"/>
  <c r="N577" i="2" s="1"/>
  <c r="T577" i="2" s="1"/>
  <c r="L98" i="2"/>
  <c r="N98" i="2" s="1"/>
  <c r="T98" i="2" s="1"/>
  <c r="L13" i="2"/>
  <c r="N13" i="2" s="1"/>
  <c r="T13" i="2" s="1"/>
  <c r="L17" i="2"/>
  <c r="N17" i="2" s="1"/>
  <c r="T17" i="2" s="1"/>
  <c r="L33" i="2"/>
  <c r="N33" i="2" s="1"/>
  <c r="T33" i="2" s="1"/>
  <c r="L290" i="2"/>
  <c r="N290" i="2" s="1"/>
  <c r="T290" i="2" s="1"/>
  <c r="L604" i="2"/>
  <c r="N604" i="2" s="1"/>
  <c r="T604" i="2" s="1"/>
  <c r="L513" i="2"/>
  <c r="N513" i="2" s="1"/>
  <c r="T513" i="2" s="1"/>
  <c r="L198" i="2"/>
  <c r="N198" i="2" s="1"/>
  <c r="T198" i="2" s="1"/>
  <c r="L733" i="2"/>
  <c r="N733" i="2" s="1"/>
  <c r="T733" i="2" s="1"/>
  <c r="L961" i="2"/>
  <c r="N961" i="2" s="1"/>
  <c r="T961" i="2" s="1"/>
  <c r="L657" i="2"/>
  <c r="N657" i="2" s="1"/>
  <c r="T657" i="2" s="1"/>
  <c r="L326" i="2"/>
  <c r="N326" i="2" s="1"/>
  <c r="T326" i="2" s="1"/>
  <c r="L187" i="2"/>
  <c r="N187" i="2" s="1"/>
  <c r="T187" i="2" s="1"/>
  <c r="L527" i="2"/>
  <c r="N527" i="2" s="1"/>
  <c r="T527" i="2" s="1"/>
  <c r="L199" i="2"/>
  <c r="N199" i="2" s="1"/>
  <c r="T199" i="2" s="1"/>
  <c r="L391" i="2"/>
  <c r="N391" i="2" s="1"/>
  <c r="T391" i="2" s="1"/>
  <c r="L532" i="2"/>
  <c r="N532" i="2" s="1"/>
  <c r="T532" i="2" s="1"/>
  <c r="L407" i="2"/>
  <c r="N407" i="2" s="1"/>
  <c r="T407" i="2" s="1"/>
  <c r="L4" i="2"/>
  <c r="N4" i="2" s="1"/>
  <c r="T4" i="2" s="1"/>
  <c r="L680" i="2"/>
  <c r="N680" i="2" s="1"/>
  <c r="T680" i="2" s="1"/>
  <c r="L414" i="2"/>
  <c r="N414" i="2" s="1"/>
  <c r="T414" i="2" s="1"/>
  <c r="L718" i="2"/>
  <c r="N718" i="2" s="1"/>
  <c r="T718" i="2" s="1"/>
  <c r="L306" i="2"/>
  <c r="N306" i="2" s="1"/>
  <c r="T306" i="2" s="1"/>
  <c r="L650" i="2"/>
  <c r="N650" i="2" s="1"/>
  <c r="T650" i="2" s="1"/>
  <c r="L534" i="2"/>
  <c r="N534" i="2" s="1"/>
  <c r="T534" i="2" s="1"/>
  <c r="L122" i="2"/>
  <c r="N122" i="2" s="1"/>
  <c r="T122" i="2" s="1"/>
  <c r="L861" i="2"/>
  <c r="N861" i="2" s="1"/>
  <c r="T861" i="2" s="1"/>
  <c r="L601" i="2"/>
  <c r="N601" i="2" s="1"/>
  <c r="T601" i="2" s="1"/>
  <c r="L23" i="2"/>
  <c r="N23" i="2" s="1"/>
  <c r="T23" i="2" s="1"/>
  <c r="L667" i="2"/>
  <c r="N667" i="2" s="1"/>
  <c r="T667" i="2" s="1"/>
  <c r="L661" i="2"/>
  <c r="N661" i="2" s="1"/>
  <c r="T661" i="2" s="1"/>
  <c r="L830" i="2"/>
  <c r="N830" i="2" s="1"/>
  <c r="T830" i="2" s="1"/>
  <c r="L360" i="2"/>
  <c r="N360" i="2" s="1"/>
  <c r="T360" i="2" s="1"/>
  <c r="L404" i="2"/>
  <c r="N404" i="2" s="1"/>
  <c r="T404" i="2" s="1"/>
  <c r="L486" i="2"/>
  <c r="N486" i="2" s="1"/>
  <c r="T486" i="2" s="1"/>
  <c r="L795" i="2"/>
  <c r="N795" i="2" s="1"/>
  <c r="T795" i="2" s="1"/>
  <c r="L908" i="2"/>
  <c r="N908" i="2" s="1"/>
  <c r="T908" i="2" s="1"/>
  <c r="L110" i="2"/>
  <c r="N110" i="2" s="1"/>
  <c r="T110" i="2" s="1"/>
  <c r="L596" i="2"/>
  <c r="N596" i="2" s="1"/>
  <c r="T596" i="2" s="1"/>
  <c r="L331" i="2"/>
  <c r="N331" i="2" s="1"/>
  <c r="T331" i="2" s="1"/>
  <c r="L590" i="2"/>
  <c r="N590" i="2" s="1"/>
  <c r="T590" i="2" s="1"/>
  <c r="L705" i="2"/>
  <c r="N705" i="2" s="1"/>
  <c r="T705" i="2" s="1"/>
  <c r="L398" i="2"/>
  <c r="N398" i="2" s="1"/>
  <c r="T398" i="2" s="1"/>
  <c r="L145" i="2"/>
  <c r="N145" i="2" s="1"/>
  <c r="T145" i="2" s="1"/>
  <c r="L366" i="2"/>
  <c r="N366" i="2" s="1"/>
  <c r="T366" i="2" s="1"/>
  <c r="L462" i="2"/>
  <c r="N462" i="2" s="1"/>
  <c r="T462" i="2" s="1"/>
  <c r="L611" i="2"/>
  <c r="N611" i="2" s="1"/>
  <c r="T611" i="2" s="1"/>
  <c r="L433" i="2"/>
  <c r="N433" i="2" s="1"/>
  <c r="T433" i="2" s="1"/>
  <c r="L51" i="2"/>
  <c r="N51" i="2" s="1"/>
  <c r="T51" i="2" s="1"/>
  <c r="L507" i="2"/>
  <c r="N507" i="2" s="1"/>
  <c r="T507" i="2" s="1"/>
  <c r="L759" i="2"/>
  <c r="N759" i="2" s="1"/>
  <c r="T759" i="2" s="1"/>
  <c r="L137" i="2"/>
  <c r="N137" i="2" s="1"/>
  <c r="T137" i="2" s="1"/>
  <c r="L119" i="2"/>
  <c r="N119" i="2" s="1"/>
  <c r="T119" i="2" s="1"/>
  <c r="L449" i="2"/>
  <c r="N449" i="2" s="1"/>
  <c r="T449" i="2" s="1"/>
  <c r="L570" i="2"/>
  <c r="N570" i="2" s="1"/>
  <c r="T570" i="2" s="1"/>
  <c r="L244" i="2"/>
  <c r="N244" i="2" s="1"/>
  <c r="T244" i="2" s="1"/>
  <c r="L94" i="2"/>
  <c r="N94" i="2" s="1"/>
  <c r="T94" i="2" s="1"/>
  <c r="L312" i="2"/>
  <c r="N312" i="2" s="1"/>
  <c r="T312" i="2" s="1"/>
  <c r="L264" i="2"/>
  <c r="N264" i="2" s="1"/>
  <c r="T264" i="2" s="1"/>
  <c r="L151" i="2"/>
  <c r="N151" i="2" s="1"/>
  <c r="T151" i="2" s="1"/>
  <c r="L882" i="2"/>
  <c r="N882" i="2" s="1"/>
  <c r="T882" i="2" s="1"/>
  <c r="L767" i="2"/>
  <c r="N767" i="2" s="1"/>
  <c r="T767" i="2" s="1"/>
  <c r="L31" i="2"/>
  <c r="N31" i="2" s="1"/>
  <c r="T31" i="2" s="1"/>
  <c r="L944" i="2"/>
  <c r="N944" i="2" s="1"/>
  <c r="T944" i="2" s="1"/>
  <c r="L891" i="2"/>
  <c r="N891" i="2" s="1"/>
  <c r="T891" i="2" s="1"/>
  <c r="L876" i="2"/>
  <c r="N876" i="2" s="1"/>
  <c r="T876" i="2" s="1"/>
  <c r="L637" i="2"/>
  <c r="N637" i="2" s="1"/>
  <c r="T637" i="2" s="1"/>
  <c r="L975" i="2"/>
  <c r="N975" i="2" s="1"/>
  <c r="T975" i="2" s="1"/>
  <c r="L964" i="2"/>
  <c r="N964" i="2" s="1"/>
  <c r="T964" i="2" s="1"/>
  <c r="L655" i="2"/>
  <c r="N655" i="2" s="1"/>
  <c r="T655" i="2" s="1"/>
  <c r="L172" i="2"/>
  <c r="N172" i="2" s="1"/>
  <c r="T172" i="2" s="1"/>
  <c r="L116" i="2"/>
  <c r="N116" i="2" s="1"/>
  <c r="T116" i="2" s="1"/>
  <c r="L948" i="2"/>
  <c r="N948" i="2" s="1"/>
  <c r="T948" i="2" s="1"/>
  <c r="L106" i="2"/>
  <c r="N106" i="2" s="1"/>
  <c r="T106" i="2" s="1"/>
  <c r="L104" i="2"/>
  <c r="N104" i="2" s="1"/>
  <c r="T104" i="2" s="1"/>
  <c r="L192" i="2"/>
  <c r="N192" i="2" s="1"/>
  <c r="T192" i="2" s="1"/>
  <c r="L798" i="2"/>
  <c r="N798" i="2" s="1"/>
  <c r="T798" i="2" s="1"/>
  <c r="L424" i="2"/>
  <c r="N424" i="2" s="1"/>
  <c r="T424" i="2" s="1"/>
  <c r="L412" i="2"/>
  <c r="N412" i="2" s="1"/>
  <c r="T412" i="2" s="1"/>
  <c r="L456" i="2"/>
  <c r="N456" i="2" s="1"/>
  <c r="T456" i="2" s="1"/>
  <c r="L223" i="2"/>
  <c r="N223" i="2" s="1"/>
  <c r="T223" i="2" s="1"/>
  <c r="L418" i="2"/>
  <c r="N418" i="2" s="1"/>
  <c r="T418" i="2" s="1"/>
  <c r="L55" i="2"/>
  <c r="N55" i="2" s="1"/>
  <c r="T55" i="2" s="1"/>
  <c r="L377" i="2"/>
  <c r="N377" i="2" s="1"/>
  <c r="T377" i="2" s="1"/>
  <c r="L497" i="2"/>
  <c r="N497" i="2" s="1"/>
  <c r="T497" i="2" s="1"/>
  <c r="L315" i="2"/>
  <c r="N315" i="2" s="1"/>
  <c r="T315" i="2" s="1"/>
  <c r="L521" i="2"/>
  <c r="N521" i="2" s="1"/>
  <c r="T521" i="2" s="1"/>
  <c r="L89" i="2"/>
  <c r="N89" i="2" s="1"/>
  <c r="T89" i="2" s="1"/>
  <c r="L107" i="2"/>
  <c r="N107" i="2" s="1"/>
  <c r="T107" i="2" s="1"/>
  <c r="L574" i="2"/>
  <c r="N574" i="2" s="1"/>
  <c r="T574" i="2" s="1"/>
  <c r="L829" i="2"/>
  <c r="N829" i="2" s="1"/>
  <c r="T829" i="2" s="1"/>
  <c r="L785" i="2"/>
  <c r="N785" i="2" s="1"/>
  <c r="T785" i="2" s="1"/>
  <c r="L101" i="2"/>
  <c r="N101" i="2" s="1"/>
  <c r="T101" i="2" s="1"/>
  <c r="L509" i="2"/>
  <c r="N509" i="2" s="1"/>
  <c r="T509" i="2" s="1"/>
  <c r="L811" i="2"/>
  <c r="N811" i="2" s="1"/>
  <c r="T811" i="2" s="1"/>
  <c r="L731" i="2"/>
  <c r="N731" i="2" s="1"/>
  <c r="T731" i="2" s="1"/>
  <c r="L18" i="2"/>
  <c r="N18" i="2" s="1"/>
  <c r="T18" i="2" s="1"/>
  <c r="L413" i="2"/>
  <c r="N413" i="2" s="1"/>
  <c r="T413" i="2" s="1"/>
  <c r="L216" i="2"/>
  <c r="N216" i="2" s="1"/>
  <c r="T216" i="2" s="1"/>
  <c r="L995" i="2"/>
  <c r="N995" i="2" s="1"/>
  <c r="T995" i="2" s="1"/>
  <c r="L702" i="2"/>
  <c r="N702" i="2" s="1"/>
  <c r="T702" i="2" s="1"/>
  <c r="L132" i="2"/>
  <c r="N132" i="2" s="1"/>
  <c r="T132" i="2" s="1"/>
  <c r="L286" i="2"/>
  <c r="N286" i="2" s="1"/>
  <c r="T286" i="2" s="1"/>
  <c r="L260" i="2"/>
  <c r="N260" i="2" s="1"/>
  <c r="T260" i="2" s="1"/>
  <c r="L452" i="2"/>
  <c r="N452" i="2" s="1"/>
  <c r="T452" i="2" s="1"/>
  <c r="L530" i="2"/>
  <c r="N530" i="2" s="1"/>
  <c r="T530" i="2" s="1"/>
  <c r="L226" i="2"/>
  <c r="N226" i="2" s="1"/>
  <c r="T226" i="2" s="1"/>
  <c r="L708" i="2"/>
  <c r="N708" i="2" s="1"/>
  <c r="T708" i="2" s="1"/>
  <c r="L743" i="2"/>
  <c r="N743" i="2" s="1"/>
  <c r="T743" i="2" s="1"/>
  <c r="L606" i="2"/>
  <c r="N606" i="2" s="1"/>
  <c r="T606" i="2" s="1"/>
  <c r="L193" i="2"/>
  <c r="N193" i="2" s="1"/>
  <c r="T193" i="2" s="1"/>
  <c r="L474" i="2"/>
  <c r="N474" i="2" s="1"/>
  <c r="T474" i="2" s="1"/>
  <c r="L732" i="2"/>
  <c r="N732" i="2" s="1"/>
  <c r="T732" i="2" s="1"/>
  <c r="L236" i="2"/>
  <c r="N236" i="2" s="1"/>
  <c r="T236" i="2" s="1"/>
  <c r="L848" i="2"/>
  <c r="N848" i="2" s="1"/>
  <c r="T848" i="2" s="1"/>
  <c r="L191" i="2"/>
  <c r="N191" i="2" s="1"/>
  <c r="T191" i="2" s="1"/>
  <c r="L28" i="2"/>
  <c r="N28" i="2" s="1"/>
  <c r="T28" i="2" s="1"/>
  <c r="L981" i="2"/>
  <c r="N981" i="2" s="1"/>
  <c r="T981" i="2" s="1"/>
  <c r="L639" i="2"/>
  <c r="N639" i="2" s="1"/>
  <c r="T639" i="2" s="1"/>
  <c r="L285" i="2"/>
  <c r="N285" i="2" s="1"/>
  <c r="T285" i="2" s="1"/>
  <c r="L202" i="2"/>
  <c r="N202" i="2" s="1"/>
  <c r="T202" i="2" s="1"/>
  <c r="L400" i="2"/>
  <c r="N400" i="2" s="1"/>
  <c r="T400" i="2" s="1"/>
  <c r="L114" i="2"/>
  <c r="N114" i="2" s="1"/>
  <c r="T114" i="2" s="1"/>
  <c r="L419" i="2"/>
  <c r="N419" i="2" s="1"/>
  <c r="T419" i="2" s="1"/>
  <c r="L781" i="2"/>
  <c r="N781" i="2" s="1"/>
  <c r="T781" i="2" s="1"/>
  <c r="L772" i="2"/>
  <c r="N772" i="2" s="1"/>
  <c r="T772" i="2" s="1"/>
  <c r="L482" i="2"/>
  <c r="N482" i="2" s="1"/>
  <c r="T482" i="2" s="1"/>
  <c r="L495" i="2"/>
  <c r="N495" i="2" s="1"/>
  <c r="T495" i="2" s="1"/>
  <c r="L728" i="2"/>
  <c r="N728" i="2" s="1"/>
  <c r="T728" i="2" s="1"/>
  <c r="L245" i="2"/>
  <c r="N245" i="2" s="1"/>
  <c r="T245" i="2" s="1"/>
  <c r="L912" i="2"/>
  <c r="N912" i="2" s="1"/>
  <c r="T912" i="2" s="1"/>
  <c r="L254" i="2"/>
  <c r="N254" i="2" s="1"/>
  <c r="T254" i="2" s="1"/>
  <c r="L658" i="2"/>
  <c r="N658" i="2" s="1"/>
  <c r="T658" i="2" s="1"/>
  <c r="L892" i="2"/>
  <c r="N892" i="2" s="1"/>
  <c r="T892" i="2" s="1"/>
  <c r="L775" i="2"/>
  <c r="N775" i="2" s="1"/>
  <c r="T775" i="2" s="1"/>
  <c r="L136" i="2"/>
  <c r="N136" i="2" s="1"/>
  <c r="T136" i="2" s="1"/>
  <c r="L898" i="2"/>
  <c r="N898" i="2" s="1"/>
  <c r="T898" i="2" s="1"/>
  <c r="L153" i="2"/>
  <c r="N153" i="2" s="1"/>
  <c r="T153" i="2" s="1"/>
  <c r="L258" i="2"/>
  <c r="N258" i="2" s="1"/>
  <c r="T258" i="2" s="1"/>
  <c r="L638" i="2"/>
  <c r="N638" i="2" s="1"/>
  <c r="T638" i="2" s="1"/>
  <c r="L730" i="2"/>
  <c r="N730" i="2" s="1"/>
  <c r="T730" i="2" s="1"/>
  <c r="L135" i="2"/>
  <c r="N135" i="2" s="1"/>
  <c r="T135" i="2" s="1"/>
  <c r="L379" i="2"/>
  <c r="N379" i="2" s="1"/>
  <c r="T379" i="2" s="1"/>
  <c r="L640" i="2"/>
  <c r="N640" i="2" s="1"/>
  <c r="T640" i="2" s="1"/>
  <c r="L593" i="2"/>
  <c r="N593" i="2" s="1"/>
  <c r="T593" i="2" s="1"/>
  <c r="L502" i="2"/>
  <c r="N502" i="2" s="1"/>
  <c r="T502" i="2" s="1"/>
  <c r="L880" i="2"/>
  <c r="N880" i="2" s="1"/>
  <c r="T880" i="2" s="1"/>
  <c r="L323" i="2"/>
  <c r="N323" i="2" s="1"/>
  <c r="T323" i="2" s="1"/>
  <c r="L546" i="2"/>
  <c r="N546" i="2" s="1"/>
  <c r="T546" i="2" s="1"/>
  <c r="L649" i="2"/>
  <c r="N649" i="2" s="1"/>
  <c r="T649" i="2" s="1"/>
  <c r="L61" i="2"/>
  <c r="N61" i="2" s="1"/>
  <c r="T61" i="2" s="1"/>
  <c r="L231" i="2"/>
  <c r="N231" i="2" s="1"/>
  <c r="T231" i="2" s="1"/>
  <c r="L863" i="2"/>
  <c r="N863" i="2" s="1"/>
  <c r="T863" i="2" s="1"/>
  <c r="L330" i="2"/>
  <c r="N330" i="2" s="1"/>
  <c r="T330" i="2" s="1"/>
  <c r="L78" i="2"/>
  <c r="N78" i="2" s="1"/>
  <c r="T78" i="2" s="1"/>
  <c r="L881" i="2"/>
  <c r="N881" i="2" s="1"/>
  <c r="T881" i="2" s="1"/>
  <c r="L324" i="2"/>
  <c r="N324" i="2" s="1"/>
  <c r="T324" i="2" s="1"/>
  <c r="L834" i="2"/>
  <c r="N834" i="2" s="1"/>
  <c r="T834" i="2" s="1"/>
  <c r="L935" i="2"/>
  <c r="N935" i="2" s="1"/>
  <c r="T935" i="2" s="1"/>
  <c r="L842" i="2"/>
  <c r="N842" i="2" s="1"/>
  <c r="T842" i="2" s="1"/>
  <c r="L27" i="2"/>
  <c r="N27" i="2" s="1"/>
  <c r="T27" i="2" s="1"/>
  <c r="L559" i="2"/>
  <c r="N559" i="2" s="1"/>
  <c r="T559" i="2" s="1"/>
  <c r="L993" i="2"/>
  <c r="N993" i="2" s="1"/>
  <c r="T993" i="2" s="1"/>
  <c r="L641" i="2"/>
  <c r="N641" i="2" s="1"/>
  <c r="T641" i="2" s="1"/>
  <c r="L118" i="2"/>
  <c r="N118" i="2" s="1"/>
  <c r="T118" i="2" s="1"/>
  <c r="L53" i="2"/>
  <c r="N53" i="2" s="1"/>
  <c r="T53" i="2" s="1"/>
  <c r="L787" i="2"/>
  <c r="N787" i="2" s="1"/>
  <c r="T787" i="2" s="1"/>
  <c r="L505" i="2"/>
  <c r="N505" i="2" s="1"/>
  <c r="T505" i="2" s="1"/>
  <c r="L711" i="2"/>
  <c r="N711" i="2" s="1"/>
  <c r="T711" i="2" s="1"/>
  <c r="L894" i="2"/>
  <c r="N894" i="2" s="1"/>
  <c r="T894" i="2" s="1"/>
  <c r="L492" i="2"/>
  <c r="N492" i="2" s="1"/>
  <c r="T492" i="2" s="1"/>
  <c r="L536" i="2"/>
  <c r="N536" i="2" s="1"/>
  <c r="T536" i="2" s="1"/>
  <c r="L943" i="2"/>
  <c r="N943" i="2" s="1"/>
  <c r="T943" i="2" s="1"/>
  <c r="L883" i="2"/>
  <c r="N883" i="2" s="1"/>
  <c r="T883" i="2" s="1"/>
  <c r="L374" i="2"/>
  <c r="N374" i="2" s="1"/>
  <c r="T374" i="2" s="1"/>
  <c r="L745" i="2"/>
  <c r="N745" i="2" s="1"/>
  <c r="T745" i="2" s="1"/>
  <c r="L832" i="2"/>
  <c r="N832" i="2" s="1"/>
  <c r="T832" i="2" s="1"/>
  <c r="L845" i="2"/>
  <c r="N845" i="2" s="1"/>
  <c r="T845" i="2" s="1"/>
  <c r="L447" i="2"/>
  <c r="N447" i="2" s="1"/>
  <c r="T447" i="2" s="1"/>
  <c r="L92" i="2"/>
  <c r="N92" i="2" s="1"/>
  <c r="T92" i="2" s="1"/>
  <c r="L595" i="2"/>
  <c r="N595" i="2" s="1"/>
  <c r="T595" i="2" s="1"/>
  <c r="L720" i="2"/>
  <c r="N720" i="2" s="1"/>
  <c r="T720" i="2" s="1"/>
  <c r="L276" i="2"/>
  <c r="N276" i="2" s="1"/>
  <c r="T276" i="2" s="1"/>
  <c r="L914" i="2"/>
  <c r="N914" i="2" s="1"/>
  <c r="T914" i="2" s="1"/>
  <c r="L690" i="2"/>
  <c r="N690" i="2" s="1"/>
  <c r="T690" i="2" s="1"/>
  <c r="L410" i="2"/>
  <c r="N410" i="2" s="1"/>
  <c r="T410" i="2" s="1"/>
  <c r="L833" i="2"/>
  <c r="N833" i="2" s="1"/>
  <c r="T833" i="2" s="1"/>
  <c r="L857" i="2"/>
  <c r="N857" i="2" s="1"/>
  <c r="T857" i="2" s="1"/>
  <c r="L579" i="2"/>
  <c r="N579" i="2" s="1"/>
  <c r="T579" i="2" s="1"/>
  <c r="L821" i="2"/>
  <c r="N821" i="2" s="1"/>
  <c r="T821" i="2" s="1"/>
  <c r="L478" i="2"/>
  <c r="N478" i="2" s="1"/>
  <c r="T478" i="2" s="1"/>
  <c r="L950" i="2"/>
  <c r="N950" i="2" s="1"/>
  <c r="T950" i="2" s="1"/>
  <c r="L810" i="2"/>
  <c r="N810" i="2" s="1"/>
  <c r="T810" i="2" s="1"/>
  <c r="L38" i="2"/>
  <c r="N38" i="2" s="1"/>
  <c r="T38" i="2" s="1"/>
  <c r="L624" i="2"/>
  <c r="N624" i="2" s="1"/>
  <c r="T624" i="2" s="1"/>
  <c r="L940" i="2"/>
  <c r="N940" i="2" s="1"/>
  <c r="T940" i="2" s="1"/>
  <c r="L162" i="2"/>
  <c r="N162" i="2" s="1"/>
  <c r="T162" i="2" s="1"/>
  <c r="L157" i="2"/>
  <c r="N157" i="2" s="1"/>
  <c r="T157" i="2" s="1"/>
  <c r="L99" i="2"/>
  <c r="N99" i="2" s="1"/>
  <c r="T99" i="2" s="1"/>
  <c r="L903" i="2"/>
  <c r="N903" i="2" s="1"/>
  <c r="T903" i="2" s="1"/>
  <c r="L71" i="2"/>
  <c r="N71" i="2" s="1"/>
  <c r="T71" i="2" s="1"/>
  <c r="L233" i="2"/>
  <c r="N233" i="2" s="1"/>
  <c r="T233" i="2" s="1"/>
  <c r="L105" i="2"/>
  <c r="N105" i="2" s="1"/>
  <c r="T105" i="2" s="1"/>
  <c r="L252" i="2"/>
  <c r="N252" i="2" s="1"/>
  <c r="T252" i="2" s="1"/>
  <c r="L922" i="2"/>
  <c r="N922" i="2" s="1"/>
  <c r="T922" i="2" s="1"/>
  <c r="L663" i="2"/>
  <c r="N663" i="2" s="1"/>
  <c r="T663" i="2" s="1"/>
  <c r="L189" i="2"/>
  <c r="N189" i="2" s="1"/>
  <c r="T189" i="2" s="1"/>
  <c r="L235" i="2"/>
  <c r="N235" i="2" s="1"/>
  <c r="T235" i="2" s="1"/>
  <c r="L605" i="2"/>
  <c r="N605" i="2" s="1"/>
  <c r="T605" i="2" s="1"/>
  <c r="L304" i="2"/>
  <c r="N304" i="2" s="1"/>
  <c r="T304" i="2" s="1"/>
  <c r="L802" i="2"/>
  <c r="N802" i="2" s="1"/>
  <c r="T802" i="2" s="1"/>
  <c r="L224" i="2"/>
  <c r="N224" i="2" s="1"/>
  <c r="T224" i="2" s="1"/>
  <c r="L129" i="2"/>
  <c r="N129" i="2" s="1"/>
  <c r="T129" i="2" s="1"/>
  <c r="L623" i="2"/>
  <c r="N623" i="2" s="1"/>
  <c r="T623" i="2" s="1"/>
  <c r="L41" i="2"/>
  <c r="N41" i="2" s="1"/>
  <c r="T41" i="2" s="1"/>
  <c r="L454" i="2"/>
  <c r="N454" i="2" s="1"/>
  <c r="T454" i="2" s="1"/>
  <c r="L369" i="2"/>
  <c r="N369" i="2" s="1"/>
  <c r="T369" i="2" s="1"/>
  <c r="L443" i="2"/>
  <c r="N443" i="2" s="1"/>
  <c r="T443" i="2" s="1"/>
  <c r="L183" i="2"/>
  <c r="N183" i="2" s="1"/>
  <c r="T183" i="2" s="1"/>
  <c r="L60" i="2"/>
  <c r="N60" i="2" s="1"/>
  <c r="T60" i="2" s="1"/>
  <c r="L719" i="2"/>
  <c r="N719" i="2" s="1"/>
  <c r="T719" i="2" s="1"/>
  <c r="L62" i="2"/>
  <c r="N62" i="2" s="1"/>
  <c r="T62" i="2" s="1"/>
  <c r="L321" i="2"/>
  <c r="N321" i="2" s="1"/>
  <c r="T321" i="2" s="1"/>
  <c r="L807" i="2"/>
  <c r="N807" i="2" s="1"/>
  <c r="T807" i="2" s="1"/>
  <c r="L709" i="2"/>
  <c r="N709" i="2" s="1"/>
  <c r="T709" i="2" s="1"/>
  <c r="L704" i="2"/>
  <c r="N704" i="2" s="1"/>
  <c r="T704" i="2" s="1"/>
  <c r="L457" i="2"/>
  <c r="N457" i="2" s="1"/>
  <c r="T457" i="2" s="1"/>
  <c r="L177" i="2"/>
  <c r="N177" i="2" s="1"/>
  <c r="T177" i="2" s="1"/>
  <c r="L726" i="2"/>
  <c r="N726" i="2" s="1"/>
  <c r="T726" i="2" s="1"/>
  <c r="L693" i="2"/>
  <c r="N693" i="2" s="1"/>
  <c r="T693" i="2" s="1"/>
  <c r="L255" i="2"/>
  <c r="N255" i="2" s="1"/>
  <c r="T255" i="2" s="1"/>
  <c r="L734" i="2"/>
  <c r="N734" i="2" s="1"/>
  <c r="T734" i="2" s="1"/>
  <c r="L488" i="2"/>
  <c r="N488" i="2" s="1"/>
  <c r="T488" i="2" s="1"/>
  <c r="L19" i="2"/>
  <c r="N19" i="2" s="1"/>
  <c r="T19" i="2" s="1"/>
  <c r="L607" i="2"/>
  <c r="N607" i="2" s="1"/>
  <c r="T607" i="2" s="1"/>
  <c r="L368" i="2"/>
  <c r="N368" i="2" s="1"/>
  <c r="T368" i="2" s="1"/>
  <c r="L947" i="2"/>
  <c r="N947" i="2" s="1"/>
  <c r="T947" i="2" s="1"/>
  <c r="L309" i="2"/>
  <c r="N309" i="2" s="1"/>
  <c r="T309" i="2" s="1"/>
  <c r="L853" i="2"/>
  <c r="N853" i="2" s="1"/>
  <c r="T853" i="2" s="1"/>
  <c r="L432" i="2"/>
  <c r="N432" i="2" s="1"/>
  <c r="T432" i="2" s="1"/>
  <c r="L925" i="2"/>
  <c r="N925" i="2" s="1"/>
  <c r="T925" i="2" s="1"/>
  <c r="L220" i="2"/>
  <c r="N220" i="2" s="1"/>
  <c r="T220" i="2" s="1"/>
  <c r="L524" i="2"/>
  <c r="N524" i="2" s="1"/>
  <c r="T524" i="2" s="1"/>
  <c r="L472" i="2"/>
  <c r="N472" i="2" s="1"/>
  <c r="T472" i="2" s="1"/>
  <c r="L393" i="2"/>
  <c r="N393" i="2" s="1"/>
  <c r="T393" i="2" s="1"/>
  <c r="L644" i="2"/>
  <c r="N644" i="2" s="1"/>
  <c r="T644" i="2" s="1"/>
  <c r="L35" i="2"/>
  <c r="N35" i="2" s="1"/>
  <c r="T35" i="2" s="1"/>
  <c r="L32" i="2"/>
  <c r="N32" i="2" s="1"/>
  <c r="T32" i="2" s="1"/>
  <c r="L269" i="2"/>
  <c r="N269" i="2" s="1"/>
  <c r="T269" i="2" s="1"/>
  <c r="L459" i="2"/>
  <c r="N459" i="2" s="1"/>
  <c r="T459" i="2" s="1"/>
  <c r="L292" i="2"/>
  <c r="N292" i="2" s="1"/>
  <c r="T292" i="2" s="1"/>
  <c r="L742" i="2"/>
  <c r="N742" i="2" s="1"/>
  <c r="T742" i="2" s="1"/>
  <c r="L865" i="2"/>
  <c r="N865" i="2" s="1"/>
  <c r="T865" i="2" s="1"/>
  <c r="L266" i="2"/>
  <c r="N266" i="2" s="1"/>
  <c r="T266" i="2" s="1"/>
  <c r="L565" i="2"/>
  <c r="N565" i="2" s="1"/>
  <c r="T565" i="2" s="1"/>
  <c r="L747" i="2"/>
  <c r="N747" i="2" s="1"/>
  <c r="T747" i="2" s="1"/>
  <c r="L852" i="2"/>
  <c r="N852" i="2" s="1"/>
  <c r="T852" i="2" s="1"/>
  <c r="L662" i="2"/>
  <c r="N662" i="2" s="1"/>
  <c r="T662" i="2" s="1"/>
  <c r="L862" i="2"/>
  <c r="N862" i="2" s="1"/>
  <c r="T862" i="2" s="1"/>
  <c r="L81" i="2"/>
  <c r="N81" i="2" s="1"/>
  <c r="T81" i="2" s="1"/>
  <c r="L335" i="2"/>
  <c r="N335" i="2" s="1"/>
  <c r="T335" i="2" s="1"/>
  <c r="L358" i="2"/>
  <c r="N358" i="2" s="1"/>
  <c r="T358" i="2" s="1"/>
  <c r="L403" i="2"/>
  <c r="N403" i="2" s="1"/>
  <c r="T403" i="2" s="1"/>
  <c r="L957" i="2"/>
  <c r="N957" i="2" s="1"/>
  <c r="T957" i="2" s="1"/>
  <c r="L340" i="2"/>
  <c r="N340" i="2" s="1"/>
  <c r="T340" i="2" s="1"/>
  <c r="L716" i="2"/>
  <c r="N716" i="2" s="1"/>
  <c r="T716" i="2" s="1"/>
  <c r="L581" i="2"/>
  <c r="N581" i="2" s="1"/>
  <c r="T581" i="2" s="1"/>
  <c r="L238" i="2"/>
  <c r="N238" i="2" s="1"/>
  <c r="T238" i="2" s="1"/>
  <c r="L396" i="2"/>
  <c r="N396" i="2" s="1"/>
  <c r="T396" i="2" s="1"/>
  <c r="L518" i="2"/>
  <c r="N518" i="2" s="1"/>
  <c r="T518" i="2" s="1"/>
  <c r="L823" i="2"/>
  <c r="N823" i="2" s="1"/>
  <c r="T823" i="2" s="1"/>
  <c r="L342" i="2"/>
  <c r="N342" i="2" s="1"/>
  <c r="T342" i="2" s="1"/>
  <c r="L972" i="2"/>
  <c r="N972" i="2" s="1"/>
  <c r="T972" i="2" s="1"/>
  <c r="L741" i="2"/>
  <c r="N741" i="2" s="1"/>
  <c r="T741" i="2" s="1"/>
  <c r="L849" i="2"/>
  <c r="N849" i="2" s="1"/>
  <c r="T849" i="2" s="1"/>
  <c r="L519" i="2"/>
  <c r="N519" i="2" s="1"/>
  <c r="T519" i="2" s="1"/>
  <c r="L715" i="2"/>
  <c r="N715" i="2" s="1"/>
  <c r="T715" i="2" s="1"/>
  <c r="L631" i="2"/>
  <c r="N631" i="2" s="1"/>
  <c r="T631" i="2" s="1"/>
  <c r="L997" i="2"/>
  <c r="N997" i="2" s="1"/>
  <c r="T997" i="2" s="1"/>
  <c r="L148" i="2"/>
  <c r="N148" i="2" s="1"/>
  <c r="T148" i="2" s="1"/>
  <c r="L691" i="2"/>
  <c r="N691" i="2" s="1"/>
  <c r="T691" i="2" s="1"/>
  <c r="L597" i="2"/>
  <c r="N597" i="2" s="1"/>
  <c r="T597" i="2" s="1"/>
  <c r="L300" i="2"/>
  <c r="N300" i="2" s="1"/>
  <c r="T300" i="2" s="1"/>
  <c r="L999" i="2"/>
  <c r="N999" i="2" s="1"/>
  <c r="T999" i="2" s="1"/>
  <c r="L348" i="2"/>
  <c r="N348" i="2" s="1"/>
  <c r="T348" i="2" s="1"/>
  <c r="L484" i="2"/>
  <c r="N484" i="2" s="1"/>
  <c r="T484" i="2" s="1"/>
  <c r="L808" i="2"/>
  <c r="N808" i="2" s="1"/>
  <c r="T808" i="2" s="1"/>
  <c r="L140" i="2"/>
  <c r="N140" i="2" s="1"/>
  <c r="T140" i="2" s="1"/>
  <c r="L79" i="2"/>
  <c r="N79" i="2" s="1"/>
  <c r="T79" i="2" s="1"/>
  <c r="L760" i="2"/>
  <c r="N760" i="2" s="1"/>
  <c r="T760" i="2" s="1"/>
  <c r="L592" i="2"/>
  <c r="N592" i="2" s="1"/>
  <c r="T592" i="2" s="1"/>
  <c r="L429" i="2"/>
  <c r="N429" i="2" s="1"/>
  <c r="T429" i="2" s="1"/>
  <c r="L257" i="2"/>
  <c r="N257" i="2" s="1"/>
  <c r="T257" i="2" s="1"/>
  <c r="L584" i="2"/>
  <c r="N584" i="2" s="1"/>
  <c r="T584" i="2" s="1"/>
  <c r="L656" i="2"/>
  <c r="N656" i="2" s="1"/>
  <c r="T656" i="2" s="1"/>
  <c r="L445" i="2"/>
  <c r="N445" i="2" s="1"/>
  <c r="T445" i="2" s="1"/>
  <c r="L5" i="2"/>
  <c r="N5" i="2" s="1"/>
  <c r="T5" i="2" s="1"/>
  <c r="L783" i="2"/>
  <c r="N783" i="2" s="1"/>
  <c r="T783" i="2" s="1"/>
  <c r="L103" i="2"/>
  <c r="N103" i="2" s="1"/>
  <c r="T103" i="2" s="1"/>
  <c r="L949" i="2"/>
  <c r="N949" i="2" s="1"/>
  <c r="T949" i="2" s="1"/>
  <c r="L310" i="2"/>
  <c r="N310" i="2" s="1"/>
  <c r="T310" i="2" s="1"/>
  <c r="L437" i="2"/>
  <c r="N437" i="2" s="1"/>
  <c r="T437" i="2" s="1"/>
  <c r="L204" i="2"/>
  <c r="N204" i="2" s="1"/>
  <c r="T204" i="2" s="1"/>
  <c r="L115" i="2"/>
  <c r="N115" i="2" s="1"/>
  <c r="T115" i="2" s="1"/>
  <c r="L699" i="2"/>
  <c r="N699" i="2" s="1"/>
  <c r="T699" i="2" s="1"/>
  <c r="L263" i="2"/>
  <c r="N263" i="2" s="1"/>
  <c r="T263" i="2" s="1"/>
  <c r="L752" i="2"/>
  <c r="N752" i="2" s="1"/>
  <c r="T752" i="2" s="1"/>
  <c r="L43" i="2"/>
  <c r="N43" i="2" s="1"/>
  <c r="T43" i="2" s="1"/>
  <c r="L417" i="2"/>
  <c r="N417" i="2" s="1"/>
  <c r="T417" i="2" s="1"/>
  <c r="L86" i="2"/>
  <c r="N86" i="2" s="1"/>
  <c r="T86" i="2" s="1"/>
  <c r="L470" i="2"/>
  <c r="N470" i="2" s="1"/>
  <c r="T470" i="2" s="1"/>
  <c r="L635" i="2"/>
  <c r="N635" i="2" s="1"/>
  <c r="T635" i="2" s="1"/>
  <c r="L318" i="2"/>
  <c r="N318" i="2" s="1"/>
  <c r="T318" i="2" s="1"/>
  <c r="L931" i="2"/>
  <c r="N931" i="2" s="1"/>
  <c r="T931" i="2" s="1"/>
  <c r="L143" i="2"/>
  <c r="N143" i="2" s="1"/>
  <c r="T143" i="2" s="1"/>
  <c r="L899" i="2"/>
  <c r="N899" i="2" s="1"/>
  <c r="T899" i="2" s="1"/>
  <c r="L825" i="2"/>
  <c r="N825" i="2" s="1"/>
  <c r="T825" i="2" s="1"/>
  <c r="L828" i="2"/>
  <c r="N828" i="2" s="1"/>
  <c r="T828" i="2" s="1"/>
  <c r="L523" i="2"/>
  <c r="N523" i="2" s="1"/>
  <c r="T523" i="2" s="1"/>
  <c r="L247" i="2"/>
  <c r="N247" i="2" s="1"/>
  <c r="T247" i="2" s="1"/>
  <c r="L274" i="2"/>
  <c r="N274" i="2" s="1"/>
  <c r="T274" i="2" s="1"/>
  <c r="L58" i="2"/>
  <c r="N58" i="2" s="1"/>
  <c r="T58" i="2" s="1"/>
  <c r="L383" i="2"/>
  <c r="N383" i="2" s="1"/>
  <c r="T383" i="2" s="1"/>
  <c r="L768" i="2"/>
  <c r="N768" i="2" s="1"/>
  <c r="T768" i="2" s="1"/>
  <c r="L796" i="2"/>
  <c r="N796" i="2" s="1"/>
  <c r="T796" i="2" s="1"/>
  <c r="L512" i="2"/>
  <c r="N512" i="2" s="1"/>
  <c r="T512" i="2" s="1"/>
  <c r="L620" i="2"/>
  <c r="N620" i="2" s="1"/>
  <c r="T620" i="2" s="1"/>
  <c r="L123" i="2"/>
  <c r="N123" i="2" s="1"/>
  <c r="T123" i="2" s="1"/>
  <c r="L30" i="2"/>
  <c r="N30" i="2" s="1"/>
  <c r="T30" i="2" s="1"/>
  <c r="L867" i="2"/>
  <c r="N867" i="2" s="1"/>
  <c r="T867" i="2" s="1"/>
  <c r="L131" i="2"/>
  <c r="N131" i="2" s="1"/>
  <c r="T131" i="2" s="1"/>
  <c r="L287" i="2"/>
  <c r="N287" i="2" s="1"/>
  <c r="T287" i="2" s="1"/>
  <c r="L431" i="2"/>
  <c r="N431" i="2" s="1"/>
  <c r="T431" i="2" s="1"/>
  <c r="L603" i="2"/>
  <c r="N603" i="2" s="1"/>
  <c r="T603" i="2" s="1"/>
  <c r="L196" i="2"/>
  <c r="N196" i="2" s="1"/>
  <c r="T196" i="2" s="1"/>
  <c r="L510" i="2"/>
  <c r="N510" i="2" s="1"/>
  <c r="T510" i="2" s="1"/>
  <c r="L749" i="2"/>
  <c r="N749" i="2" s="1"/>
  <c r="T749" i="2" s="1"/>
  <c r="L669" i="2"/>
  <c r="N669" i="2" s="1"/>
  <c r="T669" i="2" s="1"/>
  <c r="L265" i="2"/>
  <c r="N265" i="2" s="1"/>
  <c r="T265" i="2" s="1"/>
  <c r="L563" i="2"/>
  <c r="N563" i="2" s="1"/>
  <c r="T563" i="2" s="1"/>
  <c r="L371" i="2"/>
  <c r="N371" i="2" s="1"/>
  <c r="T371" i="2" s="1"/>
  <c r="L824" i="2"/>
  <c r="N824" i="2" s="1"/>
  <c r="T824" i="2" s="1"/>
  <c r="L580" i="2"/>
  <c r="N580" i="2" s="1"/>
  <c r="T580" i="2" s="1"/>
  <c r="L697" i="2"/>
  <c r="N697" i="2" s="1"/>
  <c r="T697" i="2" s="1"/>
  <c r="L234" i="2"/>
  <c r="N234" i="2" s="1"/>
  <c r="T234" i="2" s="1"/>
  <c r="L681" i="2"/>
  <c r="N681" i="2" s="1"/>
  <c r="T681" i="2" s="1"/>
  <c r="L1000" i="2"/>
  <c r="N1000" i="2" s="1"/>
  <c r="T1000" i="2" s="1"/>
  <c r="L809" i="2"/>
  <c r="N809" i="2" s="1"/>
  <c r="T809" i="2" s="1"/>
  <c r="L648" i="2"/>
  <c r="N648" i="2" s="1"/>
  <c r="T648" i="2" s="1"/>
  <c r="L243" i="2"/>
  <c r="N243" i="2" s="1"/>
  <c r="T243" i="2" s="1"/>
  <c r="L463" i="2"/>
  <c r="N463" i="2" s="1"/>
  <c r="T463" i="2" s="1"/>
  <c r="L213" i="2"/>
  <c r="N213" i="2" s="1"/>
  <c r="T213" i="2" s="1"/>
  <c r="L491" i="2"/>
  <c r="N491" i="2" s="1"/>
  <c r="T491" i="2" s="1"/>
  <c r="L915" i="2"/>
  <c r="N915" i="2" s="1"/>
  <c r="T915" i="2" s="1"/>
  <c r="L164" i="2"/>
  <c r="N164" i="2" s="1"/>
  <c r="T164" i="2" s="1"/>
  <c r="L498" i="2"/>
  <c r="N498" i="2" s="1"/>
  <c r="T498" i="2" s="1"/>
  <c r="L887" i="2"/>
  <c r="N887" i="2" s="1"/>
  <c r="T887" i="2" s="1"/>
  <c r="L700" i="2"/>
  <c r="N700" i="2" s="1"/>
  <c r="T700" i="2" s="1"/>
  <c r="L545" i="2"/>
  <c r="N545" i="2" s="1"/>
  <c r="T545" i="2" s="1"/>
  <c r="L642" i="2"/>
  <c r="N642" i="2" s="1"/>
  <c r="T642" i="2" s="1"/>
  <c r="L480" i="2"/>
  <c r="N480" i="2" s="1"/>
  <c r="T480" i="2" s="1"/>
  <c r="L985" i="2"/>
  <c r="N985" i="2" s="1"/>
  <c r="T985" i="2" s="1"/>
  <c r="L319" i="2"/>
  <c r="N319" i="2" s="1"/>
  <c r="T319" i="2" s="1"/>
  <c r="L736" i="2"/>
  <c r="N736" i="2" s="1"/>
  <c r="T736" i="2" s="1"/>
  <c r="L586" i="2"/>
  <c r="N586" i="2" s="1"/>
  <c r="T586" i="2" s="1"/>
  <c r="L425" i="2"/>
  <c r="N425" i="2" s="1"/>
  <c r="T425" i="2" s="1"/>
  <c r="L710" i="2"/>
  <c r="N710" i="2" s="1"/>
  <c r="T710" i="2" s="1"/>
  <c r="L550" i="2"/>
  <c r="N550" i="2" s="1"/>
  <c r="T550" i="2" s="1"/>
  <c r="L6" i="2"/>
  <c r="N6" i="2" s="1"/>
  <c r="T6" i="2" s="1"/>
  <c r="L441" i="2"/>
  <c r="N441" i="2" s="1"/>
  <c r="T441" i="2" s="1"/>
  <c r="L855" i="2"/>
  <c r="N855" i="2" s="1"/>
  <c r="T855" i="2" s="1"/>
  <c r="L516" i="2"/>
  <c r="N516" i="2" s="1"/>
  <c r="T516" i="2" s="1"/>
  <c r="L573" i="2"/>
  <c r="N573" i="2" s="1"/>
  <c r="T573" i="2" s="1"/>
  <c r="L161" i="2"/>
  <c r="N161" i="2" s="1"/>
  <c r="T161" i="2" s="1"/>
  <c r="L695" i="2"/>
  <c r="N695" i="2" s="1"/>
  <c r="T695" i="2" s="1"/>
  <c r="L800" i="2"/>
  <c r="N800" i="2" s="1"/>
  <c r="T800" i="2" s="1"/>
  <c r="L376" i="2"/>
  <c r="N376" i="2" s="1"/>
  <c r="T376" i="2" s="1"/>
  <c r="L111" i="2"/>
  <c r="N111" i="2" s="1"/>
  <c r="T111" i="2" s="1"/>
  <c r="L956" i="2"/>
  <c r="N956" i="2" s="1"/>
  <c r="T956" i="2" s="1"/>
  <c r="L555" i="2"/>
  <c r="N555" i="2" s="1"/>
  <c r="T555" i="2" s="1"/>
  <c r="L547" i="2"/>
  <c r="N547" i="2" s="1"/>
  <c r="T547" i="2" s="1"/>
  <c r="L36" i="2"/>
  <c r="N36" i="2" s="1"/>
  <c r="T36" i="2" s="1"/>
  <c r="L839" i="2"/>
  <c r="N839" i="2" s="1"/>
  <c r="T839" i="2" s="1"/>
  <c r="L622" i="2"/>
  <c r="N622" i="2" s="1"/>
  <c r="T622" i="2" s="1"/>
  <c r="L791" i="2"/>
  <c r="N791" i="2" s="1"/>
  <c r="T791" i="2" s="1"/>
  <c r="L142" i="2"/>
  <c r="N142" i="2" s="1"/>
  <c r="T142" i="2" s="1"/>
  <c r="L784" i="2"/>
  <c r="N784" i="2" s="1"/>
  <c r="T784" i="2" s="1"/>
  <c r="L501" i="2"/>
  <c r="N501" i="2" s="1"/>
  <c r="T501" i="2" s="1"/>
  <c r="L872" i="2"/>
  <c r="N872" i="2" s="1"/>
  <c r="T872" i="2" s="1"/>
  <c r="L968" i="2"/>
  <c r="N968" i="2" s="1"/>
  <c r="T968" i="2" s="1"/>
  <c r="L902" i="2"/>
  <c r="N902" i="2" s="1"/>
  <c r="T902" i="2" s="1"/>
  <c r="L539" i="2"/>
  <c r="N539" i="2" s="1"/>
  <c r="T539" i="2" s="1"/>
  <c r="L468" i="2"/>
  <c r="N468" i="2" s="1"/>
  <c r="T468" i="2" s="1"/>
  <c r="L520" i="2"/>
  <c r="N520" i="2" s="1"/>
  <c r="T520" i="2" s="1"/>
  <c r="L386" i="2"/>
  <c r="N386" i="2" s="1"/>
  <c r="T386" i="2" s="1"/>
  <c r="L926" i="2"/>
  <c r="N926" i="2" s="1"/>
  <c r="T926" i="2" s="1"/>
  <c r="L763" i="2"/>
  <c r="N763" i="2" s="1"/>
  <c r="T763" i="2" s="1"/>
  <c r="L126" i="2"/>
  <c r="N126" i="2" s="1"/>
  <c r="T126" i="2" s="1"/>
  <c r="L664" i="2"/>
  <c r="N664" i="2" s="1"/>
  <c r="T664" i="2" s="1"/>
  <c r="L572" i="2"/>
  <c r="N572" i="2" s="1"/>
  <c r="T572" i="2" s="1"/>
  <c r="L7" i="2"/>
  <c r="N7" i="2" s="1"/>
  <c r="T7" i="2" s="1"/>
  <c r="L317" i="2"/>
  <c r="N317" i="2" s="1"/>
  <c r="T317" i="2" s="1"/>
  <c r="L746" i="2"/>
  <c r="N746" i="2" s="1"/>
  <c r="T746" i="2" s="1"/>
  <c r="L83" i="2"/>
  <c r="N83" i="2" s="1"/>
  <c r="T83" i="2" s="1"/>
  <c r="L625" i="2"/>
  <c r="N625" i="2" s="1"/>
  <c r="T625" i="2" s="1"/>
  <c r="L353" i="2"/>
  <c r="N353" i="2" s="1"/>
  <c r="T353" i="2" s="1"/>
  <c r="L838" i="2"/>
  <c r="N838" i="2" s="1"/>
  <c r="T838" i="2" s="1"/>
  <c r="L40" i="2"/>
  <c r="N40" i="2" s="1"/>
  <c r="T40" i="2" s="1"/>
  <c r="L477" i="2"/>
  <c r="N477" i="2" s="1"/>
  <c r="T477" i="2" s="1"/>
  <c r="L877" i="2"/>
  <c r="N877" i="2" s="1"/>
  <c r="T877" i="2" s="1"/>
  <c r="L692" i="2"/>
  <c r="N692" i="2" s="1"/>
  <c r="T692" i="2" s="1"/>
  <c r="L347" i="2"/>
  <c r="N347" i="2" s="1"/>
  <c r="T347" i="2" s="1"/>
  <c r="L942" i="2"/>
  <c r="N942" i="2" s="1"/>
  <c r="T942" i="2" s="1"/>
  <c r="L673" i="2"/>
  <c r="N673" i="2" s="1"/>
  <c r="T673" i="2" s="1"/>
  <c r="L924" i="2"/>
  <c r="N924" i="2" s="1"/>
  <c r="T924" i="2" s="1"/>
  <c r="L801" i="2"/>
  <c r="N801" i="2" s="1"/>
  <c r="T801" i="2" s="1"/>
  <c r="L831" i="2"/>
  <c r="N831" i="2" s="1"/>
  <c r="T831" i="2" s="1"/>
  <c r="L259" i="2"/>
  <c r="N259" i="2" s="1"/>
  <c r="T259" i="2" s="1"/>
  <c r="L643" i="2"/>
  <c r="N643" i="2" s="1"/>
  <c r="T643" i="2" s="1"/>
  <c r="L378" i="2"/>
  <c r="N378" i="2" s="1"/>
  <c r="T378" i="2" s="1"/>
  <c r="L974" i="2"/>
  <c r="N974" i="2" s="1"/>
  <c r="T974" i="2" s="1"/>
  <c r="L724" i="2"/>
  <c r="N724" i="2" s="1"/>
  <c r="T724" i="2" s="1"/>
  <c r="L237" i="2"/>
  <c r="N237" i="2" s="1"/>
  <c r="T237" i="2" s="1"/>
  <c r="L727" i="2"/>
  <c r="N727" i="2" s="1"/>
  <c r="T727" i="2" s="1"/>
  <c r="L851" i="2"/>
  <c r="N851" i="2" s="1"/>
  <c r="T851" i="2" s="1"/>
  <c r="L241" i="2"/>
  <c r="N241" i="2" s="1"/>
  <c r="T241" i="2" s="1"/>
  <c r="L755" i="2"/>
  <c r="N755" i="2" s="1"/>
  <c r="T755" i="2" s="1"/>
  <c r="L797" i="2"/>
  <c r="N797" i="2" s="1"/>
  <c r="T797" i="2" s="1"/>
  <c r="L886" i="2"/>
  <c r="N886" i="2" s="1"/>
  <c r="T886" i="2" s="1"/>
  <c r="L786" i="2"/>
  <c r="N786" i="2" s="1"/>
  <c r="T786" i="2" s="1"/>
  <c r="L483" i="2"/>
  <c r="N483" i="2" s="1"/>
  <c r="T483" i="2" s="1"/>
  <c r="L240" i="2"/>
  <c r="N240" i="2" s="1"/>
  <c r="T240" i="2" s="1"/>
  <c r="L37" i="2"/>
  <c r="N37" i="2" s="1"/>
  <c r="T37" i="2" s="1"/>
  <c r="L108" i="2"/>
  <c r="N108" i="2" s="1"/>
  <c r="T108" i="2" s="1"/>
  <c r="L790" i="2"/>
  <c r="N790" i="2" s="1"/>
  <c r="T790" i="2" s="1"/>
  <c r="L336" i="2"/>
  <c r="N336" i="2" s="1"/>
  <c r="T336" i="2" s="1"/>
  <c r="L548" i="2"/>
  <c r="N548" i="2" s="1"/>
  <c r="T548" i="2" s="1"/>
  <c r="L701" i="2"/>
  <c r="N701" i="2" s="1"/>
  <c r="T701" i="2" s="1"/>
  <c r="L301" i="2"/>
  <c r="N301" i="2" s="1"/>
  <c r="T301" i="2" s="1"/>
  <c r="L901" i="2"/>
  <c r="N901" i="2" s="1"/>
  <c r="T901" i="2" s="1"/>
  <c r="L684" i="2"/>
  <c r="N684" i="2" s="1"/>
  <c r="T684" i="2" s="1"/>
  <c r="L958" i="2"/>
  <c r="N958" i="2" s="1"/>
  <c r="T958" i="2" s="1"/>
  <c r="L160" i="2"/>
  <c r="N160" i="2" s="1"/>
  <c r="T160" i="2" s="1"/>
  <c r="L434" i="2"/>
  <c r="N434" i="2" s="1"/>
  <c r="T434" i="2" s="1"/>
  <c r="L952" i="2"/>
  <c r="N952" i="2" s="1"/>
  <c r="T952" i="2" s="1"/>
  <c r="L588" i="2"/>
  <c r="N588" i="2" s="1"/>
  <c r="T588" i="2" s="1"/>
  <c r="L354" i="2"/>
  <c r="N354" i="2" s="1"/>
  <c r="T354" i="2" s="1"/>
  <c r="L818" i="2"/>
  <c r="N818" i="2" s="1"/>
  <c r="T818" i="2" s="1"/>
  <c r="L171" i="2"/>
  <c r="N171" i="2" s="1"/>
  <c r="T171" i="2" s="1"/>
  <c r="L84" i="2"/>
  <c r="N84" i="2" s="1"/>
  <c r="T84" i="2" s="1"/>
  <c r="L646" i="2"/>
  <c r="N646" i="2" s="1"/>
  <c r="T646" i="2" s="1"/>
  <c r="L820" i="2"/>
  <c r="N820" i="2" s="1"/>
  <c r="T820" i="2" s="1"/>
  <c r="L299" i="2"/>
  <c r="N299" i="2" s="1"/>
  <c r="T299" i="2" s="1"/>
  <c r="L10" i="2"/>
  <c r="N10" i="2" s="1"/>
  <c r="T10" i="2" s="1"/>
  <c r="L225" i="2"/>
  <c r="N225" i="2" s="1"/>
  <c r="T225" i="2" s="1"/>
  <c r="L738" i="2"/>
  <c r="N738" i="2" s="1"/>
  <c r="T738" i="2" s="1"/>
  <c r="L308" i="2"/>
  <c r="N308" i="2" s="1"/>
  <c r="T308" i="2" s="1"/>
  <c r="L250" i="2"/>
  <c r="N250" i="2" s="1"/>
  <c r="T250" i="2" s="1"/>
  <c r="L722" i="2"/>
  <c r="N722" i="2" s="1"/>
  <c r="T722" i="2" s="1"/>
  <c r="L16" i="2"/>
  <c r="N16" i="2" s="1"/>
  <c r="T16" i="2" s="1"/>
  <c r="L375" i="2"/>
  <c r="N375" i="2" s="1"/>
  <c r="T375" i="2" s="1"/>
  <c r="L124" i="2"/>
  <c r="N124" i="2" s="1"/>
  <c r="T124" i="2" s="1"/>
  <c r="L927" i="2"/>
  <c r="N927" i="2" s="1"/>
  <c r="T927" i="2" s="1"/>
  <c r="L953" i="2"/>
  <c r="N953" i="2" s="1"/>
  <c r="T953" i="2" s="1"/>
  <c r="L130" i="2"/>
  <c r="N130" i="2" s="1"/>
  <c r="T130" i="2" s="1"/>
  <c r="L166" i="2"/>
  <c r="N166" i="2" s="1"/>
  <c r="T166" i="2" s="1"/>
  <c r="L500" i="2"/>
  <c r="N500" i="2" s="1"/>
  <c r="T500" i="2" s="1"/>
  <c r="L471" i="2"/>
  <c r="N471" i="2" s="1"/>
  <c r="T471" i="2" s="1"/>
  <c r="L737" i="2"/>
  <c r="N737" i="2" s="1"/>
  <c r="T737" i="2" s="1"/>
  <c r="L197" i="2"/>
  <c r="N197" i="2" s="1"/>
  <c r="T197" i="2" s="1"/>
  <c r="L402" i="2"/>
  <c r="N402" i="2" s="1"/>
  <c r="T402" i="2" s="1"/>
  <c r="L90" i="2"/>
  <c r="N90" i="2" s="1"/>
  <c r="T90" i="2" s="1"/>
  <c r="L232" i="2"/>
  <c r="N232" i="2" s="1"/>
  <c r="T232" i="2" s="1"/>
  <c r="L288" i="2"/>
  <c r="N288" i="2" s="1"/>
  <c r="T288" i="2" s="1"/>
  <c r="L212" i="2"/>
  <c r="N212" i="2" s="1"/>
  <c r="T212" i="2" s="1"/>
  <c r="L430" i="2"/>
  <c r="N430" i="2" s="1"/>
  <c r="T430" i="2" s="1"/>
  <c r="L313" i="2"/>
  <c r="N313" i="2" s="1"/>
  <c r="T313" i="2" s="1"/>
  <c r="L978" i="2"/>
  <c r="N978" i="2" s="1"/>
  <c r="T978" i="2" s="1"/>
  <c r="L567" i="2"/>
  <c r="N567" i="2" s="1"/>
  <c r="T567" i="2" s="1"/>
  <c r="L917" i="2"/>
  <c r="N917" i="2" s="1"/>
  <c r="T917" i="2" s="1"/>
  <c r="L771" i="2"/>
  <c r="N771" i="2" s="1"/>
  <c r="T771" i="2" s="1"/>
  <c r="L329" i="2"/>
  <c r="N329" i="2" s="1"/>
  <c r="T329" i="2" s="1"/>
  <c r="L938" i="2"/>
  <c r="N938" i="2" s="1"/>
  <c r="T938" i="2" s="1"/>
  <c r="L356" i="2"/>
  <c r="N356" i="2" s="1"/>
  <c r="T356" i="2" s="1"/>
  <c r="L409" i="2"/>
  <c r="N409" i="2" s="1"/>
  <c r="T409" i="2" s="1"/>
  <c r="L670" i="2"/>
  <c r="N670" i="2" s="1"/>
  <c r="T670" i="2" s="1"/>
  <c r="L80" i="2"/>
  <c r="N80" i="2" s="1"/>
  <c r="T80" i="2" s="1"/>
  <c r="L897" i="2"/>
  <c r="N897" i="2" s="1"/>
  <c r="T897" i="2" s="1"/>
  <c r="L751" i="2"/>
  <c r="N751" i="2" s="1"/>
  <c r="T751" i="2" s="1"/>
  <c r="L284" i="2"/>
  <c r="N284" i="2" s="1"/>
  <c r="T284" i="2" s="1"/>
  <c r="L352" i="2"/>
  <c r="N352" i="2" s="1"/>
  <c r="T352" i="2" s="1"/>
  <c r="L909" i="2"/>
  <c r="N909" i="2" s="1"/>
  <c r="T909" i="2" s="1"/>
  <c r="L420" i="2"/>
  <c r="N420" i="2" s="1"/>
  <c r="T420" i="2" s="1"/>
  <c r="L541" i="2"/>
  <c r="N541" i="2" s="1"/>
  <c r="T541" i="2" s="1"/>
  <c r="L591" i="2"/>
  <c r="N591" i="2" s="1"/>
  <c r="T591" i="2" s="1"/>
  <c r="L553" i="2"/>
  <c r="N553" i="2" s="1"/>
  <c r="T553" i="2" s="1"/>
  <c r="L481" i="2"/>
  <c r="N481" i="2" s="1"/>
  <c r="T481" i="2" s="1"/>
  <c r="L615" i="2"/>
  <c r="N615" i="2" s="1"/>
  <c r="T615" i="2" s="1"/>
  <c r="L496" i="2"/>
  <c r="N496" i="2" s="1"/>
  <c r="T496" i="2" s="1"/>
  <c r="L675" i="2"/>
  <c r="N675" i="2" s="1"/>
  <c r="T675" i="2" s="1"/>
  <c r="L485" i="2"/>
  <c r="N485" i="2" s="1"/>
  <c r="T485" i="2" s="1"/>
  <c r="L774" i="2"/>
  <c r="N774" i="2" s="1"/>
  <c r="T774" i="2" s="1"/>
  <c r="L856" i="2"/>
  <c r="N856" i="2" s="1"/>
  <c r="T856" i="2" s="1"/>
  <c r="L325" i="2"/>
  <c r="N325" i="2" s="1"/>
  <c r="T325" i="2" s="1"/>
  <c r="L866" i="2"/>
  <c r="N866" i="2" s="1"/>
  <c r="T866" i="2" s="1"/>
  <c r="L365" i="2"/>
  <c r="N365" i="2" s="1"/>
  <c r="T365" i="2" s="1"/>
  <c r="L139" i="2"/>
  <c r="N139" i="2" s="1"/>
  <c r="T139" i="2" s="1"/>
  <c r="L361" i="2"/>
  <c r="N361" i="2" s="1"/>
  <c r="T361" i="2" s="1"/>
  <c r="L525" i="2"/>
  <c r="N525" i="2" s="1"/>
  <c r="T525" i="2" s="1"/>
  <c r="L778" i="2"/>
  <c r="N778" i="2" s="1"/>
  <c r="T778" i="2" s="1"/>
  <c r="L423" i="2"/>
  <c r="N423" i="2" s="1"/>
  <c r="T423" i="2" s="1"/>
  <c r="L493" i="2"/>
  <c r="N493" i="2" s="1"/>
  <c r="T493" i="2" s="1"/>
  <c r="L913" i="2"/>
  <c r="N913" i="2" s="1"/>
  <c r="T913" i="2" s="1"/>
  <c r="L207" i="2"/>
  <c r="N207" i="2" s="1"/>
  <c r="T207" i="2" s="1"/>
  <c r="L858" i="2"/>
  <c r="N858" i="2" s="1"/>
  <c r="T858" i="2" s="1"/>
  <c r="L141" i="2"/>
  <c r="N141" i="2" s="1"/>
  <c r="T141" i="2" s="1"/>
  <c r="L835" i="2"/>
  <c r="N835" i="2" s="1"/>
  <c r="T835" i="2" s="1"/>
  <c r="L363" i="2"/>
  <c r="N363" i="2" s="1"/>
  <c r="T363" i="2" s="1"/>
  <c r="L390" i="2"/>
  <c r="N390" i="2" s="1"/>
  <c r="T390" i="2" s="1"/>
  <c r="L959" i="2"/>
  <c r="N959" i="2" s="1"/>
  <c r="T959" i="2" s="1"/>
  <c r="L627" i="2"/>
  <c r="N627" i="2" s="1"/>
  <c r="T627" i="2" s="1"/>
  <c r="L262" i="2"/>
  <c r="N262" i="2" s="1"/>
  <c r="T262" i="2" s="1"/>
  <c r="L817" i="2"/>
  <c r="N817" i="2" s="1"/>
  <c r="T817" i="2" s="1"/>
  <c r="L152" i="2"/>
  <c r="N152" i="2" s="1"/>
  <c r="T152" i="2" s="1"/>
  <c r="L343" i="2"/>
  <c r="N343" i="2" s="1"/>
  <c r="T343" i="2" s="1"/>
  <c r="L487" i="2"/>
  <c r="N487" i="2" s="1"/>
  <c r="T487" i="2" s="1"/>
  <c r="L613" i="2"/>
  <c r="N613" i="2" s="1"/>
  <c r="T613" i="2" s="1"/>
  <c r="L962" i="2"/>
  <c r="N962" i="2" s="1"/>
  <c r="T962" i="2" s="1"/>
  <c r="L448" i="2"/>
  <c r="N448" i="2" s="1"/>
  <c r="T448" i="2" s="1"/>
  <c r="L610" i="2"/>
  <c r="N610" i="2" s="1"/>
  <c r="T610" i="2" s="1"/>
  <c r="L334" i="2"/>
  <c r="N334" i="2" s="1"/>
  <c r="T334" i="2" s="1"/>
  <c r="L636" i="2"/>
  <c r="N636" i="2" s="1"/>
  <c r="T636" i="2" s="1"/>
  <c r="L873" i="2"/>
  <c r="N873" i="2" s="1"/>
  <c r="T873" i="2" s="1"/>
  <c r="L109" i="2"/>
  <c r="N109" i="2" s="1"/>
  <c r="T109" i="2" s="1"/>
  <c r="L678" i="2"/>
  <c r="N678" i="2" s="1"/>
  <c r="T678" i="2" s="1"/>
  <c r="L698" i="2"/>
  <c r="N698" i="2" s="1"/>
  <c r="T698" i="2" s="1"/>
  <c r="L982" i="2"/>
  <c r="N982" i="2" s="1"/>
  <c r="T982" i="2" s="1"/>
  <c r="L575" i="2"/>
  <c r="N575" i="2" s="1"/>
  <c r="T575" i="2" s="1"/>
  <c r="L965" i="2"/>
  <c r="N965" i="2" s="1"/>
  <c r="T965" i="2" s="1"/>
  <c r="L729" i="2"/>
  <c r="N729" i="2" s="1"/>
  <c r="T729" i="2" s="1"/>
  <c r="L566" i="2"/>
  <c r="N566" i="2" s="1"/>
  <c r="T566" i="2" s="1"/>
  <c r="L564" i="2"/>
  <c r="N564" i="2" s="1"/>
  <c r="T564" i="2" s="1"/>
  <c r="L792" i="2"/>
  <c r="N792" i="2" s="1"/>
  <c r="T792" i="2" s="1"/>
  <c r="L222" i="2"/>
  <c r="N222" i="2" s="1"/>
  <c r="T222" i="2" s="1"/>
  <c r="L112" i="2"/>
  <c r="N112" i="2" s="1"/>
  <c r="T112" i="2" s="1"/>
  <c r="L645" i="2"/>
  <c r="N645" i="2" s="1"/>
  <c r="T645" i="2" s="1"/>
  <c r="L208" i="2"/>
  <c r="N208" i="2" s="1"/>
  <c r="T208" i="2" s="1"/>
  <c r="L934" i="2"/>
  <c r="N934" i="2" s="1"/>
  <c r="T934" i="2" s="1"/>
  <c r="L991" i="2"/>
  <c r="N991" i="2" s="1"/>
  <c r="T991" i="2" s="1"/>
  <c r="L889" i="2"/>
  <c r="N889" i="2" s="1"/>
  <c r="T889" i="2" s="1"/>
  <c r="L175" i="2"/>
  <c r="N175" i="2" s="1"/>
  <c r="T175" i="2" s="1"/>
  <c r="L713" i="2"/>
  <c r="N713" i="2" s="1"/>
  <c r="T713" i="2" s="1"/>
  <c r="L22" i="2"/>
  <c r="N22" i="2" s="1"/>
  <c r="T22" i="2" s="1"/>
  <c r="L766" i="2"/>
  <c r="N766" i="2" s="1"/>
  <c r="T766" i="2" s="1"/>
  <c r="L439" i="2"/>
  <c r="N439" i="2" s="1"/>
  <c r="T439" i="2" s="1"/>
  <c r="L928" i="2"/>
  <c r="N928" i="2" s="1"/>
  <c r="T928" i="2" s="1"/>
  <c r="L87" i="2"/>
  <c r="N87" i="2" s="1"/>
  <c r="T87" i="2" s="1"/>
  <c r="L21" i="2"/>
  <c r="N21" i="2" s="1"/>
  <c r="T21" i="2" s="1"/>
  <c r="L822" i="2"/>
  <c r="N822" i="2" s="1"/>
  <c r="T822" i="2" s="1"/>
  <c r="L764" i="2"/>
  <c r="N764" i="2" s="1"/>
  <c r="T764" i="2" s="1"/>
  <c r="L562" i="2"/>
  <c r="N562" i="2" s="1"/>
  <c r="T562" i="2" s="1"/>
  <c r="L621" i="2"/>
  <c r="N621" i="2" s="1"/>
  <c r="T621" i="2" s="1"/>
  <c r="L706" i="2"/>
  <c r="N706" i="2" s="1"/>
  <c r="T706" i="2" s="1"/>
  <c r="L168" i="2"/>
  <c r="N168" i="2" s="1"/>
  <c r="T168" i="2" s="1"/>
  <c r="L686" i="2"/>
  <c r="N686" i="2" s="1"/>
  <c r="T686" i="2" s="1"/>
  <c r="L74" i="2"/>
  <c r="N74" i="2" s="1"/>
  <c r="T74" i="2" s="1"/>
  <c r="L39" i="2"/>
  <c r="N39" i="2" s="1"/>
  <c r="T39" i="2" s="1"/>
  <c r="L29" i="2"/>
  <c r="N29" i="2" s="1"/>
  <c r="T29" i="2" s="1"/>
  <c r="L316" i="2"/>
  <c r="N316" i="2" s="1"/>
  <c r="T316" i="2" s="1"/>
  <c r="L344" i="2"/>
  <c r="N344" i="2" s="1"/>
  <c r="T344" i="2" s="1"/>
  <c r="L568" i="2"/>
  <c r="N568" i="2" s="1"/>
  <c r="T568" i="2" s="1"/>
  <c r="L617" i="2"/>
  <c r="N617" i="2" s="1"/>
  <c r="T617" i="2" s="1"/>
  <c r="L535" i="2"/>
  <c r="N535" i="2" s="1"/>
  <c r="T535" i="2" s="1"/>
  <c r="L904" i="2"/>
  <c r="N904" i="2" s="1"/>
  <c r="T904" i="2" s="1"/>
  <c r="L837" i="2"/>
  <c r="N837" i="2" s="1"/>
  <c r="T837" i="2" s="1"/>
  <c r="L14" i="2"/>
  <c r="N14" i="2" s="1"/>
  <c r="T14" i="2" s="1"/>
  <c r="L210" i="2"/>
  <c r="N210" i="2" s="1"/>
  <c r="T210" i="2" s="1"/>
  <c r="L707" i="2"/>
  <c r="N707" i="2" s="1"/>
  <c r="T707" i="2" s="1"/>
  <c r="L246" i="2"/>
  <c r="N246" i="2" s="1"/>
  <c r="T246" i="2" s="1"/>
  <c r="L552" i="2"/>
  <c r="N552" i="2" s="1"/>
  <c r="T552" i="2" s="1"/>
  <c r="L102" i="2"/>
  <c r="N102" i="2" s="1"/>
  <c r="T102" i="2" s="1"/>
  <c r="L469" i="2"/>
  <c r="N469" i="2" s="1"/>
  <c r="T469" i="2" s="1"/>
  <c r="L551" i="2"/>
  <c r="N551" i="2" s="1"/>
  <c r="T551" i="2" s="1"/>
  <c r="L268" i="2"/>
  <c r="N268" i="2" s="1"/>
  <c r="T268" i="2" s="1"/>
  <c r="L473" i="2"/>
  <c r="N473" i="2" s="1"/>
  <c r="T473" i="2" s="1"/>
  <c r="L919" i="2"/>
  <c r="N919" i="2" s="1"/>
  <c r="T919" i="2" s="1"/>
  <c r="L120" i="2"/>
  <c r="N120" i="2" s="1"/>
  <c r="T120" i="2" s="1"/>
  <c r="L629" i="2"/>
  <c r="N629" i="2" s="1"/>
  <c r="T629" i="2" s="1"/>
  <c r="L156" i="2"/>
  <c r="N156" i="2" s="1"/>
  <c r="T156" i="2" s="1"/>
  <c r="L322" i="2"/>
  <c r="N322" i="2" s="1"/>
  <c r="T322" i="2" s="1"/>
  <c r="L609" i="2"/>
  <c r="N609" i="2" s="1"/>
  <c r="T609" i="2" s="1"/>
  <c r="L529" i="2"/>
  <c r="N529" i="2" s="1"/>
  <c r="T529" i="2" s="1"/>
  <c r="L841" i="2"/>
  <c r="N841" i="2" s="1"/>
  <c r="T841" i="2" s="1"/>
  <c r="L289" i="2"/>
  <c r="N289" i="2" s="1"/>
  <c r="T289" i="2" s="1"/>
  <c r="L996" i="2"/>
  <c r="N996" i="2" s="1"/>
  <c r="T996" i="2" s="1"/>
  <c r="L668" i="2"/>
  <c r="N668" i="2" s="1"/>
  <c r="T668" i="2" s="1"/>
  <c r="L910" i="2"/>
  <c r="N910" i="2" s="1"/>
  <c r="T910" i="2" s="1"/>
  <c r="L190" i="2"/>
  <c r="N190" i="2" s="1"/>
  <c r="T190" i="2" s="1"/>
  <c r="L819" i="2"/>
  <c r="N819" i="2" s="1"/>
  <c r="T819" i="2" s="1"/>
  <c r="L937" i="2"/>
  <c r="N937" i="2" s="1"/>
  <c r="T937" i="2" s="1"/>
  <c r="L251" i="2"/>
  <c r="N251" i="2" s="1"/>
  <c r="T251" i="2" s="1"/>
  <c r="L614" i="2"/>
  <c r="N614" i="2" s="1"/>
  <c r="T614" i="2" s="1"/>
  <c r="L653" i="2"/>
  <c r="N653" i="2" s="1"/>
  <c r="T653" i="2" s="1"/>
  <c r="L416" i="2"/>
  <c r="N416" i="2" s="1"/>
  <c r="T416" i="2" s="1"/>
  <c r="L359" i="2"/>
  <c r="N359" i="2" s="1"/>
  <c r="T359" i="2" s="1"/>
  <c r="L228" i="2"/>
  <c r="N228" i="2" s="1"/>
  <c r="T228" i="2" s="1"/>
  <c r="L248" i="2"/>
  <c r="N248" i="2" s="1"/>
  <c r="T248" i="2" s="1"/>
  <c r="L987" i="2"/>
  <c r="N987" i="2" s="1"/>
  <c r="T987" i="2" s="1"/>
  <c r="L633" i="2"/>
  <c r="N633" i="2" s="1"/>
  <c r="T633" i="2" s="1"/>
  <c r="L479" i="2"/>
  <c r="N479" i="2" s="1"/>
  <c r="T479" i="2" s="1"/>
  <c r="L490" i="2"/>
  <c r="N490" i="2" s="1"/>
  <c r="T490" i="2" s="1"/>
  <c r="L44" i="2"/>
  <c r="N44" i="2" s="1"/>
  <c r="T44" i="2" s="1"/>
  <c r="L362" i="2"/>
  <c r="N362" i="2" s="1"/>
  <c r="T362" i="2" s="1"/>
  <c r="L65" i="2"/>
  <c r="N65" i="2" s="1"/>
  <c r="T65" i="2" s="1"/>
  <c r="L793" i="2"/>
  <c r="N793" i="2" s="1"/>
  <c r="T793" i="2" s="1"/>
  <c r="L442" i="2"/>
  <c r="N442" i="2" s="1"/>
  <c r="T442" i="2" s="1"/>
  <c r="L723" i="2"/>
  <c r="N723" i="2" s="1"/>
  <c r="T723" i="2" s="1"/>
  <c r="L415" i="2"/>
  <c r="N415" i="2" s="1"/>
  <c r="T415" i="2" s="1"/>
  <c r="L517" i="2"/>
  <c r="N517" i="2" s="1"/>
  <c r="T517" i="2" s="1"/>
  <c r="L776" i="2"/>
  <c r="N776" i="2" s="1"/>
  <c r="T776" i="2" s="1"/>
  <c r="L984" i="2"/>
  <c r="N984" i="2" s="1"/>
  <c r="T984" i="2" s="1"/>
  <c r="L955" i="2"/>
  <c r="N955" i="2" s="1"/>
  <c r="T955" i="2" s="1"/>
  <c r="L180" i="2"/>
  <c r="N180" i="2" s="1"/>
  <c r="T180" i="2" s="1"/>
  <c r="L859" i="2"/>
  <c r="N859" i="2" s="1"/>
  <c r="T859" i="2" s="1"/>
  <c r="L992" i="2"/>
  <c r="N992" i="2" s="1"/>
  <c r="T992" i="2" s="1"/>
  <c r="L945" i="2"/>
  <c r="N945" i="2" s="1"/>
  <c r="T945" i="2" s="1"/>
  <c r="L973" i="2"/>
  <c r="N973" i="2" s="1"/>
  <c r="T973" i="2" s="1"/>
  <c r="L779" i="2"/>
  <c r="N779" i="2" s="1"/>
  <c r="T779" i="2" s="1"/>
  <c r="L854" i="2"/>
  <c r="N854" i="2" s="1"/>
  <c r="T854" i="2" s="1"/>
  <c r="L302" i="2"/>
  <c r="N302" i="2" s="1"/>
  <c r="T302" i="2" s="1"/>
  <c r="L569" i="2"/>
  <c r="N569" i="2" s="1"/>
  <c r="T569" i="2" s="1"/>
  <c r="L608" i="2"/>
  <c r="N608" i="2" s="1"/>
  <c r="T608" i="2" s="1"/>
  <c r="L253" i="2"/>
  <c r="N253" i="2" s="1"/>
  <c r="T253" i="2" s="1"/>
  <c r="L355" i="2"/>
  <c r="N355" i="2" s="1"/>
  <c r="T355" i="2" s="1"/>
  <c r="L218" i="2"/>
  <c r="N218" i="2" s="1"/>
  <c r="T218" i="2" s="1"/>
  <c r="L557" i="2"/>
  <c r="N557" i="2" s="1"/>
  <c r="T557" i="2" s="1"/>
  <c r="L753" i="2"/>
  <c r="N753" i="2" s="1"/>
  <c r="T753" i="2" s="1"/>
  <c r="L725" i="2"/>
  <c r="N725" i="2" s="1"/>
  <c r="T725" i="2" s="1"/>
  <c r="L277" i="2"/>
  <c r="N277" i="2" s="1"/>
  <c r="T277" i="2" s="1"/>
  <c r="L780" i="2"/>
  <c r="N780" i="2" s="1"/>
  <c r="T780" i="2" s="1"/>
  <c r="L47" i="2"/>
  <c r="N47" i="2" s="1"/>
  <c r="T47" i="2" s="1"/>
  <c r="L740" i="2"/>
  <c r="N740" i="2" s="1"/>
  <c r="T740" i="2" s="1"/>
  <c r="L453" i="2"/>
  <c r="N453" i="2" s="1"/>
  <c r="T453" i="2" s="1"/>
  <c r="L283" i="2"/>
  <c r="N283" i="2" s="1"/>
  <c r="T283" i="2" s="1"/>
  <c r="L332" i="2"/>
  <c r="N332" i="2" s="1"/>
  <c r="T332" i="2" s="1"/>
  <c r="L659" i="2"/>
  <c r="N659" i="2" s="1"/>
  <c r="T659" i="2" s="1"/>
  <c r="L421" i="2"/>
  <c r="N421" i="2" s="1"/>
  <c r="T421" i="2" s="1"/>
  <c r="L998" i="2"/>
  <c r="N998" i="2" s="1"/>
  <c r="T998" i="2" s="1"/>
  <c r="L499" i="2"/>
  <c r="N499" i="2" s="1"/>
  <c r="T499" i="2" s="1"/>
  <c r="L256" i="2"/>
  <c r="N256" i="2" s="1"/>
  <c r="T256" i="2" s="1"/>
  <c r="L134" i="2"/>
  <c r="N134" i="2" s="1"/>
  <c r="T134" i="2" s="1"/>
  <c r="L506" i="2"/>
  <c r="N506" i="2" s="1"/>
  <c r="T506" i="2" s="1"/>
  <c r="L411" i="2"/>
  <c r="N411" i="2" s="1"/>
  <c r="T411" i="2" s="1"/>
  <c r="L803" i="2"/>
  <c r="N803" i="2" s="1"/>
  <c r="T803" i="2" s="1"/>
  <c r="L804" i="2"/>
  <c r="N804" i="2" s="1"/>
  <c r="T804" i="2" s="1"/>
  <c r="L298" i="2"/>
  <c r="N298" i="2" s="1"/>
  <c r="T298" i="2" s="1"/>
  <c r="L205" i="2"/>
  <c r="N205" i="2" s="1"/>
  <c r="T205" i="2" s="1"/>
  <c r="L896" i="2"/>
  <c r="N896" i="2" s="1"/>
  <c r="T896" i="2" s="1"/>
  <c r="L66" i="2"/>
  <c r="N66" i="2" s="1"/>
  <c r="T66" i="2" s="1"/>
  <c r="L966" i="2"/>
  <c r="N966" i="2" s="1"/>
  <c r="T966" i="2" s="1"/>
  <c r="L571" i="2"/>
  <c r="N571" i="2" s="1"/>
  <c r="T571" i="2" s="1"/>
  <c r="L970" i="2"/>
  <c r="N970" i="2" s="1"/>
  <c r="T970" i="2" s="1"/>
  <c r="L69" i="2"/>
  <c r="N69" i="2" s="1"/>
  <c r="T69" i="2" s="1"/>
  <c r="L466" i="2"/>
  <c r="N466" i="2" s="1"/>
  <c r="T466" i="2" s="1"/>
  <c r="L843" i="2"/>
  <c r="N843" i="2" s="1"/>
  <c r="T843" i="2" s="1"/>
  <c r="L395" i="2"/>
  <c r="N395" i="2" s="1"/>
  <c r="T395" i="2" s="1"/>
  <c r="L2" i="2"/>
  <c r="N2" i="2" s="1"/>
  <c r="T2" i="2" s="1"/>
  <c r="L34" i="2"/>
  <c r="N34" i="2" s="1"/>
  <c r="T34" i="2" s="1"/>
  <c r="L100" i="2"/>
  <c r="N100" i="2" s="1"/>
  <c r="T100" i="2" s="1"/>
  <c r="L980" i="2"/>
  <c r="N980" i="2" s="1"/>
  <c r="T980" i="2" s="1"/>
  <c r="L951" i="2"/>
  <c r="N951" i="2" s="1"/>
  <c r="T951" i="2" s="1"/>
  <c r="L460" i="2"/>
  <c r="N460" i="2" s="1"/>
  <c r="T460" i="2" s="1"/>
  <c r="L714" i="2"/>
  <c r="N714" i="2" s="1"/>
  <c r="T714" i="2" s="1"/>
  <c r="L20" i="2"/>
  <c r="N20" i="2" s="1"/>
  <c r="T20" i="2" s="1"/>
  <c r="L827" i="2"/>
  <c r="N827" i="2" s="1"/>
  <c r="T827" i="2" s="1"/>
  <c r="L717" i="2"/>
  <c r="N717" i="2" s="1"/>
  <c r="T717" i="2" s="1"/>
  <c r="L294" i="2"/>
  <c r="N294" i="2" s="1"/>
  <c r="T294" i="2" s="1"/>
  <c r="L147" i="2"/>
  <c r="N147" i="2" s="1"/>
  <c r="T147" i="2" s="1"/>
  <c r="L844" i="2"/>
  <c r="N844" i="2" s="1"/>
  <c r="T844" i="2" s="1"/>
  <c r="L12" i="2"/>
  <c r="N12" i="2" s="1"/>
  <c r="T12" i="2" s="1"/>
  <c r="L812" i="2"/>
  <c r="N812" i="2" s="1"/>
  <c r="T812" i="2" s="1"/>
  <c r="L660" i="2"/>
  <c r="N660" i="2" s="1"/>
  <c r="T660" i="2" s="1"/>
  <c r="L682" i="2"/>
  <c r="N682" i="2" s="1"/>
  <c r="T682" i="2" s="1"/>
  <c r="L654" i="2"/>
  <c r="N654" i="2" s="1"/>
  <c r="T654" i="2" s="1"/>
  <c r="L906" i="2"/>
  <c r="N906" i="2" s="1"/>
  <c r="T906" i="2" s="1"/>
  <c r="L683" i="2"/>
  <c r="N683" i="2" s="1"/>
  <c r="T683" i="2" s="1"/>
  <c r="L97" i="2"/>
  <c r="N97" i="2" s="1"/>
  <c r="T97" i="2" s="1"/>
  <c r="L870" i="2"/>
  <c r="N870" i="2" s="1"/>
  <c r="T870" i="2" s="1"/>
  <c r="L599" i="2"/>
  <c r="N599" i="2" s="1"/>
  <c r="T599" i="2" s="1"/>
  <c r="L211" i="2"/>
  <c r="N211" i="2" s="1"/>
  <c r="T211" i="2" s="1"/>
  <c r="L408" i="2"/>
  <c r="N408" i="2" s="1"/>
  <c r="T408" i="2" s="1"/>
  <c r="A884" i="2" l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</calcChain>
</file>

<file path=xl/sharedStrings.xml><?xml version="1.0" encoding="utf-8"?>
<sst xmlns="http://schemas.openxmlformats.org/spreadsheetml/2006/main" count="119" uniqueCount="111">
  <si>
    <t>Nº de cliente</t>
  </si>
  <si>
    <t>Nombre del cliente</t>
  </si>
  <si>
    <t>Día de entrada</t>
  </si>
  <si>
    <t>Día de hoy</t>
  </si>
  <si>
    <t>diferencia de días</t>
  </si>
  <si>
    <t>Deuda que debe</t>
  </si>
  <si>
    <t>¿nos ignora o nos hace caso?</t>
  </si>
  <si>
    <r>
      <t xml:space="preserve">tiempo </t>
    </r>
    <r>
      <rPr>
        <sz val="11"/>
        <color theme="1"/>
        <rFont val="Aptos Narrow"/>
        <family val="2"/>
      </rPr>
      <t>\\</t>
    </r>
    <r>
      <rPr>
        <sz val="11"/>
        <color theme="1"/>
        <rFont val="Aptos Narrow"/>
        <family val="2"/>
        <scheme val="minor"/>
      </rPr>
      <t>deuda</t>
    </r>
  </si>
  <si>
    <t>&lt;500</t>
  </si>
  <si>
    <t>500&lt;d&lt;1000</t>
  </si>
  <si>
    <t>1000&lt;d&lt;3000</t>
  </si>
  <si>
    <t>3000&lt;d&lt;5000</t>
  </si>
  <si>
    <t>5000&lt;d&lt;10000</t>
  </si>
  <si>
    <t>&gt;10.000</t>
  </si>
  <si>
    <t>&lt;15</t>
  </si>
  <si>
    <t>30º</t>
  </si>
  <si>
    <t>28º</t>
  </si>
  <si>
    <t>27º</t>
  </si>
  <si>
    <t>22º</t>
  </si>
  <si>
    <t>23º</t>
  </si>
  <si>
    <t>24º</t>
  </si>
  <si>
    <t>&lt;25</t>
  </si>
  <si>
    <t>29º</t>
  </si>
  <si>
    <t>25º</t>
  </si>
  <si>
    <t>21º</t>
  </si>
  <si>
    <t>17º</t>
  </si>
  <si>
    <t>11º</t>
  </si>
  <si>
    <t>10º</t>
  </si>
  <si>
    <t>&lt;50</t>
  </si>
  <si>
    <t>26º</t>
  </si>
  <si>
    <t>20º</t>
  </si>
  <si>
    <t>16º</t>
  </si>
  <si>
    <t>14º</t>
  </si>
  <si>
    <t>9º</t>
  </si>
  <si>
    <t>6º</t>
  </si>
  <si>
    <t>&lt;75</t>
  </si>
  <si>
    <t>19º</t>
  </si>
  <si>
    <t>15º</t>
  </si>
  <si>
    <t>13º</t>
  </si>
  <si>
    <t>8º</t>
  </si>
  <si>
    <t>5º</t>
  </si>
  <si>
    <t>3º</t>
  </si>
  <si>
    <t>&gt;75</t>
  </si>
  <si>
    <t>18º</t>
  </si>
  <si>
    <t>12º</t>
  </si>
  <si>
    <t>7º</t>
  </si>
  <si>
    <t>4º</t>
  </si>
  <si>
    <t>2º</t>
  </si>
  <si>
    <t>1º</t>
  </si>
  <si>
    <t>Aleatorio()</t>
  </si>
  <si>
    <t xml:space="preserve">Tipo de préstamo </t>
  </si>
  <si>
    <t>Deuda pasada cerrada</t>
  </si>
  <si>
    <t>Liquidez</t>
  </si>
  <si>
    <t>Activos</t>
  </si>
  <si>
    <t>Fantasma Comunicación</t>
  </si>
  <si>
    <t>Comunicación</t>
  </si>
  <si>
    <t>Riesgo de entrada en Mora</t>
  </si>
  <si>
    <t>deuda</t>
  </si>
  <si>
    <t>frecuencia</t>
  </si>
  <si>
    <t>Frecuencia acumulada</t>
  </si>
  <si>
    <t>intervalos</t>
  </si>
  <si>
    <t>500≤d&lt;1000</t>
  </si>
  <si>
    <t>1000≤d&lt;3000</t>
  </si>
  <si>
    <t>3000≤d&lt;5000</t>
  </si>
  <si>
    <t>5000≤d&lt;10000</t>
  </si>
  <si>
    <t>10000≤d</t>
  </si>
  <si>
    <t xml:space="preserve">                   intervalos</t>
  </si>
  <si>
    <t>prestamo</t>
  </si>
  <si>
    <t>frecuencia acumulada</t>
  </si>
  <si>
    <t>personal</t>
  </si>
  <si>
    <t xml:space="preserve">hipotecario </t>
  </si>
  <si>
    <t>TITULARIDAD</t>
  </si>
  <si>
    <t>IMPORTE DE LA DEUDA</t>
  </si>
  <si>
    <t>FECHA DEL IMPAGO</t>
  </si>
  <si>
    <t xml:space="preserve">TIPO DE MORA O ENTRA </t>
  </si>
  <si>
    <t>PROVISION DE FONDOS PARA CUBRIR MOROSIDAD</t>
  </si>
  <si>
    <t>EL BANCO TIENE QU ETENER DOINERO PARA CUBRIR ESOS IMPAGOS</t>
  </si>
  <si>
    <t>HAY QUE PREVEER QUE SE PRODUZCA UN IMPAGO</t>
  </si>
  <si>
    <t>TIPO DE DEUDA</t>
  </si>
  <si>
    <t>GARANTÍA VIVIENDA</t>
  </si>
  <si>
    <t>HIPOTECARIA</t>
  </si>
  <si>
    <t>BIENES PASADOS, PRESENTES Y FUTURAS</t>
  </si>
  <si>
    <t>PERSONAL</t>
  </si>
  <si>
    <t xml:space="preserve">EN EMPRESAS LOS APODERADOS RESPONDE CON SU PATROMINIO - NUEVA NORMA- RESPONDE A LO OCURRIDO EN LA CRISIS DE 2008 DONDE SOLO RESPONDIAN CON EL PATRIMONIO DE LA EMPRESA </t>
  </si>
  <si>
    <t>ANTICIPO DE NÓMINAS</t>
  </si>
  <si>
    <t xml:space="preserve">SALTAN LAS PERSONAS QUE NO HAN PAGADO - SISTEMA QUE VA ALERTANDO </t>
  </si>
  <si>
    <t>DOS TIPOS DE LISTADOS</t>
  </si>
  <si>
    <t>CLIENTES 0-30 DÍAS IMPAGOS</t>
  </si>
  <si>
    <t>IMPORTE</t>
  </si>
  <si>
    <t>DEUDA VENCIDA</t>
  </si>
  <si>
    <t>PRESOL</t>
  </si>
  <si>
    <t xml:space="preserve">ANTICIPARSE </t>
  </si>
  <si>
    <t>DETECTAR QUE NO ENTRAN NÓMINAS</t>
  </si>
  <si>
    <t>CLIENTES 30-90 DÍAS IMPAGOS</t>
  </si>
  <si>
    <t xml:space="preserve">CADA GESTOR </t>
  </si>
  <si>
    <t>ALREDEDOR DE 400 CLIENTES</t>
  </si>
  <si>
    <t>CARGA OPERATIVA</t>
  </si>
  <si>
    <t>NO CONTACTAR CON EL CLIENTE- NO PODER LOCALIZAR A RESIDENTES</t>
  </si>
  <si>
    <t>ULTIMO RECURSO REDES SOCIALES</t>
  </si>
  <si>
    <t xml:space="preserve">CONSULTAR LA SITUACION DEL CLIENTE SE TARDA MUY POCO </t>
  </si>
  <si>
    <t>MIRAR ACTIVOS E INGRESOS</t>
  </si>
  <si>
    <t xml:space="preserve">HISTORIAL DE IMPAGO </t>
  </si>
  <si>
    <t>TODO APARECE</t>
  </si>
  <si>
    <t>Ki</t>
  </si>
  <si>
    <t>¿cliente deuda abierta?</t>
  </si>
  <si>
    <t>Deuda actual</t>
  </si>
  <si>
    <t>D si Tiene deuda actual</t>
  </si>
  <si>
    <t xml:space="preserve"> SI([@[diferencia de días]]&gt;=90; 0,5; "--"</t>
  </si>
  <si>
    <t>VALORES DE Hg para actuales deudores</t>
  </si>
  <si>
    <t>Valores de HG para deudores cerrados</t>
  </si>
  <si>
    <t>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</si>
</sst>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2" borderId="4" xfId="0" applyFill="1" applyBorder="1"/>
    <xf numFmtId="0" fontId="1" fillId="3" borderId="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8" borderId="7" xfId="0" applyFill="1" applyBorder="1"/>
    <xf numFmtId="0" fontId="0" fillId="8" borderId="9" xfId="0" applyFill="1" applyBorder="1"/>
    <xf numFmtId="0" fontId="0" fillId="8" borderId="12" xfId="0" applyFill="1" applyBorder="1"/>
    <xf numFmtId="0" fontId="0" fillId="9" borderId="8" xfId="0" applyFill="1" applyBorder="1"/>
    <xf numFmtId="0" fontId="0" fillId="9" borderId="9" xfId="0" applyFill="1" applyBorder="1"/>
    <xf numFmtId="0" fontId="0" fillId="9" borderId="10" xfId="0" applyFill="1" applyBorder="1"/>
    <xf numFmtId="0" fontId="0" fillId="9" borderId="12" xfId="0" applyFill="1" applyBorder="1"/>
    <xf numFmtId="0" fontId="0" fillId="9" borderId="13" xfId="0" applyFill="1" applyBorder="1"/>
    <xf numFmtId="0" fontId="0" fillId="9" borderId="14" xfId="0" applyFill="1" applyBorder="1"/>
    <xf numFmtId="0" fontId="0" fillId="0" borderId="0" xfId="0" applyAlignment="1">
      <alignment horizontal="center"/>
    </xf>
    <xf numFmtId="0" fontId="0" fillId="0" borderId="15" xfId="0" applyBorder="1"/>
    <xf numFmtId="0" fontId="0" fillId="9" borderId="5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8" borderId="16" xfId="0" applyFill="1" applyBorder="1"/>
    <xf numFmtId="0" fontId="0" fillId="8" borderId="17" xfId="0" applyFill="1" applyBorder="1"/>
    <xf numFmtId="0" fontId="0" fillId="8" borderId="18" xfId="0" applyFill="1" applyBorder="1"/>
    <xf numFmtId="0" fontId="2" fillId="0" borderId="0" xfId="0" applyFont="1"/>
    <xf numFmtId="0" fontId="0" fillId="8" borderId="1" xfId="0" applyFill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17</xdr:row>
      <xdr:rowOff>120650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AE2ECFB-5536-BF33-66A4-8570351438F9}"/>
            </a:ext>
          </a:extLst>
        </xdr:cNvPr>
        <xdr:cNvSpPr>
          <a:spLocks noChangeAspect="1" noChangeArrowheads="1"/>
        </xdr:cNvSpPr>
      </xdr:nvSpPr>
      <xdr:spPr bwMode="auto">
        <a:xfrm>
          <a:off x="3124200" y="296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15119</xdr:colOff>
      <xdr:row>0</xdr:row>
      <xdr:rowOff>0</xdr:rowOff>
    </xdr:from>
    <xdr:to>
      <xdr:col>14</xdr:col>
      <xdr:colOff>211666</xdr:colOff>
      <xdr:row>11</xdr:row>
      <xdr:rowOff>33066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92CFB10-70F3-47BE-29B9-090830568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36429" y="0"/>
          <a:ext cx="4732261" cy="207413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17</xdr:col>
      <xdr:colOff>58115</xdr:colOff>
      <xdr:row>15</xdr:row>
      <xdr:rowOff>68444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166426C-A32A-4D1C-F926-D9D29AF11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19353" y="2263588"/>
          <a:ext cx="6916115" cy="62873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A76AE2-753D-466C-A6AD-7F18C8A28F25}" name="Tabla2" displayName="Tabla2" ref="A1:T1000" totalsRowShown="0">
  <autoFilter ref="A1:T1000" xr:uid="{C1A76AE2-753D-466C-A6AD-7F18C8A28F25}"/>
  <sortState xmlns:xlrd2="http://schemas.microsoft.com/office/spreadsheetml/2017/richdata2" ref="A2:T1000">
    <sortCondition ref="T1:T1000"/>
  </sortState>
  <tableColumns count="20">
    <tableColumn id="1" xr3:uid="{7BB96F36-F40E-444B-BF3A-DA59FB04A5EB}" name="Nº de cliente">
      <calculatedColumnFormula>A1+1</calculatedColumnFormula>
    </tableColumn>
    <tableColumn id="2" xr3:uid="{1B34978F-96A7-4285-8B4F-C2DDB93A64AF}" name="Día de entrada">
      <calculatedColumnFormula>RANDBETWEEN(DATE(2026,3,1), DATE(2026,5,1))</calculatedColumnFormula>
    </tableColumn>
    <tableColumn id="3" xr3:uid="{23BA306B-C1E5-4F96-B0DC-A5B43AE98778}" name="Día de hoy">
      <calculatedColumnFormula>TODAY()</calculatedColumnFormula>
    </tableColumn>
    <tableColumn id="4" xr3:uid="{BEEFC68F-A559-4E43-9289-481793610131}" name="diferencia de días">
      <calculatedColumnFormula>ROUND((-(15) * LN(RAND())),0)</calculatedColumnFormula>
    </tableColumn>
    <tableColumn id="5" xr3:uid="{0C379288-A612-4BBC-A456-B5E792CAF87D}" name="Aleatorio()">
      <calculatedColumnFormula>RAND()</calculatedColumnFormula>
    </tableColumn>
    <tableColumn id="23" xr3:uid="{EA804054-EFA2-4F24-862B-4AF0F0BE2D08}" name="Deuda actual">
      <calculatedColumnFormula>ROUND(MIN(10000, _xlfn.LOGNORM.INV(RAND(), 69/10, 13/10)),2)</calculatedColumnFormula>
    </tableColumn>
    <tableColumn id="12" xr3:uid="{09400438-DA43-476C-848D-75D2E9A4DE74}" name="Tipo de préstamo ">
      <calculatedColumnFormula>IF(RAND()&lt;=0.5,"personal","hipotecario")</calculatedColumnFormula>
    </tableColumn>
    <tableColumn id="7" xr3:uid="{78C69422-2DDD-41DE-8857-C1A89E3E1444}" name="Ki">
      <calculatedColumnFormula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calculatedColumnFormula>
    </tableColumn>
    <tableColumn id="15" xr3:uid="{5A7271D1-AD87-48E6-8877-2025CDEA79CC}" name="¿cliente deuda abierta?">
      <calculatedColumnFormula>IF(RAND()&lt;=0.65, "Sí", "No")</calculatedColumnFormula>
    </tableColumn>
    <tableColumn id="18" xr3:uid="{E31F60A1-1B22-4E0F-BBFD-B2D0E94DD9BD}" name="Deuda pasada cerrada">
      <calculatedColumnFormula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calculatedColumnFormula>
    </tableColumn>
    <tableColumn id="9" xr3:uid="{0BCAE446-123A-4A8E-9F9B-ECF2EB5661FD}" name="D si Tiene deuda actual">
      <calculatedColumnFormula>IF(Tabla2[[#This Row],[¿cliente deuda abierta?]]="Sí", Tabla2[[#This Row],[Deuda actual]]*Tabla2[[#This Row],[diferencia de días]], "0")</calculatedColumnFormula>
    </tableColumn>
    <tableColumn id="10" xr3:uid="{984DCEC9-5444-465E-857F-B093BC0A5052}" name="VALORES DE Hg para actuales deudores">
      <calculatedColumnFormula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calculatedColumnFormula>
    </tableColumn>
    <tableColumn id="19" xr3:uid="{B114CBAC-F63B-419F-B73F-AAC120A5A236}" name="Valores de HG para deudores cerrados">
      <calculatedColumnFormula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calculatedColumnFormula>
    </tableColumn>
    <tableColumn id="24" xr3:uid="{D75CA242-7089-48CB-A16E-4BA13FA0268F}" name="Hg">
      <calculatedColumnFormula>MAX(Tabla2[[#This Row],[VALORES DE Hg para actuales deudores]:[Valores de HG para deudores cerrados]])*IF(Tabla2[[#This Row],[VALORES DE Hg para actuales deudores]]&gt;Tabla2[[#This Row],[Valores de HG para deudores cerrados]],-1,1)</calculatedColumnFormula>
    </tableColumn>
    <tableColumn id="22" xr3:uid="{1452DDFB-5CBE-4EDA-8115-8F45D350CC2B}" name="Liquidez">
      <calculatedColumnFormula>ROUND(1000*(_xlfn.LOGNORM.INV(RAND(), 0.5, 0.2)),2)</calculatedColumnFormula>
    </tableColumn>
    <tableColumn id="11" xr3:uid="{FB3FF9B4-A65E-4D71-BE4D-712630A45A30}" name="Activos">
      <calculatedColumnFormula>ROUND(50000*(_xlfn.LOGNORM.INV(RAND(), 1, 0.75)),2)</calculatedColumnFormula>
    </tableColumn>
    <tableColumn id="20" xr3:uid="{9B2E8BFD-D2E4-48D9-9C11-4756C20CA9FE}" name="Fantasma Comunicación"/>
    <tableColumn id="13" xr3:uid="{652272C2-FAC1-4901-96A0-C03DE0072647}" name="Comunicación">
      <calculatedColumnFormula>((Tabla2[[#This Row],[Fantasma Comunicación]]+1)/(Tabla2[[#This Row],[Fantasma Comunicación]]+RANDBETWEEN(0,5)+2))-0.5</calculatedColumnFormula>
    </tableColumn>
    <tableColumn id="14" xr3:uid="{9EFBD013-1B2F-4005-AE7A-74AB60D77C74}" name="CARGA OPERATIVA">
      <calculatedColumnFormula>1+MAX(0,Tabla2[[#This Row],[Deuda actual]]/Tabla2[[#This Row],[Liquidez]]+Tabla2[[#This Row],[Liquidez]]/(Tabla2[[#This Row],[Activos]]+Tabla2[[#This Row],[Liquidez]])+Tabla2[[#This Row],[Comunicación]])</calculatedColumnFormula>
    </tableColumn>
    <tableColumn id="21" xr3:uid="{747D7AD4-BB3D-4F80-8803-9FA86C9D21B8}" name="Riesgo de entrada en Mora">
      <calculatedColumnFormula>Tabla2[[#This Row],[Deuda actual]]*EXP(Tabla2[[#This Row],[Ki]]*Tabla2[[#This Row],[diferencia de días]])*(1+Tabla2[[#This Row],[Hg]])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0C067-D2F0-461E-966F-8BEF8500D296}">
  <dimension ref="A1:G8"/>
  <sheetViews>
    <sheetView topLeftCell="A3" zoomScale="250" workbookViewId="0">
      <selection sqref="A1:G1"/>
    </sheetView>
  </sheetViews>
  <sheetFormatPr baseColWidth="10" defaultColWidth="11.453125" defaultRowHeight="14.5" x14ac:dyDescent="0.35"/>
  <cols>
    <col min="1" max="1" width="16.1796875" bestFit="1" customWidth="1"/>
    <col min="2" max="2" width="16.54296875" bestFit="1" customWidth="1"/>
    <col min="3" max="3" width="12.81640625" bestFit="1" customWidth="1"/>
    <col min="4" max="4" width="12.7265625" bestFit="1" customWidth="1"/>
    <col min="5" max="5" width="15.1796875" bestFit="1" customWidth="1"/>
    <col min="6" max="6" width="14.26953125" bestFit="1" customWidth="1"/>
    <col min="7" max="7" width="25.1796875" bestFit="1" customWidth="1"/>
  </cols>
  <sheetData>
    <row r="1" spans="1:7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 t="s">
        <v>6</v>
      </c>
    </row>
    <row r="2" spans="1:7" ht="15" thickBot="1" x14ac:dyDescent="0.4"/>
    <row r="3" spans="1:7" x14ac:dyDescent="0.35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5" t="s">
        <v>13</v>
      </c>
    </row>
    <row r="4" spans="1:7" x14ac:dyDescent="0.35">
      <c r="A4" s="6" t="s">
        <v>14</v>
      </c>
      <c r="B4" s="16" t="s">
        <v>15</v>
      </c>
      <c r="C4" s="17" t="s">
        <v>16</v>
      </c>
      <c r="D4" s="17" t="s">
        <v>17</v>
      </c>
      <c r="E4" s="17" t="s">
        <v>18</v>
      </c>
      <c r="F4" s="17" t="s">
        <v>19</v>
      </c>
      <c r="G4" s="20" t="s">
        <v>20</v>
      </c>
    </row>
    <row r="5" spans="1:7" x14ac:dyDescent="0.35">
      <c r="A5" s="6" t="s">
        <v>21</v>
      </c>
      <c r="B5" s="16" t="s">
        <v>22</v>
      </c>
      <c r="C5" s="17" t="s">
        <v>23</v>
      </c>
      <c r="D5" s="17" t="s">
        <v>24</v>
      </c>
      <c r="E5" s="18" t="s">
        <v>25</v>
      </c>
      <c r="F5" s="9" t="s">
        <v>26</v>
      </c>
      <c r="G5" s="10" t="s">
        <v>27</v>
      </c>
    </row>
    <row r="6" spans="1:7" x14ac:dyDescent="0.35">
      <c r="A6" s="6" t="s">
        <v>28</v>
      </c>
      <c r="B6" s="17" t="s">
        <v>29</v>
      </c>
      <c r="C6" s="17" t="s">
        <v>30</v>
      </c>
      <c r="D6" s="18" t="s">
        <v>31</v>
      </c>
      <c r="E6" s="18" t="s">
        <v>32</v>
      </c>
      <c r="F6" s="9" t="s">
        <v>33</v>
      </c>
      <c r="G6" s="11" t="s">
        <v>34</v>
      </c>
    </row>
    <row r="7" spans="1:7" x14ac:dyDescent="0.35">
      <c r="A7" s="6" t="s">
        <v>35</v>
      </c>
      <c r="B7" s="17" t="s">
        <v>36</v>
      </c>
      <c r="C7" s="18" t="s">
        <v>37</v>
      </c>
      <c r="D7" s="18" t="s">
        <v>38</v>
      </c>
      <c r="E7" s="9" t="s">
        <v>39</v>
      </c>
      <c r="F7" s="9" t="s">
        <v>40</v>
      </c>
      <c r="G7" s="12" t="s">
        <v>41</v>
      </c>
    </row>
    <row r="8" spans="1:7" ht="15" thickBot="1" x14ac:dyDescent="0.4">
      <c r="A8" s="7" t="s">
        <v>42</v>
      </c>
      <c r="B8" s="19" t="s">
        <v>43</v>
      </c>
      <c r="C8" s="19" t="s">
        <v>44</v>
      </c>
      <c r="D8" s="13" t="s">
        <v>45</v>
      </c>
      <c r="E8" s="13" t="s">
        <v>46</v>
      </c>
      <c r="F8" s="14" t="s">
        <v>47</v>
      </c>
      <c r="G8" s="15" t="s">
        <v>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4FDD-4DD6-47A2-9F1F-8FF59E0986B2}">
  <dimension ref="A1:U1000"/>
  <sheetViews>
    <sheetView tabSelected="1" topLeftCell="A34" zoomScale="50" zoomScaleNormal="39" workbookViewId="0">
      <selection activeCell="U11" sqref="U11"/>
    </sheetView>
  </sheetViews>
  <sheetFormatPr baseColWidth="10" defaultColWidth="11.453125" defaultRowHeight="15" customHeight="1" x14ac:dyDescent="0.35"/>
  <cols>
    <col min="1" max="1" width="13.1796875" customWidth="1"/>
    <col min="2" max="2" width="16.1796875" bestFit="1" customWidth="1"/>
    <col min="3" max="3" width="12.54296875" bestFit="1" customWidth="1"/>
    <col min="4" max="4" width="18.81640625" bestFit="1" customWidth="1"/>
    <col min="5" max="5" width="15" bestFit="1" customWidth="1"/>
    <col min="6" max="6" width="24.453125" customWidth="1"/>
    <col min="7" max="7" width="24.453125" bestFit="1" customWidth="1"/>
    <col min="8" max="8" width="24.453125" customWidth="1"/>
    <col min="9" max="9" width="27.453125" bestFit="1" customWidth="1"/>
    <col min="10" max="10" width="22.1796875" customWidth="1"/>
    <col min="11" max="11" width="24.6328125" style="30" bestFit="1" customWidth="1"/>
    <col min="12" max="12" width="39.1796875" style="30" bestFit="1" customWidth="1"/>
    <col min="13" max="13" width="38" style="30" bestFit="1" customWidth="1"/>
    <col min="14" max="14" width="23.81640625" style="30" customWidth="1"/>
    <col min="15" max="15" width="23.81640625" customWidth="1"/>
    <col min="16" max="16" width="13.453125" customWidth="1"/>
    <col min="17" max="17" width="13.453125" bestFit="1" customWidth="1"/>
    <col min="18" max="18" width="13.453125" customWidth="1"/>
    <col min="19" max="19" width="23.453125" bestFit="1" customWidth="1"/>
    <col min="20" max="21" width="27.54296875" bestFit="1" customWidth="1"/>
    <col min="23" max="25" width="20.453125" bestFit="1" customWidth="1"/>
    <col min="27" max="27" width="13.81640625" bestFit="1" customWidth="1"/>
    <col min="29" max="29" width="11" bestFit="1" customWidth="1"/>
    <col min="30" max="31" width="11.453125" customWidth="1"/>
  </cols>
  <sheetData>
    <row r="1" spans="1:21" ht="14.5" x14ac:dyDescent="0.35">
      <c r="A1" t="s">
        <v>0</v>
      </c>
      <c r="B1" t="s">
        <v>2</v>
      </c>
      <c r="C1" t="s">
        <v>3</v>
      </c>
      <c r="D1" t="s">
        <v>4</v>
      </c>
      <c r="E1" t="s">
        <v>49</v>
      </c>
      <c r="F1" t="s">
        <v>105</v>
      </c>
      <c r="G1" t="s">
        <v>50</v>
      </c>
      <c r="H1" t="s">
        <v>103</v>
      </c>
      <c r="I1" t="s">
        <v>104</v>
      </c>
      <c r="J1" t="s">
        <v>51</v>
      </c>
      <c r="K1" t="s">
        <v>106</v>
      </c>
      <c r="L1" t="s">
        <v>108</v>
      </c>
      <c r="M1" t="s">
        <v>109</v>
      </c>
      <c r="N1" t="s">
        <v>110</v>
      </c>
      <c r="O1" t="s">
        <v>52</v>
      </c>
      <c r="P1" t="s">
        <v>53</v>
      </c>
      <c r="Q1" t="s">
        <v>54</v>
      </c>
      <c r="R1" t="s">
        <v>55</v>
      </c>
      <c r="S1" t="s">
        <v>96</v>
      </c>
      <c r="T1" t="s">
        <v>56</v>
      </c>
    </row>
    <row r="2" spans="1:21" ht="14.5" x14ac:dyDescent="0.35">
      <c r="A2">
        <v>1</v>
      </c>
      <c r="B2">
        <f t="shared" ref="B2:B65" ca="1" si="0">RANDBETWEEN(DATE(2026,3,1), DATE(2026,5,1))</f>
        <v>46115</v>
      </c>
      <c r="C2">
        <f t="shared" ref="C2:C65" ca="1" si="1">TODAY()</f>
        <v>46157</v>
      </c>
      <c r="D2">
        <f t="shared" ref="D2:D65" ca="1" si="2">ROUND((-(15) * LN(RAND())),0)</f>
        <v>20</v>
      </c>
      <c r="E2">
        <f t="shared" ref="E2:E65" ca="1" si="3">RAND()</f>
        <v>0.24041174547467958</v>
      </c>
      <c r="F2">
        <f t="shared" ref="F2:F65" ca="1" si="4">ROUND(MIN(10000, _xlfn.LOGNORM.INV(RAND(), 69/10, 13/10)),2)</f>
        <v>2442.0700000000002</v>
      </c>
      <c r="G2" t="str">
        <f t="shared" ref="G2:G65" ca="1" si="5">IF(RAND()&lt;=0.5,"personal","hipotecario")</f>
        <v>personal</v>
      </c>
      <c r="H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" t="str">
        <f t="shared" ref="I2:I65" ca="1" si="6">IF(RAND()&lt;=0.65, "Sí", "No")</f>
        <v>Sí</v>
      </c>
      <c r="J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">
        <f ca="1">IF(Tabla2[[#This Row],[¿cliente deuda abierta?]]="Sí", Tabla2[[#This Row],[Deuda actual]]*Tabla2[[#This Row],[diferencia de días]], "0")</f>
        <v>48841.4</v>
      </c>
      <c r="L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2">
        <f t="shared" ref="O2:O65" ca="1" si="7">ROUND(1000*(_xlfn.LOGNORM.INV(RAND(), 0.5, 0.2)),2)</f>
        <v>1881.02</v>
      </c>
      <c r="P2">
        <f t="shared" ref="P2:P65" ca="1" si="8">ROUND(50000*(_xlfn.LOGNORM.INV(RAND(), 1, 0.75)),2)</f>
        <v>25319.7</v>
      </c>
      <c r="Q2">
        <f t="shared" ref="Q2:Q65" ca="1" si="9">RANDBETWEEN(0,5)</f>
        <v>1</v>
      </c>
      <c r="R2">
        <f ca="1">((Tabla2[[#This Row],[Fantasma Comunicación]]+1)/(Tabla2[[#This Row],[Fantasma Comunicación]]+RANDBETWEEN(0,5)+2))-0.5</f>
        <v>-0.2142857142857143</v>
      </c>
      <c r="S2">
        <f ca="1">1+MAX(0,Tabla2[[#This Row],[Deuda actual]]/Tabla2[[#This Row],[Liquidez]]+Tabla2[[#This Row],[Liquidez]]/(Tabla2[[#This Row],[Activos]]+Tabla2[[#This Row],[Liquidez]])+Tabla2[[#This Row],[Comunicación]])</f>
        <v>2.1531366264969414</v>
      </c>
      <c r="T2">
        <f ca="1">Tabla2[[#This Row],[Deuda actual]]*EXP(Tabla2[[#This Row],[Ki]]*Tabla2[[#This Row],[diferencia de días]])*(1+Tabla2[[#This Row],[Hg]])</f>
        <v>2707.8534065521635</v>
      </c>
    </row>
    <row r="3" spans="1:21" ht="14.5" x14ac:dyDescent="0.35">
      <c r="A3">
        <f t="shared" ref="A2:A65" si="10">A2+1</f>
        <v>2</v>
      </c>
      <c r="B3">
        <f t="shared" ca="1" si="0"/>
        <v>46124</v>
      </c>
      <c r="C3">
        <f t="shared" ca="1" si="1"/>
        <v>46157</v>
      </c>
      <c r="D3">
        <f t="shared" ca="1" si="2"/>
        <v>40</v>
      </c>
      <c r="E3">
        <f t="shared" ca="1" si="3"/>
        <v>0.12880826217211205</v>
      </c>
      <c r="F3">
        <f t="shared" ca="1" si="4"/>
        <v>3798.49</v>
      </c>
      <c r="G3" t="str">
        <f t="shared" ca="1" si="5"/>
        <v>personal</v>
      </c>
      <c r="H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3" t="str">
        <f t="shared" ca="1" si="6"/>
        <v>Sí</v>
      </c>
      <c r="J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">
        <f ca="1">IF(Tabla2[[#This Row],[¿cliente deuda abierta?]]="Sí", Tabla2[[#This Row],[Deuda actual]]*Tabla2[[#This Row],[diferencia de días]], "0")</f>
        <v>151939.59999999998</v>
      </c>
      <c r="L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3">
        <f t="shared" ca="1" si="7"/>
        <v>1820.23</v>
      </c>
      <c r="P3">
        <f t="shared" ca="1" si="8"/>
        <v>123426.07</v>
      </c>
      <c r="Q3">
        <f t="shared" ca="1" si="9"/>
        <v>0</v>
      </c>
      <c r="R3">
        <f ca="1">((Tabla2[[#This Row],[Fantasma Comunicación]]+1)/(Tabla2[[#This Row],[Fantasma Comunicación]]+RANDBETWEEN(0,5)+2))-0.5</f>
        <v>-0.33333333333333337</v>
      </c>
      <c r="S3">
        <f ca="1">1+MAX(0,Tabla2[[#This Row],[Deuda actual]]/Tabla2[[#This Row],[Liquidez]]+Tabla2[[#This Row],[Liquidez]]/(Tabla2[[#This Row],[Activos]]+Tabla2[[#This Row],[Liquidez]])+Tabla2[[#This Row],[Comunicación]])</f>
        <v>2.7680185691778219</v>
      </c>
      <c r="T3">
        <f ca="1">Tabla2[[#This Row],[Deuda actual]]*EXP(Tabla2[[#This Row],[Ki]]*Tabla2[[#This Row],[diferencia de días]])*(1+Tabla2[[#This Row],[Hg]])</f>
        <v>4546.5357153113509</v>
      </c>
    </row>
    <row r="4" spans="1:21" ht="14.5" x14ac:dyDescent="0.35">
      <c r="A4">
        <f t="shared" si="10"/>
        <v>3</v>
      </c>
      <c r="B4">
        <f t="shared" ca="1" si="0"/>
        <v>46127</v>
      </c>
      <c r="C4">
        <f t="shared" ca="1" si="1"/>
        <v>46157</v>
      </c>
      <c r="D4">
        <f t="shared" ca="1" si="2"/>
        <v>31</v>
      </c>
      <c r="E4">
        <f t="shared" ca="1" si="3"/>
        <v>0.52816434506216192</v>
      </c>
      <c r="F4">
        <f t="shared" ca="1" si="4"/>
        <v>891.44</v>
      </c>
      <c r="G4" t="str">
        <f t="shared" ca="1" si="5"/>
        <v>hipotecario</v>
      </c>
      <c r="H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4" t="str">
        <f t="shared" ca="1" si="6"/>
        <v>Sí</v>
      </c>
      <c r="J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">
        <f ca="1">IF(Tabla2[[#This Row],[¿cliente deuda abierta?]]="Sí", Tabla2[[#This Row],[Deuda actual]]*Tabla2[[#This Row],[diferencia de días]], "0")</f>
        <v>27634.640000000003</v>
      </c>
      <c r="L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">
        <f t="shared" ca="1" si="7"/>
        <v>1764.44</v>
      </c>
      <c r="P4">
        <f t="shared" ca="1" si="8"/>
        <v>124169.19</v>
      </c>
      <c r="Q4">
        <f t="shared" ca="1" si="9"/>
        <v>2</v>
      </c>
      <c r="R4">
        <f ca="1">((Tabla2[[#This Row],[Fantasma Comunicación]]+1)/(Tabla2[[#This Row],[Fantasma Comunicación]]+RANDBETWEEN(0,5)+2))-0.5</f>
        <v>-0.16666666666666669</v>
      </c>
      <c r="S4">
        <f ca="1">1+MAX(0,Tabla2[[#This Row],[Deuda actual]]/Tabla2[[#This Row],[Liquidez]]+Tabla2[[#This Row],[Liquidez]]/(Tabla2[[#This Row],[Activos]]+Tabla2[[#This Row],[Liquidez]])+Tabla2[[#This Row],[Comunicación]])</f>
        <v>1.3525696595365744</v>
      </c>
      <c r="T4">
        <f ca="1">Tabla2[[#This Row],[Deuda actual]]*EXP(Tabla2[[#This Row],[Ki]]*Tabla2[[#This Row],[diferencia de días]])*(1+Tabla2[[#This Row],[Hg]])</f>
        <v>965.48280946383204</v>
      </c>
    </row>
    <row r="5" spans="1:21" ht="14.5" x14ac:dyDescent="0.35">
      <c r="A5">
        <f t="shared" si="10"/>
        <v>4</v>
      </c>
      <c r="B5">
        <f t="shared" ca="1" si="0"/>
        <v>46136</v>
      </c>
      <c r="C5">
        <f t="shared" ca="1" si="1"/>
        <v>46157</v>
      </c>
      <c r="D5">
        <f t="shared" ca="1" si="2"/>
        <v>24</v>
      </c>
      <c r="E5">
        <f t="shared" ca="1" si="3"/>
        <v>0.39659588615869912</v>
      </c>
      <c r="F5">
        <f t="shared" ca="1" si="4"/>
        <v>2687.37</v>
      </c>
      <c r="G5" t="str">
        <f t="shared" ca="1" si="5"/>
        <v>hipotecario</v>
      </c>
      <c r="H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" t="str">
        <f t="shared" ca="1" si="6"/>
        <v>No</v>
      </c>
      <c r="J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164999.47555754147</v>
      </c>
      <c r="K5" t="str">
        <f ca="1">IF(Tabla2[[#This Row],[¿cliente deuda abierta?]]="Sí", Tabla2[[#This Row],[Deuda actual]]*Tabla2[[#This Row],[diferencia de días]], "0")</f>
        <v>0</v>
      </c>
      <c r="L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">
        <f t="shared" ca="1" si="7"/>
        <v>1767.03</v>
      </c>
      <c r="P5">
        <f t="shared" ca="1" si="8"/>
        <v>823929.61</v>
      </c>
      <c r="Q5">
        <f t="shared" ca="1" si="9"/>
        <v>3</v>
      </c>
      <c r="R5">
        <f ca="1">((Tabla2[[#This Row],[Fantasma Comunicación]]+1)/(Tabla2[[#This Row],[Fantasma Comunicación]]+RANDBETWEEN(0,5)+2))-0.5</f>
        <v>-5.555555555555558E-2</v>
      </c>
      <c r="S5">
        <f ca="1">1+MAX(0,Tabla2[[#This Row],[Deuda actual]]/Tabla2[[#This Row],[Liquidez]]+Tabla2[[#This Row],[Liquidez]]/(Tabla2[[#This Row],[Activos]]+Tabla2[[#This Row],[Liquidez]])+Tabla2[[#This Row],[Comunicación]])</f>
        <v>2.4674245455572246</v>
      </c>
      <c r="T5">
        <f ca="1">Tabla2[[#This Row],[Deuda actual]]*EXP(Tabla2[[#This Row],[Ki]]*Tabla2[[#This Row],[diferencia de días]])*(1+Tabla2[[#This Row],[Hg]])</f>
        <v>2170.6343865850436</v>
      </c>
    </row>
    <row r="6" spans="1:21" ht="14.5" x14ac:dyDescent="0.35">
      <c r="A6">
        <f t="shared" si="10"/>
        <v>5</v>
      </c>
      <c r="B6">
        <f t="shared" ca="1" si="0"/>
        <v>46141</v>
      </c>
      <c r="C6">
        <f t="shared" ca="1" si="1"/>
        <v>46157</v>
      </c>
      <c r="D6">
        <f t="shared" ca="1" si="2"/>
        <v>15</v>
      </c>
      <c r="E6">
        <f t="shared" ca="1" si="3"/>
        <v>0.19853386245447446</v>
      </c>
      <c r="F6">
        <f t="shared" ca="1" si="4"/>
        <v>137.08000000000001</v>
      </c>
      <c r="G6" t="str">
        <f t="shared" ca="1" si="5"/>
        <v>personal</v>
      </c>
      <c r="H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" t="str">
        <f t="shared" ca="1" si="6"/>
        <v>Sí</v>
      </c>
      <c r="J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">
        <f ca="1">IF(Tabla2[[#This Row],[¿cliente deuda abierta?]]="Sí", Tabla2[[#This Row],[Deuda actual]]*Tabla2[[#This Row],[diferencia de días]], "0")</f>
        <v>2056.2000000000003</v>
      </c>
      <c r="L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">
        <f t="shared" ca="1" si="7"/>
        <v>2157.0300000000002</v>
      </c>
      <c r="P6">
        <f t="shared" ca="1" si="8"/>
        <v>141667.42000000001</v>
      </c>
      <c r="Q6">
        <f t="shared" ca="1" si="9"/>
        <v>2</v>
      </c>
      <c r="R6">
        <f ca="1">((Tabla2[[#This Row],[Fantasma Comunicación]]+1)/(Tabla2[[#This Row],[Fantasma Comunicación]]+RANDBETWEEN(0,5)+2))-0.5</f>
        <v>-0.125</v>
      </c>
      <c r="S6">
        <f ca="1">1+MAX(0,Tabla2[[#This Row],[Deuda actual]]/Tabla2[[#This Row],[Liquidez]]+Tabla2[[#This Row],[Liquidez]]/(Tabla2[[#This Row],[Activos]]+Tabla2[[#This Row],[Liquidez]])+Tabla2[[#This Row],[Comunicación]])</f>
        <v>1</v>
      </c>
      <c r="T6">
        <f ca="1">Tabla2[[#This Row],[Deuda actual]]*EXP(Tabla2[[#This Row],[Ki]]*Tabla2[[#This Row],[diferencia de días]])*(1+Tabla2[[#This Row],[Hg]])</f>
        <v>144.80020000140581</v>
      </c>
    </row>
    <row r="7" spans="1:21" ht="14.5" x14ac:dyDescent="0.35">
      <c r="A7">
        <f t="shared" si="10"/>
        <v>6</v>
      </c>
      <c r="B7">
        <f t="shared" ca="1" si="0"/>
        <v>46116</v>
      </c>
      <c r="C7">
        <f t="shared" ca="1" si="1"/>
        <v>46157</v>
      </c>
      <c r="D7">
        <f t="shared" ca="1" si="2"/>
        <v>8</v>
      </c>
      <c r="E7">
        <f t="shared" ca="1" si="3"/>
        <v>2.6587838480011561E-2</v>
      </c>
      <c r="F7">
        <f t="shared" ca="1" si="4"/>
        <v>607.33000000000004</v>
      </c>
      <c r="G7" t="str">
        <f t="shared" ca="1" si="5"/>
        <v>personal</v>
      </c>
      <c r="H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" t="str">
        <f t="shared" ca="1" si="6"/>
        <v>No</v>
      </c>
      <c r="J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11999.392452740869</v>
      </c>
      <c r="K7" t="str">
        <f ca="1">IF(Tabla2[[#This Row],[¿cliente deuda abierta?]]="Sí", Tabla2[[#This Row],[Deuda actual]]*Tabla2[[#This Row],[diferencia de días]], "0")</f>
        <v>0</v>
      </c>
      <c r="L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">
        <f t="shared" ca="1" si="7"/>
        <v>1328.18</v>
      </c>
      <c r="P7">
        <f t="shared" ca="1" si="8"/>
        <v>161337.35999999999</v>
      </c>
      <c r="Q7">
        <f t="shared" ca="1" si="9"/>
        <v>5</v>
      </c>
      <c r="R7">
        <f ca="1">((Tabla2[[#This Row],[Fantasma Comunicación]]+1)/(Tabla2[[#This Row],[Fantasma Comunicación]]+RANDBETWEEN(0,5)+2))-0.5</f>
        <v>0.25</v>
      </c>
      <c r="S7">
        <f ca="1">1+MAX(0,Tabla2[[#This Row],[Deuda actual]]/Tabla2[[#This Row],[Liquidez]]+Tabla2[[#This Row],[Liquidez]]/(Tabla2[[#This Row],[Activos]]+Tabla2[[#This Row],[Liquidez]])+Tabla2[[#This Row],[Comunicación]])</f>
        <v>1.7154299260993398</v>
      </c>
      <c r="T7">
        <f ca="1">Tabla2[[#This Row],[Deuda actual]]*EXP(Tabla2[[#This Row],[Ki]]*Tabla2[[#This Row],[diferencia de días]])*(1+Tabla2[[#This Row],[Hg]])</f>
        <v>547.47225521745281</v>
      </c>
    </row>
    <row r="8" spans="1:21" ht="14.5" x14ac:dyDescent="0.35">
      <c r="A8">
        <f t="shared" si="10"/>
        <v>7</v>
      </c>
      <c r="B8">
        <f t="shared" ca="1" si="0"/>
        <v>46094</v>
      </c>
      <c r="C8">
        <f t="shared" ca="1" si="1"/>
        <v>46157</v>
      </c>
      <c r="D8">
        <f t="shared" ca="1" si="2"/>
        <v>0</v>
      </c>
      <c r="E8">
        <f t="shared" ca="1" si="3"/>
        <v>6.7932180184640645E-2</v>
      </c>
      <c r="F8">
        <f t="shared" ca="1" si="4"/>
        <v>485.34</v>
      </c>
      <c r="G8" t="str">
        <f t="shared" ca="1" si="5"/>
        <v>hipotecario</v>
      </c>
      <c r="H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" t="str">
        <f t="shared" ca="1" si="6"/>
        <v>No</v>
      </c>
      <c r="J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164999.59965835596</v>
      </c>
      <c r="K8" t="str">
        <f ca="1">IF(Tabla2[[#This Row],[¿cliente deuda abierta?]]="Sí", Tabla2[[#This Row],[Deuda actual]]*Tabla2[[#This Row],[diferencia de días]], "0")</f>
        <v>0</v>
      </c>
      <c r="L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8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8">
        <f t="shared" ca="1" si="7"/>
        <v>1508.87</v>
      </c>
      <c r="P8">
        <f t="shared" ca="1" si="8"/>
        <v>28824.07</v>
      </c>
      <c r="Q8">
        <f t="shared" ca="1" si="9"/>
        <v>5</v>
      </c>
      <c r="R8">
        <f ca="1">((Tabla2[[#This Row],[Fantasma Comunicación]]+1)/(Tabla2[[#This Row],[Fantasma Comunicación]]+RANDBETWEEN(0,5)+2))-0.5</f>
        <v>0.3571428571428571</v>
      </c>
      <c r="S8">
        <f ca="1">1+MAX(0,Tabla2[[#This Row],[Deuda actual]]/Tabla2[[#This Row],[Liquidez]]+Tabla2[[#This Row],[Liquidez]]/(Tabla2[[#This Row],[Activos]]+Tabla2[[#This Row],[Liquidez]])+Tabla2[[#This Row],[Comunicación]])</f>
        <v>1.7285443986467701</v>
      </c>
      <c r="T8">
        <f ca="1">Tabla2[[#This Row],[Deuda actual]]*EXP(Tabla2[[#This Row],[Ki]]*Tabla2[[#This Row],[diferencia de días]])*(1+Tabla2[[#This Row],[Hg]])</f>
        <v>388.27199999999999</v>
      </c>
    </row>
    <row r="9" spans="1:21" ht="14.5" x14ac:dyDescent="0.35">
      <c r="A9">
        <f t="shared" si="10"/>
        <v>8</v>
      </c>
      <c r="B9">
        <f t="shared" ca="1" si="0"/>
        <v>46102</v>
      </c>
      <c r="C9">
        <f t="shared" ca="1" si="1"/>
        <v>46157</v>
      </c>
      <c r="D9">
        <f t="shared" ca="1" si="2"/>
        <v>12</v>
      </c>
      <c r="E9">
        <f t="shared" ca="1" si="3"/>
        <v>0.69353794438424099</v>
      </c>
      <c r="F9">
        <f t="shared" ca="1" si="4"/>
        <v>1979.22</v>
      </c>
      <c r="G9" t="str">
        <f t="shared" ca="1" si="5"/>
        <v>personal</v>
      </c>
      <c r="H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" t="str">
        <f t="shared" ca="1" si="6"/>
        <v>Sí</v>
      </c>
      <c r="J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">
        <f ca="1">IF(Tabla2[[#This Row],[¿cliente deuda abierta?]]="Sí", Tabla2[[#This Row],[Deuda actual]]*Tabla2[[#This Row],[diferencia de días]], "0")</f>
        <v>23750.639999999999</v>
      </c>
      <c r="L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">
        <f t="shared" ca="1" si="7"/>
        <v>1599.75</v>
      </c>
      <c r="P9">
        <f t="shared" ca="1" si="8"/>
        <v>101129.79</v>
      </c>
      <c r="Q9">
        <f t="shared" ca="1" si="9"/>
        <v>2</v>
      </c>
      <c r="R9">
        <f ca="1">((Tabla2[[#This Row],[Fantasma Comunicación]]+1)/(Tabla2[[#This Row],[Fantasma Comunicación]]+RANDBETWEEN(0,5)+2))-0.5</f>
        <v>0</v>
      </c>
      <c r="S9">
        <f ca="1">1+MAX(0,Tabla2[[#This Row],[Deuda actual]]/Tabla2[[#This Row],[Liquidez]]+Tabla2[[#This Row],[Liquidez]]/(Tabla2[[#This Row],[Activos]]+Tabla2[[#This Row],[Liquidez]])+Tabla2[[#This Row],[Comunicación]])</f>
        <v>2.2527782573227242</v>
      </c>
      <c r="T9">
        <f ca="1">Tabla2[[#This Row],[Deuda actual]]*EXP(Tabla2[[#This Row],[Ki]]*Tabla2[[#This Row],[diferencia de días]])*(1+Tabla2[[#This Row],[Hg]])</f>
        <v>2083.1746243522834</v>
      </c>
    </row>
    <row r="10" spans="1:21" ht="14.5" x14ac:dyDescent="0.35">
      <c r="A10">
        <f t="shared" si="10"/>
        <v>9</v>
      </c>
      <c r="B10">
        <f t="shared" ca="1" si="0"/>
        <v>46103</v>
      </c>
      <c r="C10">
        <f t="shared" ca="1" si="1"/>
        <v>46157</v>
      </c>
      <c r="D10">
        <f t="shared" ca="1" si="2"/>
        <v>73</v>
      </c>
      <c r="E10">
        <f t="shared" ca="1" si="3"/>
        <v>0.90802695462497096</v>
      </c>
      <c r="F10">
        <f t="shared" ca="1" si="4"/>
        <v>270.2</v>
      </c>
      <c r="G10" t="str">
        <f t="shared" ca="1" si="5"/>
        <v>hipotecario</v>
      </c>
      <c r="H1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10" t="str">
        <f t="shared" ca="1" si="6"/>
        <v>Sí</v>
      </c>
      <c r="J1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0">
        <f ca="1">IF(Tabla2[[#This Row],[¿cliente deuda abierta?]]="Sí", Tabla2[[#This Row],[Deuda actual]]*Tabla2[[#This Row],[diferencia de días]], "0")</f>
        <v>19724.599999999999</v>
      </c>
      <c r="L1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0">
        <f t="shared" ca="1" si="7"/>
        <v>1727.43</v>
      </c>
      <c r="P10">
        <f t="shared" ca="1" si="8"/>
        <v>402367.71</v>
      </c>
      <c r="Q10">
        <f t="shared" ca="1" si="9"/>
        <v>4</v>
      </c>
      <c r="R10">
        <f ca="1">((Tabla2[[#This Row],[Fantasma Comunicación]]+1)/(Tabla2[[#This Row],[Fantasma Comunicación]]+RANDBETWEEN(0,5)+2))-0.5</f>
        <v>0.125</v>
      </c>
      <c r="S10">
        <f ca="1">1+MAX(0,Tabla2[[#This Row],[Deuda actual]]/Tabla2[[#This Row],[Liquidez]]+Tabla2[[#This Row],[Liquidez]]/(Tabla2[[#This Row],[Activos]]+Tabla2[[#This Row],[Liquidez]])+Tabla2[[#This Row],[Comunicación]])</f>
        <v>1.2856921468722926</v>
      </c>
      <c r="T10">
        <f ca="1">Tabla2[[#This Row],[Deuda actual]]*EXP(Tabla2[[#This Row],[Ki]]*Tabla2[[#This Row],[diferencia de días]])*(1+Tabla2[[#This Row],[Hg]])</f>
        <v>305.19551062807051</v>
      </c>
    </row>
    <row r="11" spans="1:21" ht="14.5" x14ac:dyDescent="0.35">
      <c r="A11">
        <f t="shared" si="10"/>
        <v>10</v>
      </c>
      <c r="B11">
        <f t="shared" ca="1" si="0"/>
        <v>46106</v>
      </c>
      <c r="C11">
        <f t="shared" ca="1" si="1"/>
        <v>46157</v>
      </c>
      <c r="D11">
        <f t="shared" ca="1" si="2"/>
        <v>0</v>
      </c>
      <c r="E11">
        <f t="shared" ca="1" si="3"/>
        <v>6.5827593852004873E-2</v>
      </c>
      <c r="F11">
        <f t="shared" ca="1" si="4"/>
        <v>211.91</v>
      </c>
      <c r="G11" t="str">
        <f t="shared" ca="1" si="5"/>
        <v>hipotecario</v>
      </c>
      <c r="H1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1" t="str">
        <f t="shared" ca="1" si="6"/>
        <v>No</v>
      </c>
      <c r="J1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164997.77784459566</v>
      </c>
      <c r="K11" t="str">
        <f ca="1">IF(Tabla2[[#This Row],[¿cliente deuda abierta?]]="Sí", Tabla2[[#This Row],[Deuda actual]]*Tabla2[[#This Row],[diferencia de días]], "0")</f>
        <v>0</v>
      </c>
      <c r="L1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1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1">
        <f t="shared" ca="1" si="7"/>
        <v>1830.81</v>
      </c>
      <c r="P11">
        <f t="shared" ca="1" si="8"/>
        <v>63928.28</v>
      </c>
      <c r="Q11">
        <f t="shared" ca="1" si="9"/>
        <v>4</v>
      </c>
      <c r="R11">
        <f ca="1">((Tabla2[[#This Row],[Fantasma Comunicación]]+1)/(Tabla2[[#This Row],[Fantasma Comunicación]]+RANDBETWEEN(0,5)+2))-0.5</f>
        <v>5.555555555555558E-2</v>
      </c>
      <c r="S11">
        <f ca="1">1+MAX(0,Tabla2[[#This Row],[Deuda actual]]/Tabla2[[#This Row],[Liquidez]]+Tabla2[[#This Row],[Liquidez]]/(Tabla2[[#This Row],[Activos]]+Tabla2[[#This Row],[Liquidez]])+Tabla2[[#This Row],[Comunicación]])</f>
        <v>1.1991433076126805</v>
      </c>
      <c r="T11">
        <f ca="1">Tabla2[[#This Row],[Deuda actual]]*EXP(Tabla2[[#This Row],[Ki]]*Tabla2[[#This Row],[diferencia de días]])*(1+Tabla2[[#This Row],[Hg]])</f>
        <v>169.52800000000002</v>
      </c>
    </row>
    <row r="12" spans="1:21" ht="14.5" x14ac:dyDescent="0.35">
      <c r="A12">
        <f t="shared" si="10"/>
        <v>11</v>
      </c>
      <c r="B12">
        <f t="shared" ca="1" si="0"/>
        <v>46108</v>
      </c>
      <c r="C12">
        <f t="shared" ca="1" si="1"/>
        <v>46157</v>
      </c>
      <c r="D12">
        <f t="shared" ca="1" si="2"/>
        <v>3</v>
      </c>
      <c r="E12">
        <f t="shared" ca="1" si="3"/>
        <v>0.33849432762957732</v>
      </c>
      <c r="F12">
        <f t="shared" ca="1" si="4"/>
        <v>1006.89</v>
      </c>
      <c r="G12" t="str">
        <f t="shared" ca="1" si="5"/>
        <v>hipotecario</v>
      </c>
      <c r="H1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2" t="str">
        <f t="shared" ca="1" si="6"/>
        <v>No</v>
      </c>
      <c r="J1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164999.6381476243</v>
      </c>
      <c r="K12" t="str">
        <f ca="1">IF(Tabla2[[#This Row],[¿cliente deuda abierta?]]="Sí", Tabla2[[#This Row],[Deuda actual]]*Tabla2[[#This Row],[diferencia de días]], "0")</f>
        <v>0</v>
      </c>
      <c r="L1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2">
        <f t="shared" ca="1" si="7"/>
        <v>2141.33</v>
      </c>
      <c r="P12">
        <f t="shared" ca="1" si="8"/>
        <v>149654.24</v>
      </c>
      <c r="Q12">
        <f t="shared" ca="1" si="9"/>
        <v>0</v>
      </c>
      <c r="R12">
        <f ca="1">((Tabla2[[#This Row],[Fantasma Comunicación]]+1)/(Tabla2[[#This Row],[Fantasma Comunicación]]+RANDBETWEEN(0,5)+2))-0.5</f>
        <v>0</v>
      </c>
      <c r="S12">
        <f ca="1">1+MAX(0,Tabla2[[#This Row],[Deuda actual]]/Tabla2[[#This Row],[Liquidez]]+Tabla2[[#This Row],[Liquidez]]/(Tabla2[[#This Row],[Activos]]+Tabla2[[#This Row],[Liquidez]])+Tabla2[[#This Row],[Comunicación]])</f>
        <v>1.4843237779703915</v>
      </c>
      <c r="T12">
        <f ca="1">Tabla2[[#This Row],[Deuda actual]]*EXP(Tabla2[[#This Row],[Ki]]*Tabla2[[#This Row],[diferencia de días]])*(1+Tabla2[[#This Row],[Hg]])</f>
        <v>805.99545222116285</v>
      </c>
    </row>
    <row r="13" spans="1:21" ht="14.5" x14ac:dyDescent="0.35">
      <c r="A13">
        <f t="shared" si="10"/>
        <v>12</v>
      </c>
      <c r="B13">
        <f t="shared" ca="1" si="0"/>
        <v>46142</v>
      </c>
      <c r="C13">
        <f t="shared" ca="1" si="1"/>
        <v>46157</v>
      </c>
      <c r="D13">
        <f t="shared" ca="1" si="2"/>
        <v>0</v>
      </c>
      <c r="E13">
        <f t="shared" ca="1" si="3"/>
        <v>0.73117551437361095</v>
      </c>
      <c r="F13">
        <f t="shared" ca="1" si="4"/>
        <v>3079.51</v>
      </c>
      <c r="G13" t="str">
        <f t="shared" ca="1" si="5"/>
        <v>personal</v>
      </c>
      <c r="H1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3" t="str">
        <f t="shared" ca="1" si="6"/>
        <v>No</v>
      </c>
      <c r="J1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11999.85857591837</v>
      </c>
      <c r="K13" t="str">
        <f ca="1">IF(Tabla2[[#This Row],[¿cliente deuda abierta?]]="Sí", Tabla2[[#This Row],[Deuda actual]]*Tabla2[[#This Row],[diferencia de días]], "0")</f>
        <v>0</v>
      </c>
      <c r="L1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1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13">
        <f t="shared" ca="1" si="7"/>
        <v>1731.95</v>
      </c>
      <c r="P13">
        <f t="shared" ca="1" si="8"/>
        <v>32503.49</v>
      </c>
      <c r="Q13">
        <f t="shared" ca="1" si="9"/>
        <v>5</v>
      </c>
      <c r="R13">
        <f ca="1">((Tabla2[[#This Row],[Fantasma Comunicación]]+1)/(Tabla2[[#This Row],[Fantasma Comunicación]]+RANDBETWEEN(0,5)+2))-0.5</f>
        <v>9.9999999999999978E-2</v>
      </c>
      <c r="S13">
        <f ca="1">1+MAX(0,Tabla2[[#This Row],[Deuda actual]]/Tabla2[[#This Row],[Liquidez]]+Tabla2[[#This Row],[Liquidez]]/(Tabla2[[#This Row],[Activos]]+Tabla2[[#This Row],[Liquidez]])+Tabla2[[#This Row],[Comunicación]])</f>
        <v>2.9286488020416912</v>
      </c>
      <c r="T13">
        <f ca="1">Tabla2[[#This Row],[Deuda actual]]*EXP(Tabla2[[#This Row],[Ki]]*Tabla2[[#This Row],[diferencia de días]])*(1+Tabla2[[#This Row],[Hg]])</f>
        <v>2771.5590000000002</v>
      </c>
    </row>
    <row r="14" spans="1:21" ht="14.5" x14ac:dyDescent="0.35">
      <c r="A14">
        <f t="shared" si="10"/>
        <v>13</v>
      </c>
      <c r="B14">
        <f t="shared" ca="1" si="0"/>
        <v>46084</v>
      </c>
      <c r="C14">
        <f t="shared" ca="1" si="1"/>
        <v>46157</v>
      </c>
      <c r="D14">
        <f t="shared" ca="1" si="2"/>
        <v>5</v>
      </c>
      <c r="E14">
        <f t="shared" ca="1" si="3"/>
        <v>0.34185721368664035</v>
      </c>
      <c r="F14">
        <f t="shared" ca="1" si="4"/>
        <v>10000</v>
      </c>
      <c r="G14" t="str">
        <f t="shared" ca="1" si="5"/>
        <v>hipotecario</v>
      </c>
      <c r="H1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4" t="str">
        <f t="shared" ca="1" si="6"/>
        <v>No</v>
      </c>
      <c r="J1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165000.04970310099</v>
      </c>
      <c r="K14" t="str">
        <f ca="1">IF(Tabla2[[#This Row],[¿cliente deuda abierta?]]="Sí", Tabla2[[#This Row],[Deuda actual]]*Tabla2[[#This Row],[diferencia de días]], "0")</f>
        <v>0</v>
      </c>
      <c r="L1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4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4">
        <f t="shared" ca="1" si="7"/>
        <v>1601.81</v>
      </c>
      <c r="P14">
        <f t="shared" ca="1" si="8"/>
        <v>74658.41</v>
      </c>
      <c r="Q14">
        <f t="shared" ca="1" si="9"/>
        <v>0</v>
      </c>
      <c r="R14">
        <f ca="1">((Tabla2[[#This Row],[Fantasma Comunicación]]+1)/(Tabla2[[#This Row],[Fantasma Comunicación]]+RANDBETWEEN(0,5)+2))-0.5</f>
        <v>-0.25</v>
      </c>
      <c r="S14">
        <f ca="1">1+MAX(0,Tabla2[[#This Row],[Deuda actual]]/Tabla2[[#This Row],[Liquidez]]+Tabla2[[#This Row],[Liquidez]]/(Tabla2[[#This Row],[Activos]]+Tabla2[[#This Row],[Liquidez]])+Tabla2[[#This Row],[Comunicación]])</f>
        <v>7.0139422057199132</v>
      </c>
      <c r="T14">
        <f ca="1">Tabla2[[#This Row],[Deuda actual]]*EXP(Tabla2[[#This Row],[Ki]]*Tabla2[[#This Row],[diferencia de días]])*(1+Tabla2[[#This Row],[Hg]])</f>
        <v>8008.0040013336666</v>
      </c>
    </row>
    <row r="15" spans="1:21" ht="14.5" x14ac:dyDescent="0.35">
      <c r="A15">
        <f t="shared" si="10"/>
        <v>14</v>
      </c>
      <c r="B15">
        <f t="shared" ca="1" si="0"/>
        <v>46090</v>
      </c>
      <c r="C15">
        <f t="shared" ca="1" si="1"/>
        <v>46157</v>
      </c>
      <c r="D15">
        <f t="shared" ca="1" si="2"/>
        <v>28</v>
      </c>
      <c r="E15">
        <f t="shared" ca="1" si="3"/>
        <v>0.50638325207335655</v>
      </c>
      <c r="F15">
        <f t="shared" ca="1" si="4"/>
        <v>1101.79</v>
      </c>
      <c r="G15" t="str">
        <f t="shared" ca="1" si="5"/>
        <v>hipotecario</v>
      </c>
      <c r="H1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5" t="str">
        <f t="shared" ca="1" si="6"/>
        <v>Sí</v>
      </c>
      <c r="J1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5">
        <f ca="1">IF(Tabla2[[#This Row],[¿cliente deuda abierta?]]="Sí", Tabla2[[#This Row],[Deuda actual]]*Tabla2[[#This Row],[diferencia de días]], "0")</f>
        <v>30850.12</v>
      </c>
      <c r="L1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1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5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15">
        <f t="shared" ca="1" si="7"/>
        <v>1349.36</v>
      </c>
      <c r="P15">
        <f t="shared" ca="1" si="8"/>
        <v>90807.679999999993</v>
      </c>
      <c r="Q15">
        <f t="shared" ca="1" si="9"/>
        <v>2</v>
      </c>
      <c r="R15">
        <f ca="1">((Tabla2[[#This Row],[Fantasma Comunicación]]+1)/(Tabla2[[#This Row],[Fantasma Comunicación]]+RANDBETWEEN(0,5)+2))-0.5</f>
        <v>-7.1428571428571452E-2</v>
      </c>
      <c r="S15">
        <f ca="1">1+MAX(0,Tabla2[[#This Row],[Deuda actual]]/Tabla2[[#This Row],[Liquidez]]+Tabla2[[#This Row],[Liquidez]]/(Tabla2[[#This Row],[Activos]]+Tabla2[[#This Row],[Liquidez]])+Tabla2[[#This Row],[Comunicación]])</f>
        <v>1.7597412273166482</v>
      </c>
      <c r="T15">
        <f ca="1">Tabla2[[#This Row],[Deuda actual]]*EXP(Tabla2[[#This Row],[Ki]]*Tabla2[[#This Row],[diferencia de días]])*(1+Tabla2[[#This Row],[Hg]])</f>
        <v>1225.6193520802674</v>
      </c>
      <c r="U15" s="37"/>
    </row>
    <row r="16" spans="1:21" ht="14.5" x14ac:dyDescent="0.35">
      <c r="A16">
        <f t="shared" si="10"/>
        <v>15</v>
      </c>
      <c r="B16">
        <f t="shared" ca="1" si="0"/>
        <v>46130</v>
      </c>
      <c r="C16">
        <f t="shared" ca="1" si="1"/>
        <v>46157</v>
      </c>
      <c r="D16">
        <f t="shared" ca="1" si="2"/>
        <v>18</v>
      </c>
      <c r="E16">
        <f t="shared" ca="1" si="3"/>
        <v>0.57721979760024311</v>
      </c>
      <c r="F16">
        <f t="shared" ca="1" si="4"/>
        <v>447.73</v>
      </c>
      <c r="G16" t="str">
        <f t="shared" ca="1" si="5"/>
        <v>personal</v>
      </c>
      <c r="H1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6" t="str">
        <f t="shared" ca="1" si="6"/>
        <v>Sí</v>
      </c>
      <c r="J1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6">
        <f ca="1">IF(Tabla2[[#This Row],[¿cliente deuda abierta?]]="Sí", Tabla2[[#This Row],[Deuda actual]]*Tabla2[[#This Row],[diferencia de días]], "0")</f>
        <v>8059.14</v>
      </c>
      <c r="L1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6">
        <f t="shared" ca="1" si="7"/>
        <v>2086.77</v>
      </c>
      <c r="P16">
        <f t="shared" ca="1" si="8"/>
        <v>523072.06</v>
      </c>
      <c r="Q16">
        <f t="shared" ca="1" si="9"/>
        <v>3</v>
      </c>
      <c r="R16">
        <f ca="1">((Tabla2[[#This Row],[Fantasma Comunicación]]+1)/(Tabla2[[#This Row],[Fantasma Comunicación]]+RANDBETWEEN(0,5)+2))-0.5</f>
        <v>7.1428571428571397E-2</v>
      </c>
      <c r="S16">
        <f ca="1">1+MAX(0,Tabla2[[#This Row],[Deuda actual]]/Tabla2[[#This Row],[Liquidez]]+Tabla2[[#This Row],[Liquidez]]/(Tabla2[[#This Row],[Activos]]+Tabla2[[#This Row],[Liquidez]])+Tabla2[[#This Row],[Comunicación]])</f>
        <v>1.2899586369337301</v>
      </c>
      <c r="T16">
        <f ca="1">Tabla2[[#This Row],[Deuda actual]]*EXP(Tabla2[[#This Row],[Ki]]*Tabla2[[#This Row],[diferencia de días]])*(1+Tabla2[[#This Row],[Hg]])</f>
        <v>473.51355351740426</v>
      </c>
    </row>
    <row r="17" spans="1:20" ht="14.5" x14ac:dyDescent="0.35">
      <c r="A17">
        <f t="shared" si="10"/>
        <v>16</v>
      </c>
      <c r="B17">
        <f t="shared" ca="1" si="0"/>
        <v>46099</v>
      </c>
      <c r="C17">
        <f t="shared" ca="1" si="1"/>
        <v>46157</v>
      </c>
      <c r="D17">
        <f t="shared" ca="1" si="2"/>
        <v>7</v>
      </c>
      <c r="E17">
        <f t="shared" ca="1" si="3"/>
        <v>4.2068014665839426E-2</v>
      </c>
      <c r="F17">
        <f t="shared" ca="1" si="4"/>
        <v>4252.68</v>
      </c>
      <c r="G17" t="str">
        <f t="shared" ca="1" si="5"/>
        <v>hipotecario</v>
      </c>
      <c r="H1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7" t="str">
        <f t="shared" ca="1" si="6"/>
        <v>No</v>
      </c>
      <c r="J1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165000.28345139223</v>
      </c>
      <c r="K17" t="str">
        <f ca="1">IF(Tabla2[[#This Row],[¿cliente deuda abierta?]]="Sí", Tabla2[[#This Row],[Deuda actual]]*Tabla2[[#This Row],[diferencia de días]], "0")</f>
        <v>0</v>
      </c>
      <c r="L1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7">
        <f t="shared" ca="1" si="7"/>
        <v>1757.42</v>
      </c>
      <c r="P17">
        <f t="shared" ca="1" si="8"/>
        <v>84564.33</v>
      </c>
      <c r="Q17">
        <f t="shared" ca="1" si="9"/>
        <v>1</v>
      </c>
      <c r="R17">
        <f ca="1">((Tabla2[[#This Row],[Fantasma Comunicación]]+1)/(Tabla2[[#This Row],[Fantasma Comunicación]]+RANDBETWEEN(0,5)+2))-0.5</f>
        <v>0.16666666666666663</v>
      </c>
      <c r="S17">
        <f ca="1">1+MAX(0,Tabla2[[#This Row],[Deuda actual]]/Tabla2[[#This Row],[Liquidez]]+Tabla2[[#This Row],[Liquidez]]/(Tabla2[[#This Row],[Activos]]+Tabla2[[#This Row],[Liquidez]])+Tabla2[[#This Row],[Comunicación]])</f>
        <v>3.6068683384336739</v>
      </c>
      <c r="T17">
        <f ca="1">Tabla2[[#This Row],[Deuda actual]]*EXP(Tabla2[[#This Row],[Ki]]*Tabla2[[#This Row],[diferencia de días]])*(1+Tabla2[[#This Row],[Hg]])</f>
        <v>3406.9103372575792</v>
      </c>
    </row>
    <row r="18" spans="1:20" ht="14.5" x14ac:dyDescent="0.35">
      <c r="A18">
        <f t="shared" si="10"/>
        <v>17</v>
      </c>
      <c r="B18">
        <f t="shared" ca="1" si="0"/>
        <v>46091</v>
      </c>
      <c r="C18">
        <f t="shared" ca="1" si="1"/>
        <v>46157</v>
      </c>
      <c r="D18">
        <f t="shared" ca="1" si="2"/>
        <v>1</v>
      </c>
      <c r="E18">
        <f t="shared" ca="1" si="3"/>
        <v>0.71580418243506927</v>
      </c>
      <c r="F18">
        <f t="shared" ca="1" si="4"/>
        <v>2535.29</v>
      </c>
      <c r="G18" t="str">
        <f t="shared" ca="1" si="5"/>
        <v>personal</v>
      </c>
      <c r="H1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8" t="str">
        <f t="shared" ca="1" si="6"/>
        <v>No</v>
      </c>
      <c r="J1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12000.144584136131</v>
      </c>
      <c r="K18" t="str">
        <f ca="1">IF(Tabla2[[#This Row],[¿cliente deuda abierta?]]="Sí", Tabla2[[#This Row],[Deuda actual]]*Tabla2[[#This Row],[diferencia de días]], "0")</f>
        <v>0</v>
      </c>
      <c r="L1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1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18">
        <f t="shared" ca="1" si="7"/>
        <v>1809.29</v>
      </c>
      <c r="P18">
        <f t="shared" ca="1" si="8"/>
        <v>733214.21</v>
      </c>
      <c r="Q18">
        <f t="shared" ca="1" si="9"/>
        <v>3</v>
      </c>
      <c r="R18">
        <f ca="1">((Tabla2[[#This Row],[Fantasma Comunicación]]+1)/(Tabla2[[#This Row],[Fantasma Comunicación]]+RANDBETWEEN(0,5)+2))-0.5</f>
        <v>7.1428571428571397E-2</v>
      </c>
      <c r="S18">
        <f ca="1">1+MAX(0,Tabla2[[#This Row],[Deuda actual]]/Tabla2[[#This Row],[Liquidez]]+Tabla2[[#This Row],[Liquidez]]/(Tabla2[[#This Row],[Activos]]+Tabla2[[#This Row],[Liquidez]])+Tabla2[[#This Row],[Comunicación]])</f>
        <v>2.475152485412158</v>
      </c>
      <c r="T18">
        <f ca="1">Tabla2[[#This Row],[Deuda actual]]*EXP(Tabla2[[#This Row],[Ki]]*Tabla2[[#This Row],[diferencia de días]])*(1+Tabla2[[#This Row],[Hg]])</f>
        <v>2282.2173978382625</v>
      </c>
    </row>
    <row r="19" spans="1:20" ht="14.5" x14ac:dyDescent="0.35">
      <c r="A19">
        <f t="shared" si="10"/>
        <v>18</v>
      </c>
      <c r="B19">
        <f t="shared" ca="1" si="0"/>
        <v>46090</v>
      </c>
      <c r="C19">
        <f t="shared" ca="1" si="1"/>
        <v>46157</v>
      </c>
      <c r="D19">
        <f t="shared" ca="1" si="2"/>
        <v>4</v>
      </c>
      <c r="E19">
        <f t="shared" ca="1" si="3"/>
        <v>0.44655616625856531</v>
      </c>
      <c r="F19">
        <f t="shared" ca="1" si="4"/>
        <v>4960.9799999999996</v>
      </c>
      <c r="G19" t="str">
        <f t="shared" ca="1" si="5"/>
        <v>personal</v>
      </c>
      <c r="H1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9" t="str">
        <f t="shared" ca="1" si="6"/>
        <v>Sí</v>
      </c>
      <c r="J1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9">
        <f ca="1">IF(Tabla2[[#This Row],[¿cliente deuda abierta?]]="Sí", Tabla2[[#This Row],[Deuda actual]]*Tabla2[[#This Row],[diferencia de días]], "0")</f>
        <v>19843.919999999998</v>
      </c>
      <c r="L1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9">
        <f t="shared" ca="1" si="7"/>
        <v>1718.49</v>
      </c>
      <c r="P19">
        <f t="shared" ca="1" si="8"/>
        <v>20214.64</v>
      </c>
      <c r="Q19">
        <f t="shared" ca="1" si="9"/>
        <v>2</v>
      </c>
      <c r="R19">
        <f ca="1">((Tabla2[[#This Row],[Fantasma Comunicación]]+1)/(Tabla2[[#This Row],[Fantasma Comunicación]]+RANDBETWEEN(0,5)+2))-0.5</f>
        <v>0</v>
      </c>
      <c r="S19">
        <f ca="1">1+MAX(0,Tabla2[[#This Row],[Deuda actual]]/Tabla2[[#This Row],[Liquidez]]+Tabla2[[#This Row],[Liquidez]]/(Tabla2[[#This Row],[Activos]]+Tabla2[[#This Row],[Liquidez]])+Tabla2[[#This Row],[Comunicación]])</f>
        <v>3.9651763957966706</v>
      </c>
      <c r="T19">
        <f ca="1">Tabla2[[#This Row],[Deuda actual]]*EXP(Tabla2[[#This Row],[Ki]]*Tabla2[[#This Row],[diferencia de días]])*(1+Tabla2[[#This Row],[Hg]])</f>
        <v>5213.1978905338729</v>
      </c>
    </row>
    <row r="20" spans="1:20" ht="14.5" x14ac:dyDescent="0.35">
      <c r="A20">
        <f t="shared" si="10"/>
        <v>19</v>
      </c>
      <c r="B20">
        <f t="shared" ca="1" si="0"/>
        <v>46088</v>
      </c>
      <c r="C20">
        <f t="shared" ca="1" si="1"/>
        <v>46157</v>
      </c>
      <c r="D20">
        <f t="shared" ca="1" si="2"/>
        <v>36</v>
      </c>
      <c r="E20">
        <f t="shared" ca="1" si="3"/>
        <v>0.9888913270125983</v>
      </c>
      <c r="F20">
        <f t="shared" ca="1" si="4"/>
        <v>654.20000000000005</v>
      </c>
      <c r="G20" t="str">
        <f t="shared" ca="1" si="5"/>
        <v>hipotecario</v>
      </c>
      <c r="H2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20" t="str">
        <f t="shared" ca="1" si="6"/>
        <v>Sí</v>
      </c>
      <c r="J2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0">
        <f ca="1">IF(Tabla2[[#This Row],[¿cliente deuda abierta?]]="Sí", Tabla2[[#This Row],[Deuda actual]]*Tabla2[[#This Row],[diferencia de días]], "0")</f>
        <v>23551.200000000001</v>
      </c>
      <c r="L2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0">
        <f t="shared" ca="1" si="7"/>
        <v>1538.04</v>
      </c>
      <c r="P20">
        <f t="shared" ca="1" si="8"/>
        <v>655094.69999999995</v>
      </c>
      <c r="Q20">
        <f t="shared" ca="1" si="9"/>
        <v>3</v>
      </c>
      <c r="R20">
        <f ca="1">((Tabla2[[#This Row],[Fantasma Comunicación]]+1)/(Tabla2[[#This Row],[Fantasma Comunicación]]+RANDBETWEEN(0,5)+2))-0.5</f>
        <v>0.16666666666666663</v>
      </c>
      <c r="S20">
        <f ca="1">1+MAX(0,Tabla2[[#This Row],[Deuda actual]]/Tabla2[[#This Row],[Liquidez]]+Tabla2[[#This Row],[Liquidez]]/(Tabla2[[#This Row],[Activos]]+Tabla2[[#This Row],[Liquidez]])+Tabla2[[#This Row],[Comunicación]])</f>
        <v>1.5943555255289734</v>
      </c>
      <c r="T20">
        <f ca="1">Tabla2[[#This Row],[Deuda actual]]*EXP(Tabla2[[#This Row],[Ki]]*Tabla2[[#This Row],[diferencia de días]])*(1+Tabla2[[#This Row],[Hg]])</f>
        <v>712.08926751308047</v>
      </c>
    </row>
    <row r="21" spans="1:20" ht="14.5" x14ac:dyDescent="0.35">
      <c r="A21">
        <f t="shared" si="10"/>
        <v>20</v>
      </c>
      <c r="B21">
        <f t="shared" ca="1" si="0"/>
        <v>46108</v>
      </c>
      <c r="C21">
        <f t="shared" ca="1" si="1"/>
        <v>46157</v>
      </c>
      <c r="D21">
        <f t="shared" ca="1" si="2"/>
        <v>6</v>
      </c>
      <c r="E21">
        <f t="shared" ca="1" si="3"/>
        <v>2.8856035619721054E-2</v>
      </c>
      <c r="F21">
        <f t="shared" ca="1" si="4"/>
        <v>240</v>
      </c>
      <c r="G21" t="str">
        <f t="shared" ca="1" si="5"/>
        <v>personal</v>
      </c>
      <c r="H2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1" t="str">
        <f t="shared" ca="1" si="6"/>
        <v>No</v>
      </c>
      <c r="J2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12001.161360172895</v>
      </c>
      <c r="K21" t="str">
        <f ca="1">IF(Tabla2[[#This Row],[¿cliente deuda abierta?]]="Sí", Tabla2[[#This Row],[Deuda actual]]*Tabla2[[#This Row],[diferencia de días]], "0")</f>
        <v>0</v>
      </c>
      <c r="L2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1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1">
        <f t="shared" ca="1" si="7"/>
        <v>1562.13</v>
      </c>
      <c r="P21">
        <f t="shared" ca="1" si="8"/>
        <v>91361.41</v>
      </c>
      <c r="Q21">
        <f t="shared" ca="1" si="9"/>
        <v>1</v>
      </c>
      <c r="R21">
        <f ca="1">((Tabla2[[#This Row],[Fantasma Comunicación]]+1)/(Tabla2[[#This Row],[Fantasma Comunicación]]+RANDBETWEEN(0,5)+2))-0.5</f>
        <v>-9.9999999999999978E-2</v>
      </c>
      <c r="S21">
        <f ca="1">1+MAX(0,Tabla2[[#This Row],[Deuda actual]]/Tabla2[[#This Row],[Liquidez]]+Tabla2[[#This Row],[Liquidez]]/(Tabla2[[#This Row],[Activos]]+Tabla2[[#This Row],[Liquidez]])+Tabla2[[#This Row],[Comunicación]])</f>
        <v>1.0704472989744096</v>
      </c>
      <c r="T21">
        <f ca="1">Tabla2[[#This Row],[Deuda actual]]*EXP(Tabla2[[#This Row],[Ki]]*Tabla2[[#This Row],[diferencia de días]])*(1+Tabla2[[#This Row],[Hg]])</f>
        <v>216.25935558222668</v>
      </c>
    </row>
    <row r="22" spans="1:20" ht="14.5" x14ac:dyDescent="0.35">
      <c r="A22">
        <f t="shared" si="10"/>
        <v>21</v>
      </c>
      <c r="B22">
        <f t="shared" ca="1" si="0"/>
        <v>46125</v>
      </c>
      <c r="C22">
        <f t="shared" ca="1" si="1"/>
        <v>46157</v>
      </c>
      <c r="D22">
        <f t="shared" ca="1" si="2"/>
        <v>4</v>
      </c>
      <c r="E22">
        <f t="shared" ca="1" si="3"/>
        <v>0.14573853732152908</v>
      </c>
      <c r="F22">
        <f t="shared" ca="1" si="4"/>
        <v>6285.11</v>
      </c>
      <c r="G22" t="str">
        <f t="shared" ca="1" si="5"/>
        <v>personal</v>
      </c>
      <c r="H2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2" t="str">
        <f t="shared" ca="1" si="6"/>
        <v>No</v>
      </c>
      <c r="J2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12000.488717864826</v>
      </c>
      <c r="K22" t="str">
        <f ca="1">IF(Tabla2[[#This Row],[¿cliente deuda abierta?]]="Sí", Tabla2[[#This Row],[Deuda actual]]*Tabla2[[#This Row],[diferencia de días]], "0")</f>
        <v>0</v>
      </c>
      <c r="L2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2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2">
        <f t="shared" ca="1" si="7"/>
        <v>1835.88</v>
      </c>
      <c r="P22">
        <f t="shared" ca="1" si="8"/>
        <v>108027.81</v>
      </c>
      <c r="Q22">
        <f t="shared" ca="1" si="9"/>
        <v>3</v>
      </c>
      <c r="R22">
        <f ca="1">((Tabla2[[#This Row],[Fantasma Comunicación]]+1)/(Tabla2[[#This Row],[Fantasma Comunicación]]+RANDBETWEEN(0,5)+2))-0.5</f>
        <v>-5.555555555555558E-2</v>
      </c>
      <c r="S22">
        <f ca="1">1+MAX(0,Tabla2[[#This Row],[Deuda actual]]/Tabla2[[#This Row],[Liquidez]]+Tabla2[[#This Row],[Liquidez]]/(Tabla2[[#This Row],[Activos]]+Tabla2[[#This Row],[Liquidez]])+Tabla2[[#This Row],[Comunicación]])</f>
        <v>4.3846412545123226</v>
      </c>
      <c r="T22">
        <f ca="1">Tabla2[[#This Row],[Deuda actual]]*EXP(Tabla2[[#This Row],[Ki]]*Tabla2[[#This Row],[diferencia de días]])*(1+Tabla2[[#This Row],[Hg]])</f>
        <v>5661.126089794473</v>
      </c>
    </row>
    <row r="23" spans="1:20" ht="14.5" x14ac:dyDescent="0.35">
      <c r="A23">
        <f t="shared" si="10"/>
        <v>22</v>
      </c>
      <c r="B23">
        <f t="shared" ca="1" si="0"/>
        <v>46122</v>
      </c>
      <c r="C23">
        <f t="shared" ca="1" si="1"/>
        <v>46157</v>
      </c>
      <c r="D23">
        <f t="shared" ca="1" si="2"/>
        <v>23</v>
      </c>
      <c r="E23">
        <f t="shared" ca="1" si="3"/>
        <v>0.50256895546526725</v>
      </c>
      <c r="F23">
        <f t="shared" ca="1" si="4"/>
        <v>886.33</v>
      </c>
      <c r="G23" t="str">
        <f t="shared" ca="1" si="5"/>
        <v>personal</v>
      </c>
      <c r="H2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3" t="str">
        <f t="shared" ca="1" si="6"/>
        <v>Sí</v>
      </c>
      <c r="J2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3">
        <f ca="1">IF(Tabla2[[#This Row],[¿cliente deuda abierta?]]="Sí", Tabla2[[#This Row],[Deuda actual]]*Tabla2[[#This Row],[diferencia de días]], "0")</f>
        <v>20385.59</v>
      </c>
      <c r="L2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3">
        <f t="shared" ca="1" si="7"/>
        <v>1509.68</v>
      </c>
      <c r="P23">
        <f t="shared" ca="1" si="8"/>
        <v>46154.96</v>
      </c>
      <c r="Q23">
        <f t="shared" ca="1" si="9"/>
        <v>1</v>
      </c>
      <c r="R23">
        <f ca="1">((Tabla2[[#This Row],[Fantasma Comunicación]]+1)/(Tabla2[[#This Row],[Fantasma Comunicación]]+RANDBETWEEN(0,5)+2))-0.5</f>
        <v>-0.16666666666666669</v>
      </c>
      <c r="S23">
        <f ca="1">1+MAX(0,Tabla2[[#This Row],[Deuda actual]]/Tabla2[[#This Row],[Liquidez]]+Tabla2[[#This Row],[Liquidez]]/(Tabla2[[#This Row],[Activos]]+Tabla2[[#This Row],[Liquidez]])+Tabla2[[#This Row],[Comunicación]])</f>
        <v>1.452104216416984</v>
      </c>
      <c r="T23">
        <f ca="1">Tabla2[[#This Row],[Deuda actual]]*EXP(Tabla2[[#This Row],[Ki]]*Tabla2[[#This Row],[diferencia de días]])*(1+Tabla2[[#This Row],[Hg]])</f>
        <v>939.24795381873082</v>
      </c>
    </row>
    <row r="24" spans="1:20" ht="14.5" x14ac:dyDescent="0.35">
      <c r="A24">
        <f t="shared" si="10"/>
        <v>23</v>
      </c>
      <c r="B24">
        <f t="shared" ca="1" si="0"/>
        <v>46121</v>
      </c>
      <c r="C24">
        <f t="shared" ca="1" si="1"/>
        <v>46157</v>
      </c>
      <c r="D24">
        <f t="shared" ca="1" si="2"/>
        <v>2</v>
      </c>
      <c r="E24">
        <f t="shared" ca="1" si="3"/>
        <v>7.3748264230785066E-2</v>
      </c>
      <c r="F24">
        <f t="shared" ca="1" si="4"/>
        <v>4354.83</v>
      </c>
      <c r="G24" t="str">
        <f t="shared" ca="1" si="5"/>
        <v>personal</v>
      </c>
      <c r="H2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4" t="str">
        <f t="shared" ca="1" si="6"/>
        <v>Sí</v>
      </c>
      <c r="J2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4">
        <f ca="1">IF(Tabla2[[#This Row],[¿cliente deuda abierta?]]="Sí", Tabla2[[#This Row],[Deuda actual]]*Tabla2[[#This Row],[diferencia de días]], "0")</f>
        <v>8709.66</v>
      </c>
      <c r="L2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4">
        <f t="shared" ca="1" si="7"/>
        <v>1368.04</v>
      </c>
      <c r="P24">
        <f t="shared" ca="1" si="8"/>
        <v>162906.70000000001</v>
      </c>
      <c r="Q24">
        <f t="shared" ca="1" si="9"/>
        <v>5</v>
      </c>
      <c r="R24">
        <f ca="1">((Tabla2[[#This Row],[Fantasma Comunicación]]+1)/(Tabla2[[#This Row],[Fantasma Comunicación]]+RANDBETWEEN(0,5)+2))-0.5</f>
        <v>4.5454545454545414E-2</v>
      </c>
      <c r="S24">
        <f ca="1">1+MAX(0,Tabla2[[#This Row],[Deuda actual]]/Tabla2[[#This Row],[Liquidez]]+Tabla2[[#This Row],[Liquidez]]/(Tabla2[[#This Row],[Activos]]+Tabla2[[#This Row],[Liquidez]])+Tabla2[[#This Row],[Comunicación]])</f>
        <v>4.2370444870648853</v>
      </c>
      <c r="T24">
        <f ca="1">Tabla2[[#This Row],[Deuda actual]]*EXP(Tabla2[[#This Row],[Ki]]*Tabla2[[#This Row],[diferencia de días]])*(1+Tabla2[[#This Row],[Hg]])</f>
        <v>4574.4008944544994</v>
      </c>
    </row>
    <row r="25" spans="1:20" ht="14.5" x14ac:dyDescent="0.35">
      <c r="A25">
        <f t="shared" si="10"/>
        <v>24</v>
      </c>
      <c r="B25">
        <f t="shared" ca="1" si="0"/>
        <v>46103</v>
      </c>
      <c r="C25">
        <f t="shared" ca="1" si="1"/>
        <v>46157</v>
      </c>
      <c r="D25">
        <f t="shared" ca="1" si="2"/>
        <v>40</v>
      </c>
      <c r="E25">
        <f t="shared" ca="1" si="3"/>
        <v>0.92821135637963637</v>
      </c>
      <c r="F25">
        <f t="shared" ca="1" si="4"/>
        <v>2328.73</v>
      </c>
      <c r="G25" t="str">
        <f t="shared" ca="1" si="5"/>
        <v>hipotecario</v>
      </c>
      <c r="H2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25" t="str">
        <f t="shared" ca="1" si="6"/>
        <v>Sí</v>
      </c>
      <c r="J2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5">
        <f ca="1">IF(Tabla2[[#This Row],[¿cliente deuda abierta?]]="Sí", Tabla2[[#This Row],[Deuda actual]]*Tabla2[[#This Row],[diferencia de días]], "0")</f>
        <v>93149.2</v>
      </c>
      <c r="L2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2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5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25">
        <f t="shared" ca="1" si="7"/>
        <v>1923.76</v>
      </c>
      <c r="P25">
        <f t="shared" ca="1" si="8"/>
        <v>28223.360000000001</v>
      </c>
      <c r="Q25">
        <f t="shared" ca="1" si="9"/>
        <v>0</v>
      </c>
      <c r="R25">
        <f ca="1">((Tabla2[[#This Row],[Fantasma Comunicación]]+1)/(Tabla2[[#This Row],[Fantasma Comunicación]]+RANDBETWEEN(0,5)+2))-0.5</f>
        <v>0</v>
      </c>
      <c r="S25">
        <f ca="1">1+MAX(0,Tabla2[[#This Row],[Deuda actual]]/Tabla2[[#This Row],[Liquidez]]+Tabla2[[#This Row],[Liquidez]]/(Tabla2[[#This Row],[Activos]]+Tabla2[[#This Row],[Liquidez]])+Tabla2[[#This Row],[Comunicación]])</f>
        <v>2.2743220243172901</v>
      </c>
      <c r="T25">
        <f ca="1">Tabla2[[#This Row],[Deuda actual]]*EXP(Tabla2[[#This Row],[Ki]]*Tabla2[[#This Row],[diferencia de días]])*(1+Tabla2[[#This Row],[Hg]])</f>
        <v>2787.3323653127959</v>
      </c>
    </row>
    <row r="26" spans="1:20" ht="14.5" x14ac:dyDescent="0.35">
      <c r="A26">
        <f t="shared" si="10"/>
        <v>25</v>
      </c>
      <c r="B26">
        <f t="shared" ca="1" si="0"/>
        <v>46103</v>
      </c>
      <c r="C26">
        <f t="shared" ca="1" si="1"/>
        <v>46157</v>
      </c>
      <c r="D26">
        <f t="shared" ca="1" si="2"/>
        <v>7</v>
      </c>
      <c r="E26">
        <f t="shared" ca="1" si="3"/>
        <v>0.71529354973577486</v>
      </c>
      <c r="F26">
        <f t="shared" ca="1" si="4"/>
        <v>544.16</v>
      </c>
      <c r="G26" t="str">
        <f t="shared" ca="1" si="5"/>
        <v>hipotecario</v>
      </c>
      <c r="H2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6" t="str">
        <f t="shared" ca="1" si="6"/>
        <v>Sí</v>
      </c>
      <c r="J2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6">
        <f ca="1">IF(Tabla2[[#This Row],[¿cliente deuda abierta?]]="Sí", Tabla2[[#This Row],[Deuda actual]]*Tabla2[[#This Row],[diferencia de días]], "0")</f>
        <v>3809.12</v>
      </c>
      <c r="L2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6">
        <f t="shared" ca="1" si="7"/>
        <v>1785.8</v>
      </c>
      <c r="P26">
        <f t="shared" ca="1" si="8"/>
        <v>45197.58</v>
      </c>
      <c r="Q26">
        <f t="shared" ca="1" si="9"/>
        <v>0</v>
      </c>
      <c r="R26">
        <f ca="1">((Tabla2[[#This Row],[Fantasma Comunicación]]+1)/(Tabla2[[#This Row],[Fantasma Comunicación]]+RANDBETWEEN(0,5)+2))-0.5</f>
        <v>-0.3</v>
      </c>
      <c r="S26">
        <f ca="1">1+MAX(0,Tabla2[[#This Row],[Deuda actual]]/Tabla2[[#This Row],[Liquidez]]+Tabla2[[#This Row],[Liquidez]]/(Tabla2[[#This Row],[Activos]]+Tabla2[[#This Row],[Liquidez]])+Tabla2[[#This Row],[Comunicación]])</f>
        <v>1.0427241590570282</v>
      </c>
      <c r="T26">
        <f ca="1">Tabla2[[#This Row],[Deuda actual]]*EXP(Tabla2[[#This Row],[Ki]]*Tabla2[[#This Row],[diferencia de días]])*(1+Tabla2[[#This Row],[Hg]])</f>
        <v>572.16847540203707</v>
      </c>
    </row>
    <row r="27" spans="1:20" ht="14.5" x14ac:dyDescent="0.35">
      <c r="A27">
        <f t="shared" si="10"/>
        <v>26</v>
      </c>
      <c r="B27">
        <f t="shared" ca="1" si="0"/>
        <v>46116</v>
      </c>
      <c r="C27">
        <f t="shared" ca="1" si="1"/>
        <v>46157</v>
      </c>
      <c r="D27">
        <f t="shared" ca="1" si="2"/>
        <v>29</v>
      </c>
      <c r="E27">
        <f t="shared" ca="1" si="3"/>
        <v>9.1375564011796695E-2</v>
      </c>
      <c r="F27">
        <f t="shared" ca="1" si="4"/>
        <v>519.55999999999995</v>
      </c>
      <c r="G27" t="str">
        <f t="shared" ca="1" si="5"/>
        <v>personal</v>
      </c>
      <c r="H2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7" t="str">
        <f t="shared" ca="1" si="6"/>
        <v>Sí</v>
      </c>
      <c r="J2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7">
        <f ca="1">IF(Tabla2[[#This Row],[¿cliente deuda abierta?]]="Sí", Tabla2[[#This Row],[Deuda actual]]*Tabla2[[#This Row],[diferencia de días]], "0")</f>
        <v>15067.239999999998</v>
      </c>
      <c r="L2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7">
        <f t="shared" ca="1" si="7"/>
        <v>2104.64</v>
      </c>
      <c r="P27">
        <f t="shared" ca="1" si="8"/>
        <v>254723.4</v>
      </c>
      <c r="Q27">
        <f t="shared" ca="1" si="9"/>
        <v>4</v>
      </c>
      <c r="R27">
        <f ca="1">((Tabla2[[#This Row],[Fantasma Comunicación]]+1)/(Tabla2[[#This Row],[Fantasma Comunicación]]+RANDBETWEEN(0,5)+2))-0.5</f>
        <v>0.2142857142857143</v>
      </c>
      <c r="S27">
        <f ca="1">1+MAX(0,Tabla2[[#This Row],[Deuda actual]]/Tabla2[[#This Row],[Liquidez]]+Tabla2[[#This Row],[Liquidez]]/(Tabla2[[#This Row],[Activos]]+Tabla2[[#This Row],[Liquidez]])+Tabla2[[#This Row],[Comunicación]])</f>
        <v>1.4693445298959045</v>
      </c>
      <c r="T27">
        <f ca="1">Tabla2[[#This Row],[Deuda actual]]*EXP(Tabla2[[#This Row],[Ki]]*Tabla2[[#This Row],[diferencia de días]])*(1+Tabla2[[#This Row],[Hg]])</f>
        <v>551.90308693051554</v>
      </c>
    </row>
    <row r="28" spans="1:20" ht="14.5" x14ac:dyDescent="0.35">
      <c r="A28">
        <f t="shared" si="10"/>
        <v>27</v>
      </c>
      <c r="B28">
        <f t="shared" ca="1" si="0"/>
        <v>46125</v>
      </c>
      <c r="C28">
        <f t="shared" ca="1" si="1"/>
        <v>46157</v>
      </c>
      <c r="D28">
        <f t="shared" ca="1" si="2"/>
        <v>33</v>
      </c>
      <c r="E28">
        <f t="shared" ca="1" si="3"/>
        <v>3.4481250961113763E-2</v>
      </c>
      <c r="F28">
        <f t="shared" ca="1" si="4"/>
        <v>2655.59</v>
      </c>
      <c r="G28" t="str">
        <f t="shared" ca="1" si="5"/>
        <v>hipotecario</v>
      </c>
      <c r="H2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28" t="str">
        <f t="shared" ca="1" si="6"/>
        <v>No</v>
      </c>
      <c r="J2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164998.90939845334</v>
      </c>
      <c r="K28" t="str">
        <f ca="1">IF(Tabla2[[#This Row],[¿cliente deuda abierta?]]="Sí", Tabla2[[#This Row],[Deuda actual]]*Tabla2[[#This Row],[diferencia de días]], "0")</f>
        <v>0</v>
      </c>
      <c r="L2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28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28">
        <f t="shared" ca="1" si="7"/>
        <v>1265.92</v>
      </c>
      <c r="P28">
        <f t="shared" ca="1" si="8"/>
        <v>68581.8</v>
      </c>
      <c r="Q28">
        <f t="shared" ca="1" si="9"/>
        <v>3</v>
      </c>
      <c r="R28">
        <f ca="1">((Tabla2[[#This Row],[Fantasma Comunicación]]+1)/(Tabla2[[#This Row],[Fantasma Comunicación]]+RANDBETWEEN(0,5)+2))-0.5</f>
        <v>0</v>
      </c>
      <c r="S28">
        <f ca="1">1+MAX(0,Tabla2[[#This Row],[Deuda actual]]/Tabla2[[#This Row],[Liquidez]]+Tabla2[[#This Row],[Liquidez]]/(Tabla2[[#This Row],[Activos]]+Tabla2[[#This Row],[Liquidez]])+Tabla2[[#This Row],[Comunicación]])</f>
        <v>3.1158789913101756</v>
      </c>
      <c r="T28">
        <f ca="1">Tabla2[[#This Row],[Deuda actual]]*EXP(Tabla2[[#This Row],[Ki]]*Tabla2[[#This Row],[diferencia de días]])*(1+Tabla2[[#This Row],[Hg]])</f>
        <v>2195.7491812030553</v>
      </c>
    </row>
    <row r="29" spans="1:20" ht="14.5" x14ac:dyDescent="0.35">
      <c r="A29">
        <f t="shared" si="10"/>
        <v>28</v>
      </c>
      <c r="B29">
        <f t="shared" ca="1" si="0"/>
        <v>46114</v>
      </c>
      <c r="C29">
        <f t="shared" ca="1" si="1"/>
        <v>46157</v>
      </c>
      <c r="D29">
        <f t="shared" ca="1" si="2"/>
        <v>52</v>
      </c>
      <c r="E29">
        <f t="shared" ca="1" si="3"/>
        <v>0.37100102802283264</v>
      </c>
      <c r="F29">
        <f t="shared" ca="1" si="4"/>
        <v>1899.68</v>
      </c>
      <c r="G29" t="str">
        <f t="shared" ca="1" si="5"/>
        <v>hipotecario</v>
      </c>
      <c r="H2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29" t="str">
        <f t="shared" ca="1" si="6"/>
        <v>No</v>
      </c>
      <c r="J2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164998.58641010366</v>
      </c>
      <c r="K29" t="str">
        <f ca="1">IF(Tabla2[[#This Row],[¿cliente deuda abierta?]]="Sí", Tabla2[[#This Row],[Deuda actual]]*Tabla2[[#This Row],[diferencia de días]], "0")</f>
        <v>0</v>
      </c>
      <c r="L2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29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29">
        <f t="shared" ca="1" si="7"/>
        <v>1495.95</v>
      </c>
      <c r="P29">
        <f t="shared" ca="1" si="8"/>
        <v>85826.21</v>
      </c>
      <c r="Q29">
        <f t="shared" ca="1" si="9"/>
        <v>1</v>
      </c>
      <c r="R29">
        <f ca="1">((Tabla2[[#This Row],[Fantasma Comunicación]]+1)/(Tabla2[[#This Row],[Fantasma Comunicación]]+RANDBETWEEN(0,5)+2))-0.5</f>
        <v>0.16666666666666663</v>
      </c>
      <c r="S29">
        <f ca="1">1+MAX(0,Tabla2[[#This Row],[Deuda actual]]/Tabla2[[#This Row],[Liquidez]]+Tabla2[[#This Row],[Liquidez]]/(Tabla2[[#This Row],[Activos]]+Tabla2[[#This Row],[Liquidez]])+Tabla2[[#This Row],[Comunicación]])</f>
        <v>2.4536800716849299</v>
      </c>
      <c r="T29">
        <f ca="1">Tabla2[[#This Row],[Deuda actual]]*EXP(Tabla2[[#This Row],[Ki]]*Tabla2[[#This Row],[diferencia de días]])*(1+Tabla2[[#This Row],[Hg]])</f>
        <v>1643.0296737779067</v>
      </c>
    </row>
    <row r="30" spans="1:20" ht="14.5" x14ac:dyDescent="0.35">
      <c r="A30">
        <f t="shared" si="10"/>
        <v>29</v>
      </c>
      <c r="B30">
        <f t="shared" ca="1" si="0"/>
        <v>46131</v>
      </c>
      <c r="C30">
        <f t="shared" ca="1" si="1"/>
        <v>46157</v>
      </c>
      <c r="D30">
        <f t="shared" ca="1" si="2"/>
        <v>3</v>
      </c>
      <c r="E30">
        <f t="shared" ca="1" si="3"/>
        <v>0.75646193834904973</v>
      </c>
      <c r="F30">
        <f t="shared" ca="1" si="4"/>
        <v>135.22999999999999</v>
      </c>
      <c r="G30" t="str">
        <f t="shared" ca="1" si="5"/>
        <v>personal</v>
      </c>
      <c r="H3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0" t="str">
        <f t="shared" ca="1" si="6"/>
        <v>Sí</v>
      </c>
      <c r="J3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0">
        <f ca="1">IF(Tabla2[[#This Row],[¿cliente deuda abierta?]]="Sí", Tabla2[[#This Row],[Deuda actual]]*Tabla2[[#This Row],[diferencia de días]], "0")</f>
        <v>405.68999999999994</v>
      </c>
      <c r="L3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0">
        <f t="shared" ca="1" si="7"/>
        <v>1568.75</v>
      </c>
      <c r="P30">
        <f t="shared" ca="1" si="8"/>
        <v>272214.98</v>
      </c>
      <c r="Q30">
        <f t="shared" ca="1" si="9"/>
        <v>4</v>
      </c>
      <c r="R30">
        <f ca="1">((Tabla2[[#This Row],[Fantasma Comunicación]]+1)/(Tabla2[[#This Row],[Fantasma Comunicación]]+RANDBETWEEN(0,5)+2))-0.5</f>
        <v>0.33333333333333337</v>
      </c>
      <c r="S30">
        <f ca="1">1+MAX(0,Tabla2[[#This Row],[Deuda actual]]/Tabla2[[#This Row],[Liquidez]]+Tabla2[[#This Row],[Liquidez]]/(Tabla2[[#This Row],[Activos]]+Tabla2[[#This Row],[Liquidez]])+Tabla2[[#This Row],[Comunicación]])</f>
        <v>1.4252656113730096</v>
      </c>
      <c r="T30">
        <f ca="1">Tabla2[[#This Row],[Deuda actual]]*EXP(Tabla2[[#This Row],[Ki]]*Tabla2[[#This Row],[diferencia de días]])*(1+Tabla2[[#This Row],[Hg]])</f>
        <v>142.07672046358243</v>
      </c>
    </row>
    <row r="31" spans="1:20" ht="14.5" x14ac:dyDescent="0.35">
      <c r="A31">
        <f t="shared" si="10"/>
        <v>30</v>
      </c>
      <c r="B31">
        <f t="shared" ca="1" si="0"/>
        <v>46092</v>
      </c>
      <c r="C31">
        <f t="shared" ca="1" si="1"/>
        <v>46157</v>
      </c>
      <c r="D31">
        <f t="shared" ca="1" si="2"/>
        <v>41</v>
      </c>
      <c r="E31">
        <f t="shared" ca="1" si="3"/>
        <v>0.41455783765184695</v>
      </c>
      <c r="F31">
        <f t="shared" ca="1" si="4"/>
        <v>1083.27</v>
      </c>
      <c r="G31" t="str">
        <f t="shared" ca="1" si="5"/>
        <v>hipotecario</v>
      </c>
      <c r="H3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31" t="str">
        <f t="shared" ca="1" si="6"/>
        <v>Sí</v>
      </c>
      <c r="J3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1">
        <f ca="1">IF(Tabla2[[#This Row],[¿cliente deuda abierta?]]="Sí", Tabla2[[#This Row],[Deuda actual]]*Tabla2[[#This Row],[diferencia de días]], "0")</f>
        <v>44414.07</v>
      </c>
      <c r="L3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3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1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31">
        <f t="shared" ca="1" si="7"/>
        <v>1655.41</v>
      </c>
      <c r="P31">
        <f t="shared" ca="1" si="8"/>
        <v>200259.17</v>
      </c>
      <c r="Q31">
        <f t="shared" ca="1" si="9"/>
        <v>4</v>
      </c>
      <c r="R31">
        <f ca="1">((Tabla2[[#This Row],[Fantasma Comunicación]]+1)/(Tabla2[[#This Row],[Fantasma Comunicación]]+RANDBETWEEN(0,5)+2))-0.5</f>
        <v>-4.545454545454547E-2</v>
      </c>
      <c r="S31">
        <f ca="1">1+MAX(0,Tabla2[[#This Row],[Deuda actual]]/Tabla2[[#This Row],[Liquidez]]+Tabla2[[#This Row],[Liquidez]]/(Tabla2[[#This Row],[Activos]]+Tabla2[[#This Row],[Liquidez]])+Tabla2[[#This Row],[Comunicación]])</f>
        <v>1.6171257144545033</v>
      </c>
      <c r="T31">
        <f ca="1">Tabla2[[#This Row],[Deuda actual]]*EXP(Tabla2[[#This Row],[Ki]]*Tabla2[[#This Row],[diferencia de días]])*(1+Tabla2[[#This Row],[Hg]])</f>
        <v>1241.4678434116768</v>
      </c>
    </row>
    <row r="32" spans="1:20" ht="14.5" x14ac:dyDescent="0.35">
      <c r="A32">
        <f t="shared" si="10"/>
        <v>31</v>
      </c>
      <c r="B32">
        <f t="shared" ca="1" si="0"/>
        <v>46092</v>
      </c>
      <c r="C32">
        <f t="shared" ca="1" si="1"/>
        <v>46157</v>
      </c>
      <c r="D32">
        <f t="shared" ca="1" si="2"/>
        <v>35</v>
      </c>
      <c r="E32">
        <f t="shared" ca="1" si="3"/>
        <v>0.34459675914468302</v>
      </c>
      <c r="F32">
        <f t="shared" ca="1" si="4"/>
        <v>3950.33</v>
      </c>
      <c r="G32" t="str">
        <f t="shared" ca="1" si="5"/>
        <v>hipotecario</v>
      </c>
      <c r="H3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32" t="str">
        <f t="shared" ca="1" si="6"/>
        <v>Sí</v>
      </c>
      <c r="J3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2">
        <f ca="1">IF(Tabla2[[#This Row],[¿cliente deuda abierta?]]="Sí", Tabla2[[#This Row],[Deuda actual]]*Tabla2[[#This Row],[diferencia de días]], "0")</f>
        <v>138261.54999999999</v>
      </c>
      <c r="L3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3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2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32">
        <f t="shared" ca="1" si="7"/>
        <v>1463.08</v>
      </c>
      <c r="P32">
        <f t="shared" ca="1" si="8"/>
        <v>113463.1</v>
      </c>
      <c r="Q32">
        <f t="shared" ca="1" si="9"/>
        <v>3</v>
      </c>
      <c r="R32">
        <f ca="1">((Tabla2[[#This Row],[Fantasma Comunicación]]+1)/(Tabla2[[#This Row],[Fantasma Comunicación]]+RANDBETWEEN(0,5)+2))-0.5</f>
        <v>0</v>
      </c>
      <c r="S32">
        <f ca="1">1+MAX(0,Tabla2[[#This Row],[Deuda actual]]/Tabla2[[#This Row],[Liquidez]]+Tabla2[[#This Row],[Liquidez]]/(Tabla2[[#This Row],[Activos]]+Tabla2[[#This Row],[Liquidez]])+Tabla2[[#This Row],[Comunicación]])</f>
        <v>3.7127401755798615</v>
      </c>
      <c r="T32">
        <f ca="1">Tabla2[[#This Row],[Deuda actual]]*EXP(Tabla2[[#This Row],[Ki]]*Tabla2[[#This Row],[diferencia de días]])*(1+Tabla2[[#This Row],[Hg]])</f>
        <v>4704.6955449017778</v>
      </c>
    </row>
    <row r="33" spans="1:20" ht="14.5" x14ac:dyDescent="0.35">
      <c r="A33">
        <f t="shared" si="10"/>
        <v>32</v>
      </c>
      <c r="B33">
        <f t="shared" ca="1" si="0"/>
        <v>46087</v>
      </c>
      <c r="C33">
        <f t="shared" ca="1" si="1"/>
        <v>46157</v>
      </c>
      <c r="D33">
        <f t="shared" ca="1" si="2"/>
        <v>2</v>
      </c>
      <c r="E33">
        <f t="shared" ca="1" si="3"/>
        <v>0.96339948426431588</v>
      </c>
      <c r="F33">
        <f t="shared" ca="1" si="4"/>
        <v>977.3</v>
      </c>
      <c r="G33" t="str">
        <f t="shared" ca="1" si="5"/>
        <v>personal</v>
      </c>
      <c r="H3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3" t="str">
        <f t="shared" ca="1" si="6"/>
        <v>No</v>
      </c>
      <c r="J3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12001.548185902531</v>
      </c>
      <c r="K33" t="str">
        <f ca="1">IF(Tabla2[[#This Row],[¿cliente deuda abierta?]]="Sí", Tabla2[[#This Row],[Deuda actual]]*Tabla2[[#This Row],[diferencia de días]], "0")</f>
        <v>0</v>
      </c>
      <c r="L3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3">
        <f t="shared" ca="1" si="7"/>
        <v>1732.7</v>
      </c>
      <c r="P33">
        <f t="shared" ca="1" si="8"/>
        <v>230353.71</v>
      </c>
      <c r="Q33">
        <f t="shared" ca="1" si="9"/>
        <v>0</v>
      </c>
      <c r="R33">
        <f ca="1">((Tabla2[[#This Row],[Fantasma Comunicación]]+1)/(Tabla2[[#This Row],[Fantasma Comunicación]]+RANDBETWEEN(0,5)+2))-0.5</f>
        <v>-0.25</v>
      </c>
      <c r="S33">
        <f ca="1">1+MAX(0,Tabla2[[#This Row],[Deuda actual]]/Tabla2[[#This Row],[Liquidez]]+Tabla2[[#This Row],[Liquidez]]/(Tabla2[[#This Row],[Activos]]+Tabla2[[#This Row],[Liquidez]])+Tabla2[[#This Row],[Comunicación]])</f>
        <v>1.3214987658733632</v>
      </c>
      <c r="T33">
        <f ca="1">Tabla2[[#This Row],[Deuda actual]]*EXP(Tabla2[[#This Row],[Ki]]*Tabla2[[#This Row],[diferencia de días]])*(1+Tabla2[[#This Row],[Hg]])</f>
        <v>879.92189837498313</v>
      </c>
    </row>
    <row r="34" spans="1:20" ht="14.5" x14ac:dyDescent="0.35">
      <c r="A34">
        <f t="shared" si="10"/>
        <v>33</v>
      </c>
      <c r="B34">
        <f t="shared" ca="1" si="0"/>
        <v>46107</v>
      </c>
      <c r="C34">
        <f t="shared" ca="1" si="1"/>
        <v>46157</v>
      </c>
      <c r="D34">
        <f t="shared" ca="1" si="2"/>
        <v>8</v>
      </c>
      <c r="E34">
        <f t="shared" ca="1" si="3"/>
        <v>0.41092792494223962</v>
      </c>
      <c r="F34">
        <f t="shared" ca="1" si="4"/>
        <v>764.09</v>
      </c>
      <c r="G34" t="str">
        <f t="shared" ca="1" si="5"/>
        <v>hipotecario</v>
      </c>
      <c r="H3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4" t="str">
        <f t="shared" ca="1" si="6"/>
        <v>Sí</v>
      </c>
      <c r="J3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4">
        <f ca="1">IF(Tabla2[[#This Row],[¿cliente deuda abierta?]]="Sí", Tabla2[[#This Row],[Deuda actual]]*Tabla2[[#This Row],[diferencia de días]], "0")</f>
        <v>6112.72</v>
      </c>
      <c r="L3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4">
        <f t="shared" ca="1" si="7"/>
        <v>1257.19</v>
      </c>
      <c r="P34">
        <f t="shared" ca="1" si="8"/>
        <v>986177.58</v>
      </c>
      <c r="Q34">
        <f t="shared" ca="1" si="9"/>
        <v>1</v>
      </c>
      <c r="R34">
        <f ca="1">((Tabla2[[#This Row],[Fantasma Comunicación]]+1)/(Tabla2[[#This Row],[Fantasma Comunicación]]+RANDBETWEEN(0,5)+2))-0.5</f>
        <v>-0.2142857142857143</v>
      </c>
      <c r="S34">
        <f ca="1">1+MAX(0,Tabla2[[#This Row],[Deuda actual]]/Tabla2[[#This Row],[Liquidez]]+Tabla2[[#This Row],[Liquidez]]/(Tabla2[[#This Row],[Activos]]+Tabla2[[#This Row],[Liquidez]])+Tabla2[[#This Row],[Comunicación]])</f>
        <v>1.3947635456467293</v>
      </c>
      <c r="T34">
        <f ca="1">Tabla2[[#This Row],[Deuda actual]]*EXP(Tabla2[[#This Row],[Ki]]*Tabla2[[#This Row],[diferencia de días]])*(1+Tabla2[[#This Row],[Hg]])</f>
        <v>803.57919868487886</v>
      </c>
    </row>
    <row r="35" spans="1:20" ht="14.5" x14ac:dyDescent="0.35">
      <c r="A35">
        <f t="shared" si="10"/>
        <v>34</v>
      </c>
      <c r="B35">
        <f t="shared" ca="1" si="0"/>
        <v>46126</v>
      </c>
      <c r="C35">
        <f t="shared" ca="1" si="1"/>
        <v>46157</v>
      </c>
      <c r="D35">
        <f t="shared" ca="1" si="2"/>
        <v>6</v>
      </c>
      <c r="E35">
        <f t="shared" ca="1" si="3"/>
        <v>0.63628486933847372</v>
      </c>
      <c r="F35">
        <f t="shared" ca="1" si="4"/>
        <v>280.35000000000002</v>
      </c>
      <c r="G35" t="str">
        <f t="shared" ca="1" si="5"/>
        <v>personal</v>
      </c>
      <c r="H3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5" t="str">
        <f t="shared" ca="1" si="6"/>
        <v>No</v>
      </c>
      <c r="J3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12000.952654046185</v>
      </c>
      <c r="K35" t="str">
        <f ca="1">IF(Tabla2[[#This Row],[¿cliente deuda abierta?]]="Sí", Tabla2[[#This Row],[Deuda actual]]*Tabla2[[#This Row],[diferencia de días]], "0")</f>
        <v>0</v>
      </c>
      <c r="L3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5">
        <f t="shared" ca="1" si="7"/>
        <v>1402.37</v>
      </c>
      <c r="P35">
        <f t="shared" ca="1" si="8"/>
        <v>286693.73</v>
      </c>
      <c r="Q35">
        <f t="shared" ca="1" si="9"/>
        <v>4</v>
      </c>
      <c r="R35">
        <f ca="1">((Tabla2[[#This Row],[Fantasma Comunicación]]+1)/(Tabla2[[#This Row],[Fantasma Comunicación]]+RANDBETWEEN(0,5)+2))-0.5</f>
        <v>5.555555555555558E-2</v>
      </c>
      <c r="S35">
        <f ca="1">1+MAX(0,Tabla2[[#This Row],[Deuda actual]]/Tabla2[[#This Row],[Liquidez]]+Tabla2[[#This Row],[Liquidez]]/(Tabla2[[#This Row],[Activos]]+Tabla2[[#This Row],[Liquidez]])+Tabla2[[#This Row],[Comunicación]])</f>
        <v>1.2603348498279572</v>
      </c>
      <c r="T35">
        <f ca="1">Tabla2[[#This Row],[Deuda actual]]*EXP(Tabla2[[#This Row],[Ki]]*Tabla2[[#This Row],[diferencia de días]])*(1+Tabla2[[#This Row],[Hg]])</f>
        <v>252.61795973948853</v>
      </c>
    </row>
    <row r="36" spans="1:20" ht="14.5" x14ac:dyDescent="0.35">
      <c r="A36">
        <f t="shared" si="10"/>
        <v>35</v>
      </c>
      <c r="B36">
        <f t="shared" ca="1" si="0"/>
        <v>46089</v>
      </c>
      <c r="C36">
        <f t="shared" ca="1" si="1"/>
        <v>46157</v>
      </c>
      <c r="D36">
        <f t="shared" ca="1" si="2"/>
        <v>1</v>
      </c>
      <c r="E36">
        <f t="shared" ca="1" si="3"/>
        <v>0.20442971441988123</v>
      </c>
      <c r="F36">
        <f t="shared" ca="1" si="4"/>
        <v>3813.38</v>
      </c>
      <c r="G36" t="str">
        <f t="shared" ca="1" si="5"/>
        <v>personal</v>
      </c>
      <c r="H3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6" t="str">
        <f t="shared" ca="1" si="6"/>
        <v>No</v>
      </c>
      <c r="J3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12001.380785063162</v>
      </c>
      <c r="K36" t="str">
        <f ca="1">IF(Tabla2[[#This Row],[¿cliente deuda abierta?]]="Sí", Tabla2[[#This Row],[Deuda actual]]*Tabla2[[#This Row],[diferencia de días]], "0")</f>
        <v>0</v>
      </c>
      <c r="L3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6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6">
        <f t="shared" ca="1" si="7"/>
        <v>1759.87</v>
      </c>
      <c r="P36">
        <f t="shared" ca="1" si="8"/>
        <v>396017.38</v>
      </c>
      <c r="Q36">
        <f t="shared" ca="1" si="9"/>
        <v>5</v>
      </c>
      <c r="R36">
        <f ca="1">((Tabla2[[#This Row],[Fantasma Comunicación]]+1)/(Tabla2[[#This Row],[Fantasma Comunicación]]+RANDBETWEEN(0,5)+2))-0.5</f>
        <v>0.3571428571428571</v>
      </c>
      <c r="S36">
        <f ca="1">1+MAX(0,Tabla2[[#This Row],[Deuda actual]]/Tabla2[[#This Row],[Liquidez]]+Tabla2[[#This Row],[Liquidez]]/(Tabla2[[#This Row],[Activos]]+Tabla2[[#This Row],[Liquidez]])+Tabla2[[#This Row],[Comunicación]])</f>
        <v>3.5284203506804519</v>
      </c>
      <c r="T36">
        <f ca="1">Tabla2[[#This Row],[Deuda actual]]*EXP(Tabla2[[#This Row],[Ki]]*Tabla2[[#This Row],[diferencia de días]])*(1+Tabla2[[#This Row],[Hg]])</f>
        <v>3432.7284770454166</v>
      </c>
    </row>
    <row r="37" spans="1:20" ht="14.5" x14ac:dyDescent="0.35">
      <c r="A37">
        <f t="shared" si="10"/>
        <v>36</v>
      </c>
      <c r="B37">
        <f t="shared" ca="1" si="0"/>
        <v>46124</v>
      </c>
      <c r="C37">
        <f t="shared" ca="1" si="1"/>
        <v>46157</v>
      </c>
      <c r="D37">
        <f t="shared" ca="1" si="2"/>
        <v>42</v>
      </c>
      <c r="E37">
        <f t="shared" ca="1" si="3"/>
        <v>0.18106503167528754</v>
      </c>
      <c r="F37">
        <f t="shared" ca="1" si="4"/>
        <v>463.1</v>
      </c>
      <c r="G37" t="str">
        <f t="shared" ca="1" si="5"/>
        <v>hipotecario</v>
      </c>
      <c r="H3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37" t="str">
        <f t="shared" ca="1" si="6"/>
        <v>No</v>
      </c>
      <c r="J3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164999.57516910663</v>
      </c>
      <c r="K37" t="str">
        <f ca="1">IF(Tabla2[[#This Row],[¿cliente deuda abierta?]]="Sí", Tabla2[[#This Row],[Deuda actual]]*Tabla2[[#This Row],[diferencia de días]], "0")</f>
        <v>0</v>
      </c>
      <c r="L3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3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37">
        <f t="shared" ca="1" si="7"/>
        <v>1974.34</v>
      </c>
      <c r="P37">
        <f t="shared" ca="1" si="8"/>
        <v>176075.19</v>
      </c>
      <c r="Q37">
        <f t="shared" ca="1" si="9"/>
        <v>0</v>
      </c>
      <c r="R37">
        <f ca="1">((Tabla2[[#This Row],[Fantasma Comunicación]]+1)/(Tabla2[[#This Row],[Fantasma Comunicación]]+RANDBETWEEN(0,5)+2))-0.5</f>
        <v>-0.33333333333333337</v>
      </c>
      <c r="S37">
        <f ca="1">1+MAX(0,Tabla2[[#This Row],[Deuda actual]]/Tabla2[[#This Row],[Liquidez]]+Tabla2[[#This Row],[Liquidez]]/(Tabla2[[#This Row],[Activos]]+Tabla2[[#This Row],[Liquidez]])+Tabla2[[#This Row],[Comunicación]])</f>
        <v>1</v>
      </c>
      <c r="T37">
        <f ca="1">Tabla2[[#This Row],[Deuda actual]]*EXP(Tabla2[[#This Row],[Ki]]*Tabla2[[#This Row],[diferencia de días]])*(1+Tabla2[[#This Row],[Hg]])</f>
        <v>386.3715464875828</v>
      </c>
    </row>
    <row r="38" spans="1:20" ht="14.5" x14ac:dyDescent="0.35">
      <c r="A38">
        <f t="shared" si="10"/>
        <v>37</v>
      </c>
      <c r="B38">
        <f t="shared" ca="1" si="0"/>
        <v>46131</v>
      </c>
      <c r="C38">
        <f t="shared" ca="1" si="1"/>
        <v>46157</v>
      </c>
      <c r="D38">
        <f t="shared" ca="1" si="2"/>
        <v>21</v>
      </c>
      <c r="E38">
        <f t="shared" ca="1" si="3"/>
        <v>0.56688040797349482</v>
      </c>
      <c r="F38">
        <f t="shared" ca="1" si="4"/>
        <v>2332.2199999999998</v>
      </c>
      <c r="G38" t="str">
        <f t="shared" ca="1" si="5"/>
        <v>hipotecario</v>
      </c>
      <c r="H3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8" t="str">
        <f t="shared" ca="1" si="6"/>
        <v>Sí</v>
      </c>
      <c r="J3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8">
        <f ca="1">IF(Tabla2[[#This Row],[¿cliente deuda abierta?]]="Sí", Tabla2[[#This Row],[Deuda actual]]*Tabla2[[#This Row],[diferencia de días]], "0")</f>
        <v>48976.619999999995</v>
      </c>
      <c r="L3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3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8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38">
        <f t="shared" ca="1" si="7"/>
        <v>1927.22</v>
      </c>
      <c r="P38">
        <f t="shared" ca="1" si="8"/>
        <v>255624.71</v>
      </c>
      <c r="Q38">
        <f t="shared" ca="1" si="9"/>
        <v>4</v>
      </c>
      <c r="R38">
        <f ca="1">((Tabla2[[#This Row],[Fantasma Comunicación]]+1)/(Tabla2[[#This Row],[Fantasma Comunicación]]+RANDBETWEEN(0,5)+2))-0.5</f>
        <v>0.125</v>
      </c>
      <c r="S38">
        <f ca="1">1+MAX(0,Tabla2[[#This Row],[Deuda actual]]/Tabla2[[#This Row],[Liquidez]]+Tabla2[[#This Row],[Liquidez]]/(Tabla2[[#This Row],[Activos]]+Tabla2[[#This Row],[Liquidez]])+Tabla2[[#This Row],[Comunicación]])</f>
        <v>2.3426300991966138</v>
      </c>
      <c r="T38">
        <f ca="1">Tabla2[[#This Row],[Deuda actual]]*EXP(Tabla2[[#This Row],[Ki]]*Tabla2[[#This Row],[diferencia de días]])*(1+Tabla2[[#This Row],[Hg]])</f>
        <v>2587.0824755514695</v>
      </c>
    </row>
    <row r="39" spans="1:20" ht="14.5" x14ac:dyDescent="0.35">
      <c r="A39">
        <f t="shared" si="10"/>
        <v>38</v>
      </c>
      <c r="B39">
        <f t="shared" ca="1" si="0"/>
        <v>46099</v>
      </c>
      <c r="C39">
        <f t="shared" ca="1" si="1"/>
        <v>46157</v>
      </c>
      <c r="D39">
        <f t="shared" ca="1" si="2"/>
        <v>23</v>
      </c>
      <c r="E39">
        <f t="shared" ca="1" si="3"/>
        <v>0.91255712843579528</v>
      </c>
      <c r="F39">
        <f t="shared" ca="1" si="4"/>
        <v>10000</v>
      </c>
      <c r="G39" t="str">
        <f t="shared" ca="1" si="5"/>
        <v>hipotecario</v>
      </c>
      <c r="H3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9" t="str">
        <f t="shared" ca="1" si="6"/>
        <v>Sí</v>
      </c>
      <c r="J3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9">
        <f ca="1">IF(Tabla2[[#This Row],[¿cliente deuda abierta?]]="Sí", Tabla2[[#This Row],[Deuda actual]]*Tabla2[[#This Row],[diferencia de días]], "0")</f>
        <v>230000</v>
      </c>
      <c r="L3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0.2</v>
      </c>
      <c r="M3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9">
        <f ca="1">MAX(Tabla2[[#This Row],[VALORES DE Hg para actuales deudores]:[Valores de HG para deudores cerrados]])*IF(Tabla2[[#This Row],[VALORES DE Hg para actuales deudores]]&gt;Tabla2[[#This Row],[Valores de HG para deudores cerrados]],-1,1)</f>
        <v>0.2</v>
      </c>
      <c r="O39">
        <f t="shared" ca="1" si="7"/>
        <v>1785.99</v>
      </c>
      <c r="P39">
        <f t="shared" ca="1" si="8"/>
        <v>108742.52</v>
      </c>
      <c r="Q39">
        <f t="shared" ca="1" si="9"/>
        <v>3</v>
      </c>
      <c r="R39">
        <f ca="1">((Tabla2[[#This Row],[Fantasma Comunicación]]+1)/(Tabla2[[#This Row],[Fantasma Comunicación]]+RANDBETWEEN(0,5)+2))-0.5</f>
        <v>0.30000000000000004</v>
      </c>
      <c r="S39">
        <f ca="1">1+MAX(0,Tabla2[[#This Row],[Deuda actual]]/Tabla2[[#This Row],[Liquidez]]+Tabla2[[#This Row],[Liquidez]]/(Tabla2[[#This Row],[Activos]]+Tabla2[[#This Row],[Liquidez]])+Tabla2[[#This Row],[Comunicación]])</f>
        <v>6.9152941298352593</v>
      </c>
      <c r="T39">
        <f ca="1">Tabla2[[#This Row],[Deuda actual]]*EXP(Tabla2[[#This Row],[Ki]]*Tabla2[[#This Row],[diferencia de días]])*(1+Tabla2[[#This Row],[Hg]])</f>
        <v>12110.909400964565</v>
      </c>
    </row>
    <row r="40" spans="1:20" ht="14.5" x14ac:dyDescent="0.35">
      <c r="A40">
        <f t="shared" si="10"/>
        <v>39</v>
      </c>
      <c r="B40">
        <f t="shared" ca="1" si="0"/>
        <v>46097</v>
      </c>
      <c r="C40">
        <f t="shared" ca="1" si="1"/>
        <v>46157</v>
      </c>
      <c r="D40">
        <f t="shared" ca="1" si="2"/>
        <v>0</v>
      </c>
      <c r="E40">
        <f t="shared" ca="1" si="3"/>
        <v>8.999043964938469E-2</v>
      </c>
      <c r="F40">
        <f t="shared" ca="1" si="4"/>
        <v>359.44</v>
      </c>
      <c r="G40" t="str">
        <f t="shared" ca="1" si="5"/>
        <v>personal</v>
      </c>
      <c r="H4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0" t="str">
        <f t="shared" ca="1" si="6"/>
        <v>Sí</v>
      </c>
      <c r="J4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0">
        <f ca="1">IF(Tabla2[[#This Row],[¿cliente deuda abierta?]]="Sí", Tabla2[[#This Row],[Deuda actual]]*Tabla2[[#This Row],[diferencia de días]], "0")</f>
        <v>0</v>
      </c>
      <c r="L4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0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40">
        <f t="shared" ca="1" si="7"/>
        <v>1809.51</v>
      </c>
      <c r="P40">
        <f t="shared" ca="1" si="8"/>
        <v>196973.6</v>
      </c>
      <c r="Q40">
        <f t="shared" ca="1" si="9"/>
        <v>3</v>
      </c>
      <c r="R40">
        <f ca="1">((Tabla2[[#This Row],[Fantasma Comunicación]]+1)/(Tabla2[[#This Row],[Fantasma Comunicación]]+RANDBETWEEN(0,5)+2))-0.5</f>
        <v>0</v>
      </c>
      <c r="S40">
        <f ca="1">1+MAX(0,Tabla2[[#This Row],[Deuda actual]]/Tabla2[[#This Row],[Liquidez]]+Tabla2[[#This Row],[Liquidez]]/(Tabla2[[#This Row],[Activos]]+Tabla2[[#This Row],[Liquidez]])+Tabla2[[#This Row],[Comunicación]])</f>
        <v>1.2077423470303292</v>
      </c>
      <c r="T40">
        <f ca="1">Tabla2[[#This Row],[Deuda actual]]*EXP(Tabla2[[#This Row],[Ki]]*Tabla2[[#This Row],[diferencia de días]])*(1+Tabla2[[#This Row],[Hg]])</f>
        <v>359.44</v>
      </c>
    </row>
    <row r="41" spans="1:20" ht="14.5" x14ac:dyDescent="0.35">
      <c r="A41">
        <f t="shared" si="10"/>
        <v>40</v>
      </c>
      <c r="B41">
        <f t="shared" ca="1" si="0"/>
        <v>46098</v>
      </c>
      <c r="C41">
        <f t="shared" ca="1" si="1"/>
        <v>46157</v>
      </c>
      <c r="D41">
        <f t="shared" ca="1" si="2"/>
        <v>38</v>
      </c>
      <c r="E41">
        <f t="shared" ca="1" si="3"/>
        <v>7.9864784215390672E-2</v>
      </c>
      <c r="F41">
        <f t="shared" ca="1" si="4"/>
        <v>1138.92</v>
      </c>
      <c r="G41" t="str">
        <f t="shared" ca="1" si="5"/>
        <v>personal</v>
      </c>
      <c r="H4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41" t="str">
        <f t="shared" ca="1" si="6"/>
        <v>Sí</v>
      </c>
      <c r="J4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1">
        <f ca="1">IF(Tabla2[[#This Row],[¿cliente deuda abierta?]]="Sí", Tabla2[[#This Row],[Deuda actual]]*Tabla2[[#This Row],[diferencia de días]], "0")</f>
        <v>43278.960000000006</v>
      </c>
      <c r="L4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4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1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41">
        <f t="shared" ca="1" si="7"/>
        <v>1389.68</v>
      </c>
      <c r="P41">
        <f t="shared" ca="1" si="8"/>
        <v>390774.45</v>
      </c>
      <c r="Q41">
        <f t="shared" ca="1" si="9"/>
        <v>4</v>
      </c>
      <c r="R41">
        <f ca="1">((Tabla2[[#This Row],[Fantasma Comunicación]]+1)/(Tabla2[[#This Row],[Fantasma Comunicación]]+RANDBETWEEN(0,5)+2))-0.5</f>
        <v>0.125</v>
      </c>
      <c r="S41">
        <f ca="1">1+MAX(0,Tabla2[[#This Row],[Deuda actual]]/Tabla2[[#This Row],[Liquidez]]+Tabla2[[#This Row],[Liquidez]]/(Tabla2[[#This Row],[Activos]]+Tabla2[[#This Row],[Liquidez]])+Tabla2[[#This Row],[Comunicación]])</f>
        <v>1.9480991994724191</v>
      </c>
      <c r="T41">
        <f ca="1">Tabla2[[#This Row],[Deuda actual]]*EXP(Tabla2[[#This Row],[Ki]]*Tabla2[[#This Row],[diferencia de días]])*(1+Tabla2[[#This Row],[Hg]])</f>
        <v>1301.3349533249766</v>
      </c>
    </row>
    <row r="42" spans="1:20" ht="14.5" x14ac:dyDescent="0.35">
      <c r="A42">
        <f t="shared" si="10"/>
        <v>41</v>
      </c>
      <c r="B42">
        <f t="shared" ca="1" si="0"/>
        <v>46122</v>
      </c>
      <c r="C42">
        <f t="shared" ca="1" si="1"/>
        <v>46157</v>
      </c>
      <c r="D42">
        <f t="shared" ca="1" si="2"/>
        <v>21</v>
      </c>
      <c r="E42">
        <f t="shared" ca="1" si="3"/>
        <v>0.29864584685100326</v>
      </c>
      <c r="F42">
        <f t="shared" ca="1" si="4"/>
        <v>9061.39</v>
      </c>
      <c r="G42" t="str">
        <f t="shared" ca="1" si="5"/>
        <v>personal</v>
      </c>
      <c r="H4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2" t="str">
        <f t="shared" ca="1" si="6"/>
        <v>No</v>
      </c>
      <c r="J4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12000.161675650803</v>
      </c>
      <c r="K42" t="str">
        <f ca="1">IF(Tabla2[[#This Row],[¿cliente deuda abierta?]]="Sí", Tabla2[[#This Row],[Deuda actual]]*Tabla2[[#This Row],[diferencia de días]], "0")</f>
        <v>0</v>
      </c>
      <c r="L4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2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2">
        <f t="shared" ca="1" si="7"/>
        <v>1464.25</v>
      </c>
      <c r="P42">
        <f t="shared" ca="1" si="8"/>
        <v>106191.18</v>
      </c>
      <c r="Q42">
        <f t="shared" ca="1" si="9"/>
        <v>5</v>
      </c>
      <c r="R42">
        <f ca="1">((Tabla2[[#This Row],[Fantasma Comunicación]]+1)/(Tabla2[[#This Row],[Fantasma Comunicación]]+RANDBETWEEN(0,5)+2))-0.5</f>
        <v>9.9999999999999978E-2</v>
      </c>
      <c r="S42">
        <f ca="1">1+MAX(0,Tabla2[[#This Row],[Deuda actual]]/Tabla2[[#This Row],[Liquidez]]+Tabla2[[#This Row],[Liquidez]]/(Tabla2[[#This Row],[Activos]]+Tabla2[[#This Row],[Liquidez]])+Tabla2[[#This Row],[Comunicación]])</f>
        <v>7.3020185431718563</v>
      </c>
      <c r="T42">
        <f ca="1">Tabla2[[#This Row],[Deuda actual]]*EXP(Tabla2[[#This Row],[Ki]]*Tabla2[[#This Row],[diferencia de días]])*(1+Tabla2[[#This Row],[Hg]])</f>
        <v>8224.0436329582171</v>
      </c>
    </row>
    <row r="43" spans="1:20" ht="14.5" x14ac:dyDescent="0.35">
      <c r="A43">
        <f t="shared" si="10"/>
        <v>42</v>
      </c>
      <c r="B43">
        <f t="shared" ca="1" si="0"/>
        <v>46108</v>
      </c>
      <c r="C43">
        <f t="shared" ca="1" si="1"/>
        <v>46157</v>
      </c>
      <c r="D43">
        <f t="shared" ca="1" si="2"/>
        <v>6</v>
      </c>
      <c r="E43">
        <f t="shared" ca="1" si="3"/>
        <v>9.0636945660124257E-2</v>
      </c>
      <c r="F43">
        <f t="shared" ca="1" si="4"/>
        <v>848.71</v>
      </c>
      <c r="G43" t="str">
        <f t="shared" ca="1" si="5"/>
        <v>personal</v>
      </c>
      <c r="H4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3" t="str">
        <f t="shared" ca="1" si="6"/>
        <v>Sí</v>
      </c>
      <c r="J4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3">
        <f ca="1">IF(Tabla2[[#This Row],[¿cliente deuda abierta?]]="Sí", Tabla2[[#This Row],[Deuda actual]]*Tabla2[[#This Row],[diferencia de días]], "0")</f>
        <v>5092.26</v>
      </c>
      <c r="L4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3">
        <f t="shared" ca="1" si="7"/>
        <v>1184.05</v>
      </c>
      <c r="P43">
        <f t="shared" ca="1" si="8"/>
        <v>241019.08</v>
      </c>
      <c r="Q43">
        <f t="shared" ca="1" si="9"/>
        <v>5</v>
      </c>
      <c r="R43">
        <f ca="1">((Tabla2[[#This Row],[Fantasma Comunicación]]+1)/(Tabla2[[#This Row],[Fantasma Comunicación]]+RANDBETWEEN(0,5)+2))-0.5</f>
        <v>4.5454545454545414E-2</v>
      </c>
      <c r="S43">
        <f ca="1">1+MAX(0,Tabla2[[#This Row],[Deuda actual]]/Tabla2[[#This Row],[Liquidez]]+Tabla2[[#This Row],[Liquidez]]/(Tabla2[[#This Row],[Activos]]+Tabla2[[#This Row],[Liquidez]])+Tabla2[[#This Row],[Comunicación]])</f>
        <v>1.7671288193168762</v>
      </c>
      <c r="T43">
        <f ca="1">Tabla2[[#This Row],[Deuda actual]]*EXP(Tabla2[[#This Row],[Ki]]*Tabla2[[#This Row],[diferencia de días]])*(1+Tabla2[[#This Row],[Hg]])</f>
        <v>892.21551648148704</v>
      </c>
    </row>
    <row r="44" spans="1:20" ht="14.5" x14ac:dyDescent="0.35">
      <c r="A44">
        <f t="shared" si="10"/>
        <v>43</v>
      </c>
      <c r="B44">
        <f t="shared" ca="1" si="0"/>
        <v>46128</v>
      </c>
      <c r="C44">
        <f t="shared" ca="1" si="1"/>
        <v>46157</v>
      </c>
      <c r="D44">
        <f t="shared" ca="1" si="2"/>
        <v>25</v>
      </c>
      <c r="E44">
        <f t="shared" ca="1" si="3"/>
        <v>0.94248155796694544</v>
      </c>
      <c r="F44">
        <f t="shared" ca="1" si="4"/>
        <v>3264.28</v>
      </c>
      <c r="G44" t="str">
        <f t="shared" ca="1" si="5"/>
        <v>hipotecario</v>
      </c>
      <c r="H4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4" t="str">
        <f t="shared" ca="1" si="6"/>
        <v>Sí</v>
      </c>
      <c r="J4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4">
        <f ca="1">IF(Tabla2[[#This Row],[¿cliente deuda abierta?]]="Sí", Tabla2[[#This Row],[Deuda actual]]*Tabla2[[#This Row],[diferencia de días]], "0")</f>
        <v>81607</v>
      </c>
      <c r="L4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4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4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44">
        <f t="shared" ca="1" si="7"/>
        <v>1047.06</v>
      </c>
      <c r="P44">
        <f t="shared" ca="1" si="8"/>
        <v>87357.78</v>
      </c>
      <c r="Q44">
        <f t="shared" ca="1" si="9"/>
        <v>1</v>
      </c>
      <c r="R44">
        <f ca="1">((Tabla2[[#This Row],[Fantasma Comunicación]]+1)/(Tabla2[[#This Row],[Fantasma Comunicación]]+RANDBETWEEN(0,5)+2))-0.5</f>
        <v>-0.16666666666666669</v>
      </c>
      <c r="S44">
        <f ca="1">1+MAX(0,Tabla2[[#This Row],[Deuda actual]]/Tabla2[[#This Row],[Liquidez]]+Tabla2[[#This Row],[Liquidez]]/(Tabla2[[#This Row],[Activos]]+Tabla2[[#This Row],[Liquidez]])+Tabla2[[#This Row],[Comunicación]])</f>
        <v>3.9627445386332365</v>
      </c>
      <c r="T44">
        <f ca="1">Tabla2[[#This Row],[Deuda actual]]*EXP(Tabla2[[#This Row],[Ki]]*Tabla2[[#This Row],[diferencia de días]])*(1+Tabla2[[#This Row],[Hg]])</f>
        <v>3791.6495433209338</v>
      </c>
    </row>
    <row r="45" spans="1:20" ht="14.5" x14ac:dyDescent="0.35">
      <c r="A45">
        <f t="shared" si="10"/>
        <v>44</v>
      </c>
      <c r="B45">
        <f t="shared" ca="1" si="0"/>
        <v>46100</v>
      </c>
      <c r="C45">
        <f t="shared" ca="1" si="1"/>
        <v>46157</v>
      </c>
      <c r="D45">
        <f t="shared" ca="1" si="2"/>
        <v>29</v>
      </c>
      <c r="E45">
        <f t="shared" ca="1" si="3"/>
        <v>0.74072076976190238</v>
      </c>
      <c r="F45">
        <f t="shared" ca="1" si="4"/>
        <v>142.66</v>
      </c>
      <c r="G45" t="str">
        <f t="shared" ca="1" si="5"/>
        <v>personal</v>
      </c>
      <c r="H4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5" t="str">
        <f t="shared" ca="1" si="6"/>
        <v>No</v>
      </c>
      <c r="J4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12000.87064762374</v>
      </c>
      <c r="K45" t="str">
        <f ca="1">IF(Tabla2[[#This Row],[¿cliente deuda abierta?]]="Sí", Tabla2[[#This Row],[Deuda actual]]*Tabla2[[#This Row],[diferencia de días]], "0")</f>
        <v>0</v>
      </c>
      <c r="L4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5">
        <f t="shared" ca="1" si="7"/>
        <v>2191.9699999999998</v>
      </c>
      <c r="P45">
        <f t="shared" ca="1" si="8"/>
        <v>388847.98</v>
      </c>
      <c r="Q45">
        <f t="shared" ca="1" si="9"/>
        <v>4</v>
      </c>
      <c r="R45">
        <f ca="1">((Tabla2[[#This Row],[Fantasma Comunicación]]+1)/(Tabla2[[#This Row],[Fantasma Comunicación]]+RANDBETWEEN(0,5)+2))-0.5</f>
        <v>5.555555555555558E-2</v>
      </c>
      <c r="S45">
        <f ca="1">1+MAX(0,Tabla2[[#This Row],[Deuda actual]]/Tabla2[[#This Row],[Liquidez]]+Tabla2[[#This Row],[Liquidez]]/(Tabla2[[#This Row],[Activos]]+Tabla2[[#This Row],[Liquidez]])+Tabla2[[#This Row],[Comunicación]])</f>
        <v>1.1262440517248333</v>
      </c>
      <c r="T45">
        <f ca="1">Tabla2[[#This Row],[Deuda actual]]*EXP(Tabla2[[#This Row],[Ki]]*Tabla2[[#This Row],[diferencia de días]])*(1+Tabla2[[#This Row],[Hg]])</f>
        <v>129.89204224702334</v>
      </c>
    </row>
    <row r="46" spans="1:20" ht="14.5" x14ac:dyDescent="0.35">
      <c r="A46">
        <f t="shared" si="10"/>
        <v>45</v>
      </c>
      <c r="B46">
        <f t="shared" ca="1" si="0"/>
        <v>46106</v>
      </c>
      <c r="C46">
        <f t="shared" ca="1" si="1"/>
        <v>46157</v>
      </c>
      <c r="D46">
        <f t="shared" ca="1" si="2"/>
        <v>15</v>
      </c>
      <c r="E46">
        <f t="shared" ca="1" si="3"/>
        <v>0.42595606453017376</v>
      </c>
      <c r="F46">
        <f t="shared" ca="1" si="4"/>
        <v>234.15</v>
      </c>
      <c r="G46" t="str">
        <f t="shared" ca="1" si="5"/>
        <v>personal</v>
      </c>
      <c r="H4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6" t="str">
        <f t="shared" ca="1" si="6"/>
        <v>No</v>
      </c>
      <c r="J4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12001.761696471731</v>
      </c>
      <c r="K46" t="str">
        <f ca="1">IF(Tabla2[[#This Row],[¿cliente deuda abierta?]]="Sí", Tabla2[[#This Row],[Deuda actual]]*Tabla2[[#This Row],[diferencia de días]], "0")</f>
        <v>0</v>
      </c>
      <c r="L4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6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6">
        <f t="shared" ca="1" si="7"/>
        <v>1270.43</v>
      </c>
      <c r="P46">
        <f t="shared" ca="1" si="8"/>
        <v>201857.13</v>
      </c>
      <c r="Q46">
        <f t="shared" ca="1" si="9"/>
        <v>4</v>
      </c>
      <c r="R46">
        <f ca="1">((Tabla2[[#This Row],[Fantasma Comunicación]]+1)/(Tabla2[[#This Row],[Fantasma Comunicación]]+RANDBETWEEN(0,5)+2))-0.5</f>
        <v>5.555555555555558E-2</v>
      </c>
      <c r="S46">
        <f ca="1">1+MAX(0,Tabla2[[#This Row],[Deuda actual]]/Tabla2[[#This Row],[Liquidez]]+Tabla2[[#This Row],[Liquidez]]/(Tabla2[[#This Row],[Activos]]+Tabla2[[#This Row],[Liquidez]])+Tabla2[[#This Row],[Comunicación]])</f>
        <v>1.2461175767009531</v>
      </c>
      <c r="T46">
        <f ca="1">Tabla2[[#This Row],[Deuda actual]]*EXP(Tabla2[[#This Row],[Ki]]*Tabla2[[#This Row],[diferencia de días]])*(1+Tabla2[[#This Row],[Hg]])</f>
        <v>212.00321082785339</v>
      </c>
    </row>
    <row r="47" spans="1:20" ht="14.5" x14ac:dyDescent="0.35">
      <c r="A47">
        <f t="shared" si="10"/>
        <v>46</v>
      </c>
      <c r="B47">
        <f t="shared" ca="1" si="0"/>
        <v>46127</v>
      </c>
      <c r="C47">
        <f t="shared" ca="1" si="1"/>
        <v>46157</v>
      </c>
      <c r="D47">
        <f t="shared" ca="1" si="2"/>
        <v>22</v>
      </c>
      <c r="E47">
        <f t="shared" ca="1" si="3"/>
        <v>0.60069358472467982</v>
      </c>
      <c r="F47">
        <f t="shared" ca="1" si="4"/>
        <v>201.19</v>
      </c>
      <c r="G47" t="str">
        <f t="shared" ca="1" si="5"/>
        <v>hipotecario</v>
      </c>
      <c r="H4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7" t="str">
        <f t="shared" ca="1" si="6"/>
        <v>Sí</v>
      </c>
      <c r="J4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7">
        <f ca="1">IF(Tabla2[[#This Row],[¿cliente deuda abierta?]]="Sí", Tabla2[[#This Row],[Deuda actual]]*Tabla2[[#This Row],[diferencia de días]], "0")</f>
        <v>4426.18</v>
      </c>
      <c r="L4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7">
        <f t="shared" ca="1" si="7"/>
        <v>1442.61</v>
      </c>
      <c r="P47">
        <f t="shared" ca="1" si="8"/>
        <v>133122.1</v>
      </c>
      <c r="Q47">
        <f t="shared" ca="1" si="9"/>
        <v>5</v>
      </c>
      <c r="R47">
        <f ca="1">((Tabla2[[#This Row],[Fantasma Comunicación]]+1)/(Tabla2[[#This Row],[Fantasma Comunicación]]+RANDBETWEEN(0,5)+2))-0.5</f>
        <v>9.9999999999999978E-2</v>
      </c>
      <c r="S47">
        <f ca="1">1+MAX(0,Tabla2[[#This Row],[Deuda actual]]/Tabla2[[#This Row],[Liquidez]]+Tabla2[[#This Row],[Liquidez]]/(Tabla2[[#This Row],[Activos]]+Tabla2[[#This Row],[Liquidez]])+Tabla2[[#This Row],[Comunicación]])</f>
        <v>1.2501830690717581</v>
      </c>
      <c r="T47">
        <f ca="1">Tabla2[[#This Row],[Deuda actual]]*EXP(Tabla2[[#This Row],[Ki]]*Tabla2[[#This Row],[diferencia de días]])*(1+Tabla2[[#This Row],[Hg]])</f>
        <v>213.11669922695518</v>
      </c>
    </row>
    <row r="48" spans="1:20" ht="14.5" x14ac:dyDescent="0.35">
      <c r="A48">
        <f t="shared" si="10"/>
        <v>47</v>
      </c>
      <c r="B48">
        <f t="shared" ca="1" si="0"/>
        <v>46139</v>
      </c>
      <c r="C48">
        <f t="shared" ca="1" si="1"/>
        <v>46157</v>
      </c>
      <c r="D48">
        <f t="shared" ca="1" si="2"/>
        <v>12</v>
      </c>
      <c r="E48">
        <f t="shared" ca="1" si="3"/>
        <v>0.54056357822914725</v>
      </c>
      <c r="F48">
        <f t="shared" ca="1" si="4"/>
        <v>9005.4699999999993</v>
      </c>
      <c r="G48" t="str">
        <f t="shared" ca="1" si="5"/>
        <v>hipotecario</v>
      </c>
      <c r="H4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8" t="str">
        <f t="shared" ca="1" si="6"/>
        <v>Sí</v>
      </c>
      <c r="J4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8">
        <f ca="1">IF(Tabla2[[#This Row],[¿cliente deuda abierta?]]="Sí", Tabla2[[#This Row],[Deuda actual]]*Tabla2[[#This Row],[diferencia de días]], "0")</f>
        <v>108065.63999999998</v>
      </c>
      <c r="L4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4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8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48">
        <f t="shared" ca="1" si="7"/>
        <v>1558.58</v>
      </c>
      <c r="P48">
        <f t="shared" ca="1" si="8"/>
        <v>227952.68</v>
      </c>
      <c r="Q48">
        <f t="shared" ca="1" si="9"/>
        <v>2</v>
      </c>
      <c r="R48">
        <f ca="1">((Tabla2[[#This Row],[Fantasma Comunicación]]+1)/(Tabla2[[#This Row],[Fantasma Comunicación]]+RANDBETWEEN(0,5)+2))-0.5</f>
        <v>-7.1428571428571452E-2</v>
      </c>
      <c r="S48">
        <f ca="1">1+MAX(0,Tabla2[[#This Row],[Deuda actual]]/Tabla2[[#This Row],[Liquidez]]+Tabla2[[#This Row],[Liquidez]]/(Tabla2[[#This Row],[Activos]]+Tabla2[[#This Row],[Liquidez]])+Tabla2[[#This Row],[Comunicación]])</f>
        <v>6.7133589316123956</v>
      </c>
      <c r="T48">
        <f ca="1">Tabla2[[#This Row],[Deuda actual]]*EXP(Tabla2[[#This Row],[Ki]]*Tabla2[[#This Row],[diferencia de días]])*(1+Tabla2[[#This Row],[Hg]])</f>
        <v>10381.175447191856</v>
      </c>
    </row>
    <row r="49" spans="1:20" ht="14.5" x14ac:dyDescent="0.35">
      <c r="A49">
        <f t="shared" si="10"/>
        <v>48</v>
      </c>
      <c r="B49">
        <f t="shared" ca="1" si="0"/>
        <v>46088</v>
      </c>
      <c r="C49">
        <f t="shared" ca="1" si="1"/>
        <v>46157</v>
      </c>
      <c r="D49">
        <f t="shared" ca="1" si="2"/>
        <v>1</v>
      </c>
      <c r="E49">
        <f t="shared" ca="1" si="3"/>
        <v>0.94884848543743705</v>
      </c>
      <c r="F49">
        <f t="shared" ca="1" si="4"/>
        <v>401.81</v>
      </c>
      <c r="G49" t="str">
        <f t="shared" ca="1" si="5"/>
        <v>hipotecario</v>
      </c>
      <c r="H4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9" t="str">
        <f t="shared" ca="1" si="6"/>
        <v>No</v>
      </c>
      <c r="J4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164999.65572784905</v>
      </c>
      <c r="K49" t="str">
        <f ca="1">IF(Tabla2[[#This Row],[¿cliente deuda abierta?]]="Sí", Tabla2[[#This Row],[Deuda actual]]*Tabla2[[#This Row],[diferencia de días]], "0")</f>
        <v>0</v>
      </c>
      <c r="L4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49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49">
        <f t="shared" ca="1" si="7"/>
        <v>1388.97</v>
      </c>
      <c r="P49">
        <f t="shared" ca="1" si="8"/>
        <v>101823.59</v>
      </c>
      <c r="Q49">
        <f t="shared" ca="1" si="9"/>
        <v>5</v>
      </c>
      <c r="R49">
        <f ca="1">((Tabla2[[#This Row],[Fantasma Comunicación]]+1)/(Tabla2[[#This Row],[Fantasma Comunicación]]+RANDBETWEEN(0,5)+2))-0.5</f>
        <v>0.25</v>
      </c>
      <c r="S49">
        <f ca="1">1+MAX(0,Tabla2[[#This Row],[Deuda actual]]/Tabla2[[#This Row],[Liquidez]]+Tabla2[[#This Row],[Liquidez]]/(Tabla2[[#This Row],[Activos]]+Tabla2[[#This Row],[Liquidez]])+Tabla2[[#This Row],[Comunicación]])</f>
        <v>1.5527436794722402</v>
      </c>
      <c r="T49">
        <f ca="1">Tabla2[[#This Row],[Deuda actual]]*EXP(Tabla2[[#This Row],[Ki]]*Tabla2[[#This Row],[diferencia de días]])*(1+Tabla2[[#This Row],[Hg]])</f>
        <v>321.51229602938866</v>
      </c>
    </row>
    <row r="50" spans="1:20" ht="14.5" x14ac:dyDescent="0.35">
      <c r="A50">
        <f t="shared" si="10"/>
        <v>49</v>
      </c>
      <c r="B50">
        <f t="shared" ca="1" si="0"/>
        <v>46126</v>
      </c>
      <c r="C50">
        <f t="shared" ca="1" si="1"/>
        <v>46157</v>
      </c>
      <c r="D50">
        <f t="shared" ca="1" si="2"/>
        <v>11</v>
      </c>
      <c r="E50">
        <f t="shared" ca="1" si="3"/>
        <v>0.23219677461177501</v>
      </c>
      <c r="F50">
        <f t="shared" ca="1" si="4"/>
        <v>3737.2</v>
      </c>
      <c r="G50" t="str">
        <f t="shared" ca="1" si="5"/>
        <v>hipotecario</v>
      </c>
      <c r="H5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0" t="str">
        <f t="shared" ca="1" si="6"/>
        <v>Sí</v>
      </c>
      <c r="J5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0">
        <f ca="1">IF(Tabla2[[#This Row],[¿cliente deuda abierta?]]="Sí", Tabla2[[#This Row],[Deuda actual]]*Tabla2[[#This Row],[diferencia de días]], "0")</f>
        <v>41109.199999999997</v>
      </c>
      <c r="L5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5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0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50">
        <f t="shared" ca="1" si="7"/>
        <v>1790.06</v>
      </c>
      <c r="P50">
        <f t="shared" ca="1" si="8"/>
        <v>143521.18</v>
      </c>
      <c r="Q50">
        <f t="shared" ca="1" si="9"/>
        <v>5</v>
      </c>
      <c r="R50">
        <f ca="1">((Tabla2[[#This Row],[Fantasma Comunicación]]+1)/(Tabla2[[#This Row],[Fantasma Comunicación]]+RANDBETWEEN(0,5)+2))-0.5</f>
        <v>0.16666666666666663</v>
      </c>
      <c r="S50">
        <f ca="1">1+MAX(0,Tabla2[[#This Row],[Deuda actual]]/Tabla2[[#This Row],[Liquidez]]+Tabla2[[#This Row],[Liquidez]]/(Tabla2[[#This Row],[Activos]]+Tabla2[[#This Row],[Liquidez]])+Tabla2[[#This Row],[Comunicación]])</f>
        <v>3.2667367145171968</v>
      </c>
      <c r="T50">
        <f ca="1">Tabla2[[#This Row],[Deuda actual]]*EXP(Tabla2[[#This Row],[Ki]]*Tabla2[[#This Row],[diferencia de días]])*(1+Tabla2[[#This Row],[Hg]])</f>
        <v>4119.9739797259272</v>
      </c>
    </row>
    <row r="51" spans="1:20" ht="14.5" x14ac:dyDescent="0.35">
      <c r="A51">
        <f t="shared" si="10"/>
        <v>50</v>
      </c>
      <c r="B51">
        <f t="shared" ca="1" si="0"/>
        <v>46129</v>
      </c>
      <c r="C51">
        <f t="shared" ca="1" si="1"/>
        <v>46157</v>
      </c>
      <c r="D51">
        <f t="shared" ca="1" si="2"/>
        <v>12</v>
      </c>
      <c r="E51">
        <f t="shared" ca="1" si="3"/>
        <v>2.7865527426783943E-2</v>
      </c>
      <c r="F51">
        <f t="shared" ca="1" si="4"/>
        <v>1114.42</v>
      </c>
      <c r="G51" t="str">
        <f t="shared" ca="1" si="5"/>
        <v>hipotecario</v>
      </c>
      <c r="H5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1" t="str">
        <f t="shared" ca="1" si="6"/>
        <v>No</v>
      </c>
      <c r="J5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164999.61651996258</v>
      </c>
      <c r="K51" t="str">
        <f ca="1">IF(Tabla2[[#This Row],[¿cliente deuda abierta?]]="Sí", Tabla2[[#This Row],[Deuda actual]]*Tabla2[[#This Row],[diferencia de días]], "0")</f>
        <v>0</v>
      </c>
      <c r="L5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1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1">
        <f t="shared" ca="1" si="7"/>
        <v>2154.9499999999998</v>
      </c>
      <c r="P51">
        <f t="shared" ca="1" si="8"/>
        <v>331207.43</v>
      </c>
      <c r="Q51">
        <f t="shared" ca="1" si="9"/>
        <v>1</v>
      </c>
      <c r="R51">
        <f ca="1">((Tabla2[[#This Row],[Fantasma Comunicación]]+1)/(Tabla2[[#This Row],[Fantasma Comunicación]]+RANDBETWEEN(0,5)+2))-0.5</f>
        <v>0.16666666666666663</v>
      </c>
      <c r="S51">
        <f ca="1">1+MAX(0,Tabla2[[#This Row],[Deuda actual]]/Tabla2[[#This Row],[Liquidez]]+Tabla2[[#This Row],[Liquidez]]/(Tabla2[[#This Row],[Activos]]+Tabla2[[#This Row],[Liquidez]])+Tabla2[[#This Row],[Comunicación]])</f>
        <v>1.6902752026552499</v>
      </c>
      <c r="T51">
        <f ca="1">Tabla2[[#This Row],[Deuda actual]]*EXP(Tabla2[[#This Row],[Ki]]*Tabla2[[#This Row],[diferencia de días]])*(1+Tabla2[[#This Row],[Hg]])</f>
        <v>893.67825607901204</v>
      </c>
    </row>
    <row r="52" spans="1:20" ht="14.5" x14ac:dyDescent="0.35">
      <c r="A52">
        <f t="shared" si="10"/>
        <v>51</v>
      </c>
      <c r="B52">
        <f t="shared" ca="1" si="0"/>
        <v>46088</v>
      </c>
      <c r="C52">
        <f t="shared" ca="1" si="1"/>
        <v>46157</v>
      </c>
      <c r="D52">
        <f t="shared" ca="1" si="2"/>
        <v>2</v>
      </c>
      <c r="E52">
        <f t="shared" ca="1" si="3"/>
        <v>0.69472236361493178</v>
      </c>
      <c r="F52">
        <f t="shared" ca="1" si="4"/>
        <v>3254.18</v>
      </c>
      <c r="G52" t="str">
        <f t="shared" ca="1" si="5"/>
        <v>personal</v>
      </c>
      <c r="H5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2" t="str">
        <f t="shared" ca="1" si="6"/>
        <v>No</v>
      </c>
      <c r="J5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11999.816129648822</v>
      </c>
      <c r="K52" t="str">
        <f ca="1">IF(Tabla2[[#This Row],[¿cliente deuda abierta?]]="Sí", Tabla2[[#This Row],[Deuda actual]]*Tabla2[[#This Row],[diferencia de días]], "0")</f>
        <v>0</v>
      </c>
      <c r="L5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52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52">
        <f t="shared" ca="1" si="7"/>
        <v>1620.54</v>
      </c>
      <c r="P52">
        <f t="shared" ca="1" si="8"/>
        <v>313213.33</v>
      </c>
      <c r="Q52">
        <f t="shared" ca="1" si="9"/>
        <v>1</v>
      </c>
      <c r="R52">
        <f ca="1">((Tabla2[[#This Row],[Fantasma Comunicación]]+1)/(Tabla2[[#This Row],[Fantasma Comunicación]]+RANDBETWEEN(0,5)+2))-0.5</f>
        <v>-0.2142857142857143</v>
      </c>
      <c r="S52">
        <f ca="1">1+MAX(0,Tabla2[[#This Row],[Deuda actual]]/Tabla2[[#This Row],[Liquidez]]+Tabla2[[#This Row],[Liquidez]]/(Tabla2[[#This Row],[Activos]]+Tabla2[[#This Row],[Liquidez]])+Tabla2[[#This Row],[Comunicación]])</f>
        <v>2.7989452969832276</v>
      </c>
      <c r="T52">
        <f ca="1">Tabla2[[#This Row],[Deuda actual]]*EXP(Tabla2[[#This Row],[Ki]]*Tabla2[[#This Row],[diferencia de días]])*(1+Tabla2[[#This Row],[Hg]])</f>
        <v>2929.9337391322033</v>
      </c>
    </row>
    <row r="53" spans="1:20" ht="14.5" x14ac:dyDescent="0.35">
      <c r="A53">
        <f t="shared" si="10"/>
        <v>52</v>
      </c>
      <c r="B53">
        <f t="shared" ca="1" si="0"/>
        <v>46098</v>
      </c>
      <c r="C53">
        <f t="shared" ca="1" si="1"/>
        <v>46157</v>
      </c>
      <c r="D53">
        <f t="shared" ca="1" si="2"/>
        <v>16</v>
      </c>
      <c r="E53">
        <f t="shared" ca="1" si="3"/>
        <v>0.88688054213863809</v>
      </c>
      <c r="F53">
        <f t="shared" ca="1" si="4"/>
        <v>413.67</v>
      </c>
      <c r="G53" t="str">
        <f t="shared" ca="1" si="5"/>
        <v>personal</v>
      </c>
      <c r="H5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3" t="str">
        <f t="shared" ca="1" si="6"/>
        <v>Sí</v>
      </c>
      <c r="J5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3">
        <f ca="1">IF(Tabla2[[#This Row],[¿cliente deuda abierta?]]="Sí", Tabla2[[#This Row],[Deuda actual]]*Tabla2[[#This Row],[diferencia de días]], "0")</f>
        <v>6618.72</v>
      </c>
      <c r="L5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3">
        <f t="shared" ca="1" si="7"/>
        <v>1441.45</v>
      </c>
      <c r="P53">
        <f t="shared" ca="1" si="8"/>
        <v>68235.490000000005</v>
      </c>
      <c r="Q53">
        <f t="shared" ca="1" si="9"/>
        <v>1</v>
      </c>
      <c r="R53">
        <f ca="1">((Tabla2[[#This Row],[Fantasma Comunicación]]+1)/(Tabla2[[#This Row],[Fantasma Comunicación]]+RANDBETWEEN(0,5)+2))-0.5</f>
        <v>-0.16666666666666669</v>
      </c>
      <c r="S53">
        <f ca="1">1+MAX(0,Tabla2[[#This Row],[Deuda actual]]/Tabla2[[#This Row],[Liquidez]]+Tabla2[[#This Row],[Liquidez]]/(Tabla2[[#This Row],[Activos]]+Tabla2[[#This Row],[Liquidez]])+Tabla2[[#This Row],[Comunicación]])</f>
        <v>1.1410028110535579</v>
      </c>
      <c r="T53">
        <f ca="1">Tabla2[[#This Row],[Deuda actual]]*EXP(Tabla2[[#This Row],[Ki]]*Tabla2[[#This Row],[diferencia de días]])*(1+Tabla2[[#This Row],[Hg]])</f>
        <v>437.14227696727642</v>
      </c>
    </row>
    <row r="54" spans="1:20" ht="14.5" x14ac:dyDescent="0.35">
      <c r="A54">
        <f t="shared" si="10"/>
        <v>53</v>
      </c>
      <c r="B54">
        <f t="shared" ca="1" si="0"/>
        <v>46083</v>
      </c>
      <c r="C54">
        <f t="shared" ca="1" si="1"/>
        <v>46157</v>
      </c>
      <c r="D54">
        <f t="shared" ca="1" si="2"/>
        <v>1</v>
      </c>
      <c r="E54">
        <f t="shared" ca="1" si="3"/>
        <v>0.71931771667806943</v>
      </c>
      <c r="F54">
        <f t="shared" ca="1" si="4"/>
        <v>759.77</v>
      </c>
      <c r="G54" t="str">
        <f t="shared" ca="1" si="5"/>
        <v>hipotecario</v>
      </c>
      <c r="H5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4" t="str">
        <f t="shared" ca="1" si="6"/>
        <v>Sí</v>
      </c>
      <c r="J5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4">
        <f ca="1">IF(Tabla2[[#This Row],[¿cliente deuda abierta?]]="Sí", Tabla2[[#This Row],[Deuda actual]]*Tabla2[[#This Row],[diferencia de días]], "0")</f>
        <v>759.77</v>
      </c>
      <c r="L5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4">
        <f t="shared" ca="1" si="7"/>
        <v>1262.32</v>
      </c>
      <c r="P54">
        <f t="shared" ca="1" si="8"/>
        <v>171210.85</v>
      </c>
      <c r="Q54">
        <f t="shared" ca="1" si="9"/>
        <v>3</v>
      </c>
      <c r="R54">
        <f ca="1">((Tabla2[[#This Row],[Fantasma Comunicación]]+1)/(Tabla2[[#This Row],[Fantasma Comunicación]]+RANDBETWEEN(0,5)+2))-0.5</f>
        <v>7.1428571428571397E-2</v>
      </c>
      <c r="S54">
        <f ca="1">1+MAX(0,Tabla2[[#This Row],[Deuda actual]]/Tabla2[[#This Row],[Liquidez]]+Tabla2[[#This Row],[Liquidez]]/(Tabla2[[#This Row],[Activos]]+Tabla2[[#This Row],[Liquidez]])+Tabla2[[#This Row],[Comunicación]])</f>
        <v>1.6806313398321824</v>
      </c>
      <c r="T54">
        <f ca="1">Tabla2[[#This Row],[Deuda actual]]*EXP(Tabla2[[#This Row],[Ki]]*Tabla2[[#This Row],[diferencia de días]])*(1+Tabla2[[#This Row],[Hg]])</f>
        <v>797.9180676562338</v>
      </c>
    </row>
    <row r="55" spans="1:20" ht="14.5" x14ac:dyDescent="0.35">
      <c r="A55">
        <f t="shared" si="10"/>
        <v>54</v>
      </c>
      <c r="B55">
        <f t="shared" ca="1" si="0"/>
        <v>46106</v>
      </c>
      <c r="C55">
        <f t="shared" ca="1" si="1"/>
        <v>46157</v>
      </c>
      <c r="D55">
        <f t="shared" ca="1" si="2"/>
        <v>5</v>
      </c>
      <c r="E55">
        <f t="shared" ca="1" si="3"/>
        <v>0.42374683543693115</v>
      </c>
      <c r="F55">
        <f t="shared" ca="1" si="4"/>
        <v>420.49</v>
      </c>
      <c r="G55" t="str">
        <f t="shared" ca="1" si="5"/>
        <v>personal</v>
      </c>
      <c r="H5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5" t="str">
        <f t="shared" ca="1" si="6"/>
        <v>No</v>
      </c>
      <c r="J5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12001.428967787653</v>
      </c>
      <c r="K55" t="str">
        <f ca="1">IF(Tabla2[[#This Row],[¿cliente deuda abierta?]]="Sí", Tabla2[[#This Row],[Deuda actual]]*Tabla2[[#This Row],[diferencia de días]], "0")</f>
        <v>0</v>
      </c>
      <c r="L5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5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55">
        <f t="shared" ca="1" si="7"/>
        <v>1280.6400000000001</v>
      </c>
      <c r="P55">
        <f t="shared" ca="1" si="8"/>
        <v>84078.55</v>
      </c>
      <c r="Q55">
        <f t="shared" ca="1" si="9"/>
        <v>5</v>
      </c>
      <c r="R55">
        <f ca="1">((Tabla2[[#This Row],[Fantasma Comunicación]]+1)/(Tabla2[[#This Row],[Fantasma Comunicación]]+RANDBETWEEN(0,5)+2))-0.5</f>
        <v>0</v>
      </c>
      <c r="S55">
        <f ca="1">1+MAX(0,Tabla2[[#This Row],[Deuda actual]]/Tabla2[[#This Row],[Liquidez]]+Tabla2[[#This Row],[Liquidez]]/(Tabla2[[#This Row],[Activos]]+Tabla2[[#This Row],[Liquidez]])+Tabla2[[#This Row],[Comunicación]])</f>
        <v>1.3433465946673913</v>
      </c>
      <c r="T55">
        <f ca="1">Tabla2[[#This Row],[Deuda actual]]*EXP(Tabla2[[#This Row],[Ki]]*Tabla2[[#This Row],[diferencia de días]])*(1+Tabla2[[#This Row],[Hg]])</f>
        <v>378.81963028358933</v>
      </c>
    </row>
    <row r="56" spans="1:20" ht="14.5" x14ac:dyDescent="0.35">
      <c r="A56">
        <f t="shared" si="10"/>
        <v>55</v>
      </c>
      <c r="B56">
        <f t="shared" ca="1" si="0"/>
        <v>46109</v>
      </c>
      <c r="C56">
        <f t="shared" ca="1" si="1"/>
        <v>46157</v>
      </c>
      <c r="D56">
        <f t="shared" ca="1" si="2"/>
        <v>23</v>
      </c>
      <c r="E56">
        <f t="shared" ca="1" si="3"/>
        <v>0.80877534581077049</v>
      </c>
      <c r="F56">
        <f t="shared" ca="1" si="4"/>
        <v>125.29</v>
      </c>
      <c r="G56" t="str">
        <f t="shared" ca="1" si="5"/>
        <v>personal</v>
      </c>
      <c r="H5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6" t="str">
        <f t="shared" ca="1" si="6"/>
        <v>No</v>
      </c>
      <c r="J5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12000.697277769947</v>
      </c>
      <c r="K56" t="str">
        <f ca="1">IF(Tabla2[[#This Row],[¿cliente deuda abierta?]]="Sí", Tabla2[[#This Row],[Deuda actual]]*Tabla2[[#This Row],[diferencia de días]], "0")</f>
        <v>0</v>
      </c>
      <c r="L5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56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56">
        <f t="shared" ca="1" si="7"/>
        <v>1804.24</v>
      </c>
      <c r="P56">
        <f t="shared" ca="1" si="8"/>
        <v>17411.02</v>
      </c>
      <c r="Q56">
        <f t="shared" ca="1" si="9"/>
        <v>5</v>
      </c>
      <c r="R56">
        <f ca="1">((Tabla2[[#This Row],[Fantasma Comunicación]]+1)/(Tabla2[[#This Row],[Fantasma Comunicación]]+RANDBETWEEN(0,5)+2))-0.5</f>
        <v>0.3571428571428571</v>
      </c>
      <c r="S56">
        <f ca="1">1+MAX(0,Tabla2[[#This Row],[Deuda actual]]/Tabla2[[#This Row],[Liquidez]]+Tabla2[[#This Row],[Liquidez]]/(Tabla2[[#This Row],[Activos]]+Tabla2[[#This Row],[Liquidez]])+Tabla2[[#This Row],[Comunicación]])</f>
        <v>1.5204810436657579</v>
      </c>
      <c r="T56">
        <f ca="1">Tabla2[[#This Row],[Deuda actual]]*EXP(Tabla2[[#This Row],[Ki]]*Tabla2[[#This Row],[diferencia de días]])*(1+Tabla2[[#This Row],[Hg]])</f>
        <v>113.8031879135138</v>
      </c>
    </row>
    <row r="57" spans="1:20" ht="14.5" x14ac:dyDescent="0.35">
      <c r="A57">
        <f t="shared" si="10"/>
        <v>56</v>
      </c>
      <c r="B57">
        <f t="shared" ca="1" si="0"/>
        <v>46129</v>
      </c>
      <c r="C57">
        <f t="shared" ca="1" si="1"/>
        <v>46157</v>
      </c>
      <c r="D57">
        <f t="shared" ca="1" si="2"/>
        <v>4</v>
      </c>
      <c r="E57">
        <f t="shared" ca="1" si="3"/>
        <v>0.90474812800560578</v>
      </c>
      <c r="F57">
        <f t="shared" ca="1" si="4"/>
        <v>785.05</v>
      </c>
      <c r="G57" t="str">
        <f t="shared" ca="1" si="5"/>
        <v>personal</v>
      </c>
      <c r="H5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7" t="str">
        <f t="shared" ca="1" si="6"/>
        <v>No</v>
      </c>
      <c r="J5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11999.382585180296</v>
      </c>
      <c r="K57" t="str">
        <f ca="1">IF(Tabla2[[#This Row],[¿cliente deuda abierta?]]="Sí", Tabla2[[#This Row],[Deuda actual]]*Tabla2[[#This Row],[diferencia de días]], "0")</f>
        <v>0</v>
      </c>
      <c r="L5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57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57">
        <f t="shared" ca="1" si="7"/>
        <v>1427.53</v>
      </c>
      <c r="P57">
        <f t="shared" ca="1" si="8"/>
        <v>201278.23</v>
      </c>
      <c r="Q57">
        <f t="shared" ca="1" si="9"/>
        <v>4</v>
      </c>
      <c r="R57">
        <f ca="1">((Tabla2[[#This Row],[Fantasma Comunicación]]+1)/(Tabla2[[#This Row],[Fantasma Comunicación]]+RANDBETWEEN(0,5)+2))-0.5</f>
        <v>0.125</v>
      </c>
      <c r="S57">
        <f ca="1">1+MAX(0,Tabla2[[#This Row],[Deuda actual]]/Tabla2[[#This Row],[Liquidez]]+Tabla2[[#This Row],[Liquidez]]/(Tabla2[[#This Row],[Activos]]+Tabla2[[#This Row],[Liquidez]])+Tabla2[[#This Row],[Comunicación]])</f>
        <v>1.6819782783890234</v>
      </c>
      <c r="T57">
        <f ca="1">Tabla2[[#This Row],[Deuda actual]]*EXP(Tabla2[[#This Row],[Ki]]*Tabla2[[#This Row],[diferencia de días]])*(1+Tabla2[[#This Row],[Hg]])</f>
        <v>707.11046215470378</v>
      </c>
    </row>
    <row r="58" spans="1:20" ht="14.5" x14ac:dyDescent="0.35">
      <c r="A58">
        <f t="shared" si="10"/>
        <v>57</v>
      </c>
      <c r="B58">
        <f t="shared" ca="1" si="0"/>
        <v>46109</v>
      </c>
      <c r="C58">
        <f t="shared" ca="1" si="1"/>
        <v>46157</v>
      </c>
      <c r="D58">
        <f t="shared" ca="1" si="2"/>
        <v>3</v>
      </c>
      <c r="E58">
        <f t="shared" ca="1" si="3"/>
        <v>0.49061034261115577</v>
      </c>
      <c r="F58">
        <f t="shared" ca="1" si="4"/>
        <v>10000</v>
      </c>
      <c r="G58" t="str">
        <f t="shared" ca="1" si="5"/>
        <v>personal</v>
      </c>
      <c r="H5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8" t="str">
        <f t="shared" ca="1" si="6"/>
        <v>Sí</v>
      </c>
      <c r="J5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8">
        <f ca="1">IF(Tabla2[[#This Row],[¿cliente deuda abierta?]]="Sí", Tabla2[[#This Row],[Deuda actual]]*Tabla2[[#This Row],[diferencia de días]], "0")</f>
        <v>30000</v>
      </c>
      <c r="L5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5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8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58">
        <f t="shared" ca="1" si="7"/>
        <v>1515.23</v>
      </c>
      <c r="P58">
        <f t="shared" ca="1" si="8"/>
        <v>247296.6</v>
      </c>
      <c r="Q58">
        <f t="shared" ca="1" si="9"/>
        <v>4</v>
      </c>
      <c r="R58">
        <f ca="1">((Tabla2[[#This Row],[Fantasma Comunicación]]+1)/(Tabla2[[#This Row],[Fantasma Comunicación]]+RANDBETWEEN(0,5)+2))-0.5</f>
        <v>0.33333333333333337</v>
      </c>
      <c r="S58">
        <f ca="1">1+MAX(0,Tabla2[[#This Row],[Deuda actual]]/Tabla2[[#This Row],[Liquidez]]+Tabla2[[#This Row],[Liquidez]]/(Tabla2[[#This Row],[Activos]]+Tabla2[[#This Row],[Liquidez]])+Tabla2[[#This Row],[Comunicación]])</f>
        <v>7.9390813342126947</v>
      </c>
      <c r="T58">
        <f ca="1">Tabla2[[#This Row],[Deuda actual]]*EXP(Tabla2[[#This Row],[Ki]]*Tabla2[[#This Row],[diferencia de días]])*(1+Tabla2[[#This Row],[Hg]])</f>
        <v>11006.601980396061</v>
      </c>
    </row>
    <row r="59" spans="1:20" ht="14.5" x14ac:dyDescent="0.35">
      <c r="A59">
        <f t="shared" si="10"/>
        <v>58</v>
      </c>
      <c r="B59">
        <f t="shared" ca="1" si="0"/>
        <v>46104</v>
      </c>
      <c r="C59">
        <f t="shared" ca="1" si="1"/>
        <v>46157</v>
      </c>
      <c r="D59">
        <f t="shared" ca="1" si="2"/>
        <v>11</v>
      </c>
      <c r="E59">
        <f t="shared" ca="1" si="3"/>
        <v>0.16220864525336398</v>
      </c>
      <c r="F59">
        <f t="shared" ca="1" si="4"/>
        <v>1597.36</v>
      </c>
      <c r="G59" t="str">
        <f t="shared" ca="1" si="5"/>
        <v>personal</v>
      </c>
      <c r="H5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9" t="str">
        <f t="shared" ca="1" si="6"/>
        <v>No</v>
      </c>
      <c r="J5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12000.50164971817</v>
      </c>
      <c r="K59" t="str">
        <f ca="1">IF(Tabla2[[#This Row],[¿cliente deuda abierta?]]="Sí", Tabla2[[#This Row],[Deuda actual]]*Tabla2[[#This Row],[diferencia de días]], "0")</f>
        <v>0</v>
      </c>
      <c r="L5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59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59">
        <f t="shared" ca="1" si="7"/>
        <v>1229.77</v>
      </c>
      <c r="P59">
        <f t="shared" ca="1" si="8"/>
        <v>95725.55</v>
      </c>
      <c r="Q59">
        <f t="shared" ca="1" si="9"/>
        <v>3</v>
      </c>
      <c r="R59">
        <f ca="1">((Tabla2[[#This Row],[Fantasma Comunicación]]+1)/(Tabla2[[#This Row],[Fantasma Comunicación]]+RANDBETWEEN(0,5)+2))-0.5</f>
        <v>0.30000000000000004</v>
      </c>
      <c r="S59">
        <f ca="1">1+MAX(0,Tabla2[[#This Row],[Deuda actual]]/Tabla2[[#This Row],[Liquidez]]+Tabla2[[#This Row],[Liquidez]]/(Tabla2[[#This Row],[Activos]]+Tabla2[[#This Row],[Liquidez]])+Tabla2[[#This Row],[Comunicación]])</f>
        <v>2.6115934358619892</v>
      </c>
      <c r="T59">
        <f ca="1">Tabla2[[#This Row],[Deuda actual]]*EXP(Tabla2[[#This Row],[Ki]]*Tabla2[[#This Row],[diferencia de días]])*(1+Tabla2[[#This Row],[Hg]])</f>
        <v>1440.790254402787</v>
      </c>
    </row>
    <row r="60" spans="1:20" ht="14.5" x14ac:dyDescent="0.35">
      <c r="A60">
        <f t="shared" si="10"/>
        <v>59</v>
      </c>
      <c r="B60">
        <f t="shared" ca="1" si="0"/>
        <v>46131</v>
      </c>
      <c r="C60">
        <f t="shared" ca="1" si="1"/>
        <v>46157</v>
      </c>
      <c r="D60">
        <f t="shared" ca="1" si="2"/>
        <v>3</v>
      </c>
      <c r="E60">
        <f t="shared" ca="1" si="3"/>
        <v>0.22891536366860332</v>
      </c>
      <c r="F60">
        <f t="shared" ca="1" si="4"/>
        <v>10000</v>
      </c>
      <c r="G60" t="str">
        <f t="shared" ca="1" si="5"/>
        <v>personal</v>
      </c>
      <c r="H6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0" t="str">
        <f t="shared" ca="1" si="6"/>
        <v>Sí</v>
      </c>
      <c r="J6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0">
        <f ca="1">IF(Tabla2[[#This Row],[¿cliente deuda abierta?]]="Sí", Tabla2[[#This Row],[Deuda actual]]*Tabla2[[#This Row],[diferencia de días]], "0")</f>
        <v>30000</v>
      </c>
      <c r="L6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6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0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60">
        <f t="shared" ca="1" si="7"/>
        <v>1923.86</v>
      </c>
      <c r="P60">
        <f t="shared" ca="1" si="8"/>
        <v>46869.17</v>
      </c>
      <c r="Q60">
        <f t="shared" ca="1" si="9"/>
        <v>4</v>
      </c>
      <c r="R60">
        <f ca="1">((Tabla2[[#This Row],[Fantasma Comunicación]]+1)/(Tabla2[[#This Row],[Fantasma Comunicación]]+RANDBETWEEN(0,5)+2))-0.5</f>
        <v>0.125</v>
      </c>
      <c r="S60">
        <f ca="1">1+MAX(0,Tabla2[[#This Row],[Deuda actual]]/Tabla2[[#This Row],[Liquidez]]+Tabla2[[#This Row],[Liquidez]]/(Tabla2[[#This Row],[Activos]]+Tabla2[[#This Row],[Liquidez]])+Tabla2[[#This Row],[Comunicación]])</f>
        <v>6.3623124140852818</v>
      </c>
      <c r="T60">
        <f ca="1">Tabla2[[#This Row],[Deuda actual]]*EXP(Tabla2[[#This Row],[Ki]]*Tabla2[[#This Row],[diferencia de días]])*(1+Tabla2[[#This Row],[Hg]])</f>
        <v>11006.601980396061</v>
      </c>
    </row>
    <row r="61" spans="1:20" ht="14.5" x14ac:dyDescent="0.35">
      <c r="A61">
        <f t="shared" si="10"/>
        <v>60</v>
      </c>
      <c r="B61">
        <f t="shared" ca="1" si="0"/>
        <v>46120</v>
      </c>
      <c r="C61">
        <f t="shared" ca="1" si="1"/>
        <v>46157</v>
      </c>
      <c r="D61">
        <f t="shared" ca="1" si="2"/>
        <v>23</v>
      </c>
      <c r="E61">
        <f t="shared" ca="1" si="3"/>
        <v>0.88996983426515242</v>
      </c>
      <c r="F61">
        <f t="shared" ca="1" si="4"/>
        <v>1533.14</v>
      </c>
      <c r="G61" t="str">
        <f t="shared" ca="1" si="5"/>
        <v>hipotecario</v>
      </c>
      <c r="H6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1" t="str">
        <f t="shared" ca="1" si="6"/>
        <v>Sí</v>
      </c>
      <c r="J6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1">
        <f ca="1">IF(Tabla2[[#This Row],[¿cliente deuda abierta?]]="Sí", Tabla2[[#This Row],[Deuda actual]]*Tabla2[[#This Row],[diferencia de días]], "0")</f>
        <v>35262.22</v>
      </c>
      <c r="L6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6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1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61">
        <f t="shared" ca="1" si="7"/>
        <v>1656.95</v>
      </c>
      <c r="P61">
        <f t="shared" ca="1" si="8"/>
        <v>326685.06</v>
      </c>
      <c r="Q61">
        <f t="shared" ca="1" si="9"/>
        <v>0</v>
      </c>
      <c r="R61">
        <f ca="1">((Tabla2[[#This Row],[Fantasma Comunicación]]+1)/(Tabla2[[#This Row],[Fantasma Comunicación]]+RANDBETWEEN(0,5)+2))-0.5</f>
        <v>-0.33333333333333337</v>
      </c>
      <c r="S61">
        <f ca="1">1+MAX(0,Tabla2[[#This Row],[Deuda actual]]/Tabla2[[#This Row],[Liquidez]]+Tabla2[[#This Row],[Liquidez]]/(Tabla2[[#This Row],[Activos]]+Tabla2[[#This Row],[Liquidez]])+Tabla2[[#This Row],[Comunicación]])</f>
        <v>1.5969914544455488</v>
      </c>
      <c r="T61">
        <f ca="1">Tabla2[[#This Row],[Deuda actual]]*EXP(Tabla2[[#This Row],[Ki]]*Tabla2[[#This Row],[diferencia de días]])*(1+Tabla2[[#This Row],[Hg]])</f>
        <v>1702.0409669078583</v>
      </c>
    </row>
    <row r="62" spans="1:20" ht="14.5" x14ac:dyDescent="0.35">
      <c r="A62">
        <f t="shared" si="10"/>
        <v>61</v>
      </c>
      <c r="B62">
        <f t="shared" ca="1" si="0"/>
        <v>46130</v>
      </c>
      <c r="C62">
        <f t="shared" ca="1" si="1"/>
        <v>46157</v>
      </c>
      <c r="D62">
        <f t="shared" ca="1" si="2"/>
        <v>13</v>
      </c>
      <c r="E62">
        <f t="shared" ca="1" si="3"/>
        <v>0.63354122828044268</v>
      </c>
      <c r="F62">
        <f t="shared" ca="1" si="4"/>
        <v>832.94</v>
      </c>
      <c r="G62" t="str">
        <f t="shared" ca="1" si="5"/>
        <v>hipotecario</v>
      </c>
      <c r="H6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2" t="str">
        <f t="shared" ca="1" si="6"/>
        <v>No</v>
      </c>
      <c r="J6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164999.95171531331</v>
      </c>
      <c r="K62" t="str">
        <f ca="1">IF(Tabla2[[#This Row],[¿cliente deuda abierta?]]="Sí", Tabla2[[#This Row],[Deuda actual]]*Tabla2[[#This Row],[diferencia de días]], "0")</f>
        <v>0</v>
      </c>
      <c r="L6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2">
        <f t="shared" ca="1" si="7"/>
        <v>1381.01</v>
      </c>
      <c r="P62">
        <f t="shared" ca="1" si="8"/>
        <v>247905.28</v>
      </c>
      <c r="Q62">
        <f t="shared" ca="1" si="9"/>
        <v>3</v>
      </c>
      <c r="R62">
        <f ca="1">((Tabla2[[#This Row],[Fantasma Comunicación]]+1)/(Tabla2[[#This Row],[Fantasma Comunicación]]+RANDBETWEEN(0,5)+2))-0.5</f>
        <v>0</v>
      </c>
      <c r="S62">
        <f ca="1">1+MAX(0,Tabla2[[#This Row],[Deuda actual]]/Tabla2[[#This Row],[Liquidez]]+Tabla2[[#This Row],[Liquidez]]/(Tabla2[[#This Row],[Activos]]+Tabla2[[#This Row],[Liquidez]])+Tabla2[[#This Row],[Comunicación]])</f>
        <v>1.6086781382517494</v>
      </c>
      <c r="T62">
        <f ca="1">Tabla2[[#This Row],[Deuda actual]]*EXP(Tabla2[[#This Row],[Ki]]*Tabla2[[#This Row],[diferencia de días]])*(1+Tabla2[[#This Row],[Hg]])</f>
        <v>668.08676942299667</v>
      </c>
    </row>
    <row r="63" spans="1:20" ht="14.5" x14ac:dyDescent="0.35">
      <c r="A63">
        <f t="shared" si="10"/>
        <v>62</v>
      </c>
      <c r="B63">
        <f t="shared" ca="1" si="0"/>
        <v>46140</v>
      </c>
      <c r="C63">
        <f t="shared" ca="1" si="1"/>
        <v>46157</v>
      </c>
      <c r="D63">
        <f t="shared" ca="1" si="2"/>
        <v>10</v>
      </c>
      <c r="E63">
        <f t="shared" ca="1" si="3"/>
        <v>0.26012959193728213</v>
      </c>
      <c r="F63">
        <f t="shared" ca="1" si="4"/>
        <v>2284.91</v>
      </c>
      <c r="G63" t="str">
        <f t="shared" ca="1" si="5"/>
        <v>personal</v>
      </c>
      <c r="H6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3" t="str">
        <f t="shared" ca="1" si="6"/>
        <v>Sí</v>
      </c>
      <c r="J6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3">
        <f ca="1">IF(Tabla2[[#This Row],[¿cliente deuda abierta?]]="Sí", Tabla2[[#This Row],[Deuda actual]]*Tabla2[[#This Row],[diferencia de días]], "0")</f>
        <v>22849.1</v>
      </c>
      <c r="L6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3">
        <f t="shared" ca="1" si="7"/>
        <v>1760.49</v>
      </c>
      <c r="P63">
        <f t="shared" ca="1" si="8"/>
        <v>60814.51</v>
      </c>
      <c r="Q63">
        <f t="shared" ca="1" si="9"/>
        <v>2</v>
      </c>
      <c r="R63">
        <f ca="1">((Tabla2[[#This Row],[Fantasma Comunicación]]+1)/(Tabla2[[#This Row],[Fantasma Comunicación]]+RANDBETWEEN(0,5)+2))-0.5</f>
        <v>0</v>
      </c>
      <c r="S63">
        <f ca="1">1+MAX(0,Tabla2[[#This Row],[Deuda actual]]/Tabla2[[#This Row],[Liquidez]]+Tabla2[[#This Row],[Liquidez]]/(Tabla2[[#This Row],[Activos]]+Tabla2[[#This Row],[Liquidez]])+Tabla2[[#This Row],[Comunicación]])</f>
        <v>2.3260170548675037</v>
      </c>
      <c r="T63">
        <f ca="1">Tabla2[[#This Row],[Deuda actual]]*EXP(Tabla2[[#This Row],[Ki]]*Tabla2[[#This Row],[diferencia de días]])*(1+Tabla2[[#This Row],[Hg]])</f>
        <v>2403.9586125114743</v>
      </c>
    </row>
    <row r="64" spans="1:20" ht="14.5" x14ac:dyDescent="0.35">
      <c r="A64">
        <f t="shared" si="10"/>
        <v>63</v>
      </c>
      <c r="B64">
        <f t="shared" ca="1" si="0"/>
        <v>46102</v>
      </c>
      <c r="C64">
        <f t="shared" ca="1" si="1"/>
        <v>46157</v>
      </c>
      <c r="D64">
        <f t="shared" ca="1" si="2"/>
        <v>4</v>
      </c>
      <c r="E64">
        <f t="shared" ca="1" si="3"/>
        <v>0.43097718182034317</v>
      </c>
      <c r="F64">
        <f t="shared" ca="1" si="4"/>
        <v>2517.0700000000002</v>
      </c>
      <c r="G64" t="str">
        <f t="shared" ca="1" si="5"/>
        <v>personal</v>
      </c>
      <c r="H6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4" t="str">
        <f t="shared" ca="1" si="6"/>
        <v>Sí</v>
      </c>
      <c r="J6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4">
        <f ca="1">IF(Tabla2[[#This Row],[¿cliente deuda abierta?]]="Sí", Tabla2[[#This Row],[Deuda actual]]*Tabla2[[#This Row],[diferencia de días]], "0")</f>
        <v>10068.280000000001</v>
      </c>
      <c r="L6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4">
        <f t="shared" ca="1" si="7"/>
        <v>1857</v>
      </c>
      <c r="P64">
        <f t="shared" ca="1" si="8"/>
        <v>108542.18</v>
      </c>
      <c r="Q64">
        <f t="shared" ca="1" si="9"/>
        <v>3</v>
      </c>
      <c r="R64">
        <f ca="1">((Tabla2[[#This Row],[Fantasma Comunicación]]+1)/(Tabla2[[#This Row],[Fantasma Comunicación]]+RANDBETWEEN(0,5)+2))-0.5</f>
        <v>0.30000000000000004</v>
      </c>
      <c r="S64">
        <f ca="1">1+MAX(0,Tabla2[[#This Row],[Deuda actual]]/Tabla2[[#This Row],[Liquidez]]+Tabla2[[#This Row],[Liquidez]]/(Tabla2[[#This Row],[Activos]]+Tabla2[[#This Row],[Liquidez]])+Tabla2[[#This Row],[Comunicación]])</f>
        <v>2.6722704270839195</v>
      </c>
      <c r="T64">
        <f ca="1">Tabla2[[#This Row],[Deuda actual]]*EXP(Tabla2[[#This Row],[Ki]]*Tabla2[[#This Row],[diferencia de días]])*(1+Tabla2[[#This Row],[Hg]])</f>
        <v>2645.0386847610948</v>
      </c>
    </row>
    <row r="65" spans="1:20" ht="14.5" x14ac:dyDescent="0.35">
      <c r="A65">
        <f t="shared" si="10"/>
        <v>64</v>
      </c>
      <c r="B65">
        <f t="shared" ca="1" si="0"/>
        <v>46137</v>
      </c>
      <c r="C65">
        <f t="shared" ca="1" si="1"/>
        <v>46157</v>
      </c>
      <c r="D65">
        <f t="shared" ca="1" si="2"/>
        <v>4</v>
      </c>
      <c r="E65">
        <f t="shared" ca="1" si="3"/>
        <v>0.66970002028825981</v>
      </c>
      <c r="F65">
        <f t="shared" ca="1" si="4"/>
        <v>577.09</v>
      </c>
      <c r="G65" t="str">
        <f t="shared" ca="1" si="5"/>
        <v>hipotecario</v>
      </c>
      <c r="H6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5" t="str">
        <f t="shared" ca="1" si="6"/>
        <v>No</v>
      </c>
      <c r="J6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165000.09124649063</v>
      </c>
      <c r="K65" t="str">
        <f ca="1">IF(Tabla2[[#This Row],[¿cliente deuda abierta?]]="Sí", Tabla2[[#This Row],[Deuda actual]]*Tabla2[[#This Row],[diferencia de días]], "0")</f>
        <v>0</v>
      </c>
      <c r="L6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5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5">
        <f t="shared" ca="1" si="7"/>
        <v>2244.9</v>
      </c>
      <c r="P65">
        <f t="shared" ca="1" si="8"/>
        <v>148853.51</v>
      </c>
      <c r="Q65">
        <f t="shared" ca="1" si="9"/>
        <v>3</v>
      </c>
      <c r="R65">
        <f ca="1">((Tabla2[[#This Row],[Fantasma Comunicación]]+1)/(Tabla2[[#This Row],[Fantasma Comunicación]]+RANDBETWEEN(0,5)+2))-0.5</f>
        <v>0</v>
      </c>
      <c r="S65">
        <f ca="1">1+MAX(0,Tabla2[[#This Row],[Deuda actual]]/Tabla2[[#This Row],[Liquidez]]+Tabla2[[#This Row],[Liquidez]]/(Tabla2[[#This Row],[Activos]]+Tabla2[[#This Row],[Liquidez]])+Tabla2[[#This Row],[Comunicación]])</f>
        <v>1.2719243345912257</v>
      </c>
      <c r="T65">
        <f ca="1">Tabla2[[#This Row],[Deuda actual]]*EXP(Tabla2[[#This Row],[Ki]]*Tabla2[[#This Row],[diferencia de días]])*(1+Tabla2[[#This Row],[Hg]])</f>
        <v>462.04148537444394</v>
      </c>
    </row>
    <row r="66" spans="1:20" ht="14.5" x14ac:dyDescent="0.35">
      <c r="A66">
        <f t="shared" ref="A66:A129" si="11">A65+1</f>
        <v>65</v>
      </c>
      <c r="B66">
        <f t="shared" ref="B66:B129" ca="1" si="12">RANDBETWEEN(DATE(2026,3,1), DATE(2026,5,1))</f>
        <v>46140</v>
      </c>
      <c r="C66">
        <f t="shared" ref="C66:C129" ca="1" si="13">TODAY()</f>
        <v>46157</v>
      </c>
      <c r="D66">
        <f t="shared" ref="D66:D129" ca="1" si="14">ROUND((-(15) * LN(RAND())),0)</f>
        <v>20</v>
      </c>
      <c r="E66">
        <f t="shared" ref="E66:E129" ca="1" si="15">RAND()</f>
        <v>0.10162645264184234</v>
      </c>
      <c r="F66">
        <f t="shared" ref="F66:F129" ca="1" si="16">ROUND(MIN(10000, _xlfn.LOGNORM.INV(RAND(), 69/10, 13/10)),2)</f>
        <v>1154</v>
      </c>
      <c r="G66" t="str">
        <f t="shared" ref="G66:G129" ca="1" si="17">IF(RAND()&lt;=0.5,"personal","hipotecario")</f>
        <v>hipotecario</v>
      </c>
      <c r="H6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6" t="str">
        <f t="shared" ref="I66:I129" ca="1" si="18">IF(RAND()&lt;=0.65, "Sí", "No")</f>
        <v>No</v>
      </c>
      <c r="J6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165000.45202746766</v>
      </c>
      <c r="K66" t="str">
        <f ca="1">IF(Tabla2[[#This Row],[¿cliente deuda abierta?]]="Sí", Tabla2[[#This Row],[Deuda actual]]*Tabla2[[#This Row],[diferencia de días]], "0")</f>
        <v>0</v>
      </c>
      <c r="L6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6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6">
        <f t="shared" ref="O66:O129" ca="1" si="19">ROUND(1000*(_xlfn.LOGNORM.INV(RAND(), 0.5, 0.2)),2)</f>
        <v>1868.34</v>
      </c>
      <c r="P66">
        <f t="shared" ref="P66:P129" ca="1" si="20">ROUND(50000*(_xlfn.LOGNORM.INV(RAND(), 1, 0.75)),2)</f>
        <v>57737.93</v>
      </c>
      <c r="Q66">
        <f t="shared" ref="Q66:Q129" ca="1" si="21">RANDBETWEEN(0,5)</f>
        <v>1</v>
      </c>
      <c r="R66">
        <f ca="1">((Tabla2[[#This Row],[Fantasma Comunicación]]+1)/(Tabla2[[#This Row],[Fantasma Comunicación]]+RANDBETWEEN(0,5)+2))-0.5</f>
        <v>-0.16666666666666669</v>
      </c>
      <c r="S66">
        <f ca="1">1+MAX(0,Tabla2[[#This Row],[Deuda actual]]/Tabla2[[#This Row],[Liquidez]]+Tabla2[[#This Row],[Liquidez]]/(Tabla2[[#This Row],[Activos]]+Tabla2[[#This Row],[Liquidez]])+Tabla2[[#This Row],[Comunicación]])</f>
        <v>1.4823386195147434</v>
      </c>
      <c r="T66">
        <f ca="1">Tabla2[[#This Row],[Deuda actual]]*EXP(Tabla2[[#This Row],[Ki]]*Tabla2[[#This Row],[diferencia de días]])*(1+Tabla2[[#This Row],[Hg]])</f>
        <v>930.61522133754534</v>
      </c>
    </row>
    <row r="67" spans="1:20" ht="14.5" x14ac:dyDescent="0.35">
      <c r="A67">
        <f t="shared" si="11"/>
        <v>66</v>
      </c>
      <c r="B67">
        <f t="shared" ca="1" si="12"/>
        <v>46129</v>
      </c>
      <c r="C67">
        <f t="shared" ca="1" si="13"/>
        <v>46157</v>
      </c>
      <c r="D67">
        <f t="shared" ca="1" si="14"/>
        <v>41</v>
      </c>
      <c r="E67">
        <f t="shared" ca="1" si="15"/>
        <v>0.89111841680551873</v>
      </c>
      <c r="F67">
        <f t="shared" ca="1" si="16"/>
        <v>6546.83</v>
      </c>
      <c r="G67" t="str">
        <f t="shared" ca="1" si="17"/>
        <v>hipotecario</v>
      </c>
      <c r="H6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67" t="str">
        <f t="shared" ca="1" si="18"/>
        <v>No</v>
      </c>
      <c r="J6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164999.49130734897</v>
      </c>
      <c r="K67" t="str">
        <f ca="1">IF(Tabla2[[#This Row],[¿cliente deuda abierta?]]="Sí", Tabla2[[#This Row],[Deuda actual]]*Tabla2[[#This Row],[diferencia de días]], "0")</f>
        <v>0</v>
      </c>
      <c r="L6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7">
        <f t="shared" ca="1" si="19"/>
        <v>1745.17</v>
      </c>
      <c r="P67">
        <f t="shared" ca="1" si="20"/>
        <v>485045.24</v>
      </c>
      <c r="Q67">
        <f t="shared" ca="1" si="21"/>
        <v>5</v>
      </c>
      <c r="R67">
        <f ca="1">((Tabla2[[#This Row],[Fantasma Comunicación]]+1)/(Tabla2[[#This Row],[Fantasma Comunicación]]+RANDBETWEEN(0,5)+2))-0.5</f>
        <v>0.16666666666666663</v>
      </c>
      <c r="S67">
        <f ca="1">1+MAX(0,Tabla2[[#This Row],[Deuda actual]]/Tabla2[[#This Row],[Liquidez]]+Tabla2[[#This Row],[Liquidez]]/(Tabla2[[#This Row],[Activos]]+Tabla2[[#This Row],[Liquidez]])+Tabla2[[#This Row],[Comunicación]])</f>
        <v>4.9216512979772364</v>
      </c>
      <c r="T67">
        <f ca="1">Tabla2[[#This Row],[Deuda actual]]*EXP(Tabla2[[#This Row],[Ki]]*Tabla2[[#This Row],[diferencia de días]])*(1+Tabla2[[#This Row],[Hg]])</f>
        <v>5456.6628961186498</v>
      </c>
    </row>
    <row r="68" spans="1:20" ht="14.5" x14ac:dyDescent="0.35">
      <c r="A68">
        <f t="shared" si="11"/>
        <v>67</v>
      </c>
      <c r="B68">
        <f t="shared" ca="1" si="12"/>
        <v>46134</v>
      </c>
      <c r="C68">
        <f t="shared" ca="1" si="13"/>
        <v>46157</v>
      </c>
      <c r="D68">
        <f t="shared" ca="1" si="14"/>
        <v>3</v>
      </c>
      <c r="E68">
        <f t="shared" ca="1" si="15"/>
        <v>2.8900841849833436E-2</v>
      </c>
      <c r="F68">
        <f t="shared" ca="1" si="16"/>
        <v>194.92</v>
      </c>
      <c r="G68" t="str">
        <f t="shared" ca="1" si="17"/>
        <v>personal</v>
      </c>
      <c r="H6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8" t="str">
        <f t="shared" ca="1" si="18"/>
        <v>Sí</v>
      </c>
      <c r="J6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8">
        <f ca="1">IF(Tabla2[[#This Row],[¿cliente deuda abierta?]]="Sí", Tabla2[[#This Row],[Deuda actual]]*Tabla2[[#This Row],[diferencia de días]], "0")</f>
        <v>584.76</v>
      </c>
      <c r="L6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8">
        <f t="shared" ca="1" si="19"/>
        <v>1785.25</v>
      </c>
      <c r="P68">
        <f t="shared" ca="1" si="20"/>
        <v>350810.02</v>
      </c>
      <c r="Q68">
        <f t="shared" ca="1" si="21"/>
        <v>1</v>
      </c>
      <c r="R68">
        <f ca="1">((Tabla2[[#This Row],[Fantasma Comunicación]]+1)/(Tabla2[[#This Row],[Fantasma Comunicación]]+RANDBETWEEN(0,5)+2))-0.5</f>
        <v>-0.2142857142857143</v>
      </c>
      <c r="S68">
        <f ca="1">1+MAX(0,Tabla2[[#This Row],[Deuda actual]]/Tabla2[[#This Row],[Liquidez]]+Tabla2[[#This Row],[Liquidez]]/(Tabla2[[#This Row],[Activos]]+Tabla2[[#This Row],[Liquidez]])+Tabla2[[#This Row],[Comunicación]])</f>
        <v>1</v>
      </c>
      <c r="T68">
        <f ca="1">Tabla2[[#This Row],[Deuda actual]]*EXP(Tabla2[[#This Row],[Ki]]*Tabla2[[#This Row],[diferencia de días]])*(1+Tabla2[[#This Row],[Hg]])</f>
        <v>204.78883644724905</v>
      </c>
    </row>
    <row r="69" spans="1:20" ht="14.5" x14ac:dyDescent="0.35">
      <c r="A69">
        <f t="shared" si="11"/>
        <v>68</v>
      </c>
      <c r="B69">
        <f t="shared" ca="1" si="12"/>
        <v>46138</v>
      </c>
      <c r="C69">
        <f t="shared" ca="1" si="13"/>
        <v>46157</v>
      </c>
      <c r="D69">
        <f t="shared" ca="1" si="14"/>
        <v>24</v>
      </c>
      <c r="E69">
        <f t="shared" ca="1" si="15"/>
        <v>0.7350542354654972</v>
      </c>
      <c r="F69">
        <f t="shared" ca="1" si="16"/>
        <v>10000</v>
      </c>
      <c r="G69" t="str">
        <f t="shared" ca="1" si="17"/>
        <v>hipotecario</v>
      </c>
      <c r="H6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9" t="str">
        <f t="shared" ca="1" si="18"/>
        <v>Sí</v>
      </c>
      <c r="J6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9">
        <f ca="1">IF(Tabla2[[#This Row],[¿cliente deuda abierta?]]="Sí", Tabla2[[#This Row],[Deuda actual]]*Tabla2[[#This Row],[diferencia de días]], "0")</f>
        <v>240000</v>
      </c>
      <c r="L6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0.2</v>
      </c>
      <c r="M6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9">
        <f ca="1">MAX(Tabla2[[#This Row],[VALORES DE Hg para actuales deudores]:[Valores de HG para deudores cerrados]])*IF(Tabla2[[#This Row],[VALORES DE Hg para actuales deudores]]&gt;Tabla2[[#This Row],[Valores de HG para deudores cerrados]],-1,1)</f>
        <v>0.2</v>
      </c>
      <c r="O69">
        <f t="shared" ca="1" si="19"/>
        <v>1391.24</v>
      </c>
      <c r="P69">
        <f t="shared" ca="1" si="20"/>
        <v>34723.24</v>
      </c>
      <c r="Q69">
        <f t="shared" ca="1" si="21"/>
        <v>1</v>
      </c>
      <c r="R69">
        <f ca="1">((Tabla2[[#This Row],[Fantasma Comunicación]]+1)/(Tabla2[[#This Row],[Fantasma Comunicación]]+RANDBETWEEN(0,5)+2))-0.5</f>
        <v>-0.16666666666666669</v>
      </c>
      <c r="S69">
        <f ca="1">1+MAX(0,Tabla2[[#This Row],[Deuda actual]]/Tabla2[[#This Row],[Liquidez]]+Tabla2[[#This Row],[Liquidez]]/(Tabla2[[#This Row],[Activos]]+Tabla2[[#This Row],[Liquidez]])+Tabla2[[#This Row],[Comunicación]])</f>
        <v>8.0596888228329586</v>
      </c>
      <c r="T69">
        <f ca="1">Tabla2[[#This Row],[Deuda actual]]*EXP(Tabla2[[#This Row],[Ki]]*Tabla2[[#This Row],[diferencia de días]])*(1+Tabla2[[#This Row],[Hg]])</f>
        <v>12115.754733726899</v>
      </c>
    </row>
    <row r="70" spans="1:20" ht="14.5" x14ac:dyDescent="0.35">
      <c r="A70">
        <f t="shared" si="11"/>
        <v>69</v>
      </c>
      <c r="B70">
        <f t="shared" ca="1" si="12"/>
        <v>46118</v>
      </c>
      <c r="C70">
        <f t="shared" ca="1" si="13"/>
        <v>46157</v>
      </c>
      <c r="D70">
        <f t="shared" ca="1" si="14"/>
        <v>0</v>
      </c>
      <c r="E70">
        <f t="shared" ca="1" si="15"/>
        <v>0.54260148639830807</v>
      </c>
      <c r="F70">
        <f t="shared" ca="1" si="16"/>
        <v>585.9</v>
      </c>
      <c r="G70" t="str">
        <f t="shared" ca="1" si="17"/>
        <v>personal</v>
      </c>
      <c r="H7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0" t="str">
        <f t="shared" ca="1" si="18"/>
        <v>Sí</v>
      </c>
      <c r="J7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0">
        <f ca="1">IF(Tabla2[[#This Row],[¿cliente deuda abierta?]]="Sí", Tabla2[[#This Row],[Deuda actual]]*Tabla2[[#This Row],[diferencia de días]], "0")</f>
        <v>0</v>
      </c>
      <c r="L7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0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70">
        <f t="shared" ca="1" si="19"/>
        <v>1301.2</v>
      </c>
      <c r="P70">
        <f t="shared" ca="1" si="20"/>
        <v>125105.83</v>
      </c>
      <c r="Q70">
        <f t="shared" ca="1" si="21"/>
        <v>4</v>
      </c>
      <c r="R70">
        <f ca="1">((Tabla2[[#This Row],[Fantasma Comunicación]]+1)/(Tabla2[[#This Row],[Fantasma Comunicación]]+RANDBETWEEN(0,5)+2))-0.5</f>
        <v>0.33333333333333337</v>
      </c>
      <c r="S70">
        <f ca="1">1+MAX(0,Tabla2[[#This Row],[Deuda actual]]/Tabla2[[#This Row],[Liquidez]]+Tabla2[[#This Row],[Liquidez]]/(Tabla2[[#This Row],[Activos]]+Tabla2[[#This Row],[Liquidez]])+Tabla2[[#This Row],[Comunicación]])</f>
        <v>1.7939037323147982</v>
      </c>
      <c r="T70">
        <f ca="1">Tabla2[[#This Row],[Deuda actual]]*EXP(Tabla2[[#This Row],[Ki]]*Tabla2[[#This Row],[diferencia de días]])*(1+Tabla2[[#This Row],[Hg]])</f>
        <v>585.9</v>
      </c>
    </row>
    <row r="71" spans="1:20" ht="14.5" x14ac:dyDescent="0.35">
      <c r="A71">
        <f t="shared" si="11"/>
        <v>70</v>
      </c>
      <c r="B71">
        <f t="shared" ca="1" si="12"/>
        <v>46094</v>
      </c>
      <c r="C71">
        <f t="shared" ca="1" si="13"/>
        <v>46157</v>
      </c>
      <c r="D71">
        <f t="shared" ca="1" si="14"/>
        <v>5</v>
      </c>
      <c r="E71">
        <f t="shared" ca="1" si="15"/>
        <v>0.98265379994625535</v>
      </c>
      <c r="F71">
        <f t="shared" ca="1" si="16"/>
        <v>216.12</v>
      </c>
      <c r="G71" t="str">
        <f t="shared" ca="1" si="17"/>
        <v>personal</v>
      </c>
      <c r="H7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1" t="str">
        <f t="shared" ca="1" si="18"/>
        <v>No</v>
      </c>
      <c r="J7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11999.439465180252</v>
      </c>
      <c r="K71" t="str">
        <f ca="1">IF(Tabla2[[#This Row],[¿cliente deuda abierta?]]="Sí", Tabla2[[#This Row],[Deuda actual]]*Tabla2[[#This Row],[diferencia de días]], "0")</f>
        <v>0</v>
      </c>
      <c r="L7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1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1">
        <f t="shared" ca="1" si="19"/>
        <v>1438.58</v>
      </c>
      <c r="P71">
        <f t="shared" ca="1" si="20"/>
        <v>186609.44</v>
      </c>
      <c r="Q71">
        <f t="shared" ca="1" si="21"/>
        <v>0</v>
      </c>
      <c r="R71">
        <f ca="1">((Tabla2[[#This Row],[Fantasma Comunicación]]+1)/(Tabla2[[#This Row],[Fantasma Comunicación]]+RANDBETWEEN(0,5)+2))-0.5</f>
        <v>-0.16666666666666669</v>
      </c>
      <c r="S71">
        <f ca="1">1+MAX(0,Tabla2[[#This Row],[Deuda actual]]/Tabla2[[#This Row],[Liquidez]]+Tabla2[[#This Row],[Liquidez]]/(Tabla2[[#This Row],[Activos]]+Tabla2[[#This Row],[Liquidez]])+Tabla2[[#This Row],[Comunicación]])</f>
        <v>1</v>
      </c>
      <c r="T71">
        <f ca="1">Tabla2[[#This Row],[Deuda actual]]*EXP(Tabla2[[#This Row],[Ki]]*Tabla2[[#This Row],[diferencia de días]])*(1+Tabla2[[#This Row],[Hg]])</f>
        <v>194.70260528642612</v>
      </c>
    </row>
    <row r="72" spans="1:20" ht="14.5" x14ac:dyDescent="0.35">
      <c r="A72">
        <f t="shared" si="11"/>
        <v>71</v>
      </c>
      <c r="B72">
        <f t="shared" ca="1" si="12"/>
        <v>46135</v>
      </c>
      <c r="C72">
        <f t="shared" ca="1" si="13"/>
        <v>46157</v>
      </c>
      <c r="D72">
        <f t="shared" ca="1" si="14"/>
        <v>17</v>
      </c>
      <c r="E72">
        <f t="shared" ca="1" si="15"/>
        <v>0.72815480142297684</v>
      </c>
      <c r="F72">
        <f t="shared" ca="1" si="16"/>
        <v>2553.1</v>
      </c>
      <c r="G72" t="str">
        <f t="shared" ca="1" si="17"/>
        <v>personal</v>
      </c>
      <c r="H7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2" t="str">
        <f t="shared" ca="1" si="18"/>
        <v>Sí</v>
      </c>
      <c r="J7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2">
        <f ca="1">IF(Tabla2[[#This Row],[¿cliente deuda abierta?]]="Sí", Tabla2[[#This Row],[Deuda actual]]*Tabla2[[#This Row],[diferencia de días]], "0")</f>
        <v>43402.7</v>
      </c>
      <c r="L7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7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2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72">
        <f t="shared" ca="1" si="19"/>
        <v>1686.7</v>
      </c>
      <c r="P72">
        <f t="shared" ca="1" si="20"/>
        <v>81094.45</v>
      </c>
      <c r="Q72">
        <f t="shared" ca="1" si="21"/>
        <v>1</v>
      </c>
      <c r="R72">
        <f ca="1">((Tabla2[[#This Row],[Fantasma Comunicación]]+1)/(Tabla2[[#This Row],[Fantasma Comunicación]]+RANDBETWEEN(0,5)+2))-0.5</f>
        <v>-0.2142857142857143</v>
      </c>
      <c r="S72">
        <f ca="1">1+MAX(0,Tabla2[[#This Row],[Deuda actual]]/Tabla2[[#This Row],[Liquidez]]+Tabla2[[#This Row],[Liquidez]]/(Tabla2[[#This Row],[Activos]]+Tabla2[[#This Row],[Liquidez]])+Tabla2[[#This Row],[Comunicación]])</f>
        <v>2.31975543509758</v>
      </c>
      <c r="T72">
        <f ca="1">Tabla2[[#This Row],[Deuda actual]]*EXP(Tabla2[[#This Row],[Ki]]*Tabla2[[#This Row],[diferencia de días]])*(1+Tabla2[[#This Row],[Hg]])</f>
        <v>2827.5722658654017</v>
      </c>
    </row>
    <row r="73" spans="1:20" ht="14.5" x14ac:dyDescent="0.35">
      <c r="A73">
        <f t="shared" si="11"/>
        <v>72</v>
      </c>
      <c r="B73">
        <f t="shared" ca="1" si="12"/>
        <v>46104</v>
      </c>
      <c r="C73">
        <f t="shared" ca="1" si="13"/>
        <v>46157</v>
      </c>
      <c r="D73">
        <f t="shared" ca="1" si="14"/>
        <v>6</v>
      </c>
      <c r="E73">
        <f t="shared" ca="1" si="15"/>
        <v>0.11724831499509025</v>
      </c>
      <c r="F73">
        <f t="shared" ca="1" si="16"/>
        <v>1980.61</v>
      </c>
      <c r="G73" t="str">
        <f t="shared" ca="1" si="17"/>
        <v>hipotecario</v>
      </c>
      <c r="H7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3" t="str">
        <f t="shared" ca="1" si="18"/>
        <v>No</v>
      </c>
      <c r="J7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164998.81555248416</v>
      </c>
      <c r="K73" t="str">
        <f ca="1">IF(Tabla2[[#This Row],[¿cliente deuda abierta?]]="Sí", Tabla2[[#This Row],[Deuda actual]]*Tabla2[[#This Row],[diferencia de días]], "0")</f>
        <v>0</v>
      </c>
      <c r="L7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7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73">
        <f t="shared" ca="1" si="19"/>
        <v>1770.64</v>
      </c>
      <c r="P73">
        <f t="shared" ca="1" si="20"/>
        <v>488368.26</v>
      </c>
      <c r="Q73">
        <f t="shared" ca="1" si="21"/>
        <v>5</v>
      </c>
      <c r="R73">
        <f ca="1">((Tabla2[[#This Row],[Fantasma Comunicación]]+1)/(Tabla2[[#This Row],[Fantasma Comunicación]]+RANDBETWEEN(0,5)+2))-0.5</f>
        <v>0.16666666666666663</v>
      </c>
      <c r="S73">
        <f ca="1">1+MAX(0,Tabla2[[#This Row],[Deuda actual]]/Tabla2[[#This Row],[Liquidez]]+Tabla2[[#This Row],[Liquidez]]/(Tabla2[[#This Row],[Activos]]+Tabla2[[#This Row],[Liquidez]])+Tabla2[[#This Row],[Comunicación]])</f>
        <v>2.2888634343727805</v>
      </c>
      <c r="T73">
        <f ca="1">Tabla2[[#This Row],[Deuda actual]]*EXP(Tabla2[[#This Row],[Ki]]*Tabla2[[#This Row],[diferencia de días]])*(1+Tabla2[[#This Row],[Hg]])</f>
        <v>1586.3905268878295</v>
      </c>
    </row>
    <row r="74" spans="1:20" ht="14.5" x14ac:dyDescent="0.35">
      <c r="A74">
        <f t="shared" si="11"/>
        <v>73</v>
      </c>
      <c r="B74">
        <f t="shared" ca="1" si="12"/>
        <v>46123</v>
      </c>
      <c r="C74">
        <f t="shared" ca="1" si="13"/>
        <v>46157</v>
      </c>
      <c r="D74">
        <f t="shared" ca="1" si="14"/>
        <v>5</v>
      </c>
      <c r="E74">
        <f t="shared" ca="1" si="15"/>
        <v>0.15350113059105908</v>
      </c>
      <c r="F74">
        <f t="shared" ca="1" si="16"/>
        <v>433.68</v>
      </c>
      <c r="G74" t="str">
        <f t="shared" ca="1" si="17"/>
        <v>personal</v>
      </c>
      <c r="H7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4" t="str">
        <f t="shared" ca="1" si="18"/>
        <v>Sí</v>
      </c>
      <c r="J7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4">
        <f ca="1">IF(Tabla2[[#This Row],[¿cliente deuda abierta?]]="Sí", Tabla2[[#This Row],[Deuda actual]]*Tabla2[[#This Row],[diferencia de días]], "0")</f>
        <v>2168.4</v>
      </c>
      <c r="L7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4">
        <f t="shared" ca="1" si="19"/>
        <v>1502.6</v>
      </c>
      <c r="P74">
        <f t="shared" ca="1" si="20"/>
        <v>138102.89000000001</v>
      </c>
      <c r="Q74">
        <f t="shared" ca="1" si="21"/>
        <v>4</v>
      </c>
      <c r="R74">
        <f ca="1">((Tabla2[[#This Row],[Fantasma Comunicación]]+1)/(Tabla2[[#This Row],[Fantasma Comunicación]]+RANDBETWEEN(0,5)+2))-0.5</f>
        <v>0.2142857142857143</v>
      </c>
      <c r="S74">
        <f ca="1">1+MAX(0,Tabla2[[#This Row],[Deuda actual]]/Tabla2[[#This Row],[Liquidez]]+Tabla2[[#This Row],[Liquidez]]/(Tabla2[[#This Row],[Activos]]+Tabla2[[#This Row],[Liquidez]])+Tabla2[[#This Row],[Comunicación]])</f>
        <v>1.5136686271294357</v>
      </c>
      <c r="T74">
        <f ca="1">Tabla2[[#This Row],[Deuda actual]]*EXP(Tabla2[[#This Row],[Ki]]*Tabla2[[#This Row],[diferencia de días]])*(1+Tabla2[[#This Row],[Hg]])</f>
        <v>455.81959175791303</v>
      </c>
    </row>
    <row r="75" spans="1:20" ht="14.5" x14ac:dyDescent="0.35">
      <c r="A75">
        <f t="shared" si="11"/>
        <v>74</v>
      </c>
      <c r="B75">
        <f t="shared" ca="1" si="12"/>
        <v>46111</v>
      </c>
      <c r="C75">
        <f t="shared" ca="1" si="13"/>
        <v>46157</v>
      </c>
      <c r="D75">
        <f t="shared" ca="1" si="14"/>
        <v>53</v>
      </c>
      <c r="E75">
        <f t="shared" ca="1" si="15"/>
        <v>0.94143261106620924</v>
      </c>
      <c r="F75">
        <f t="shared" ca="1" si="16"/>
        <v>10000</v>
      </c>
      <c r="G75" t="str">
        <f t="shared" ca="1" si="17"/>
        <v>hipotecario</v>
      </c>
      <c r="H7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75" t="str">
        <f t="shared" ca="1" si="18"/>
        <v>No</v>
      </c>
      <c r="J7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165001.19982482746</v>
      </c>
      <c r="K75" t="str">
        <f ca="1">IF(Tabla2[[#This Row],[¿cliente deuda abierta?]]="Sí", Tabla2[[#This Row],[Deuda actual]]*Tabla2[[#This Row],[diferencia de días]], "0")</f>
        <v>0</v>
      </c>
      <c r="L7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75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75">
        <f t="shared" ca="1" si="19"/>
        <v>1191.68</v>
      </c>
      <c r="P75">
        <f t="shared" ca="1" si="20"/>
        <v>106793.44</v>
      </c>
      <c r="Q75">
        <f t="shared" ca="1" si="21"/>
        <v>1</v>
      </c>
      <c r="R75">
        <f ca="1">((Tabla2[[#This Row],[Fantasma Comunicación]]+1)/(Tabla2[[#This Row],[Fantasma Comunicación]]+RANDBETWEEN(0,5)+2))-0.5</f>
        <v>-0.2142857142857143</v>
      </c>
      <c r="S75">
        <f ca="1">1+MAX(0,Tabla2[[#This Row],[Deuda actual]]/Tabla2[[#This Row],[Liquidez]]+Tabla2[[#This Row],[Liquidez]]/(Tabla2[[#This Row],[Activos]]+Tabla2[[#This Row],[Liquidez]])+Tabla2[[#This Row],[Comunicación]])</f>
        <v>9.1882643807851085</v>
      </c>
      <c r="T75">
        <f ca="1">Tabla2[[#This Row],[Deuda actual]]*EXP(Tabla2[[#This Row],[Ki]]*Tabla2[[#This Row],[diferencia de días]])*(1+Tabla2[[#This Row],[Hg]])</f>
        <v>8661.964476235511</v>
      </c>
    </row>
    <row r="76" spans="1:20" ht="14.5" x14ac:dyDescent="0.35">
      <c r="A76">
        <f t="shared" si="11"/>
        <v>75</v>
      </c>
      <c r="B76">
        <f t="shared" ca="1" si="12"/>
        <v>46100</v>
      </c>
      <c r="C76">
        <f t="shared" ca="1" si="13"/>
        <v>46157</v>
      </c>
      <c r="D76">
        <f t="shared" ca="1" si="14"/>
        <v>4</v>
      </c>
      <c r="E76">
        <f t="shared" ca="1" si="15"/>
        <v>0.37068108694345003</v>
      </c>
      <c r="F76">
        <f t="shared" ca="1" si="16"/>
        <v>212.68</v>
      </c>
      <c r="G76" t="str">
        <f t="shared" ca="1" si="17"/>
        <v>hipotecario</v>
      </c>
      <c r="H7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6" t="str">
        <f t="shared" ca="1" si="18"/>
        <v>No</v>
      </c>
      <c r="J7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165000.18364396907</v>
      </c>
      <c r="K76" t="str">
        <f ca="1">IF(Tabla2[[#This Row],[¿cliente deuda abierta?]]="Sí", Tabla2[[#This Row],[Deuda actual]]*Tabla2[[#This Row],[diferencia de días]], "0")</f>
        <v>0</v>
      </c>
      <c r="L7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76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76">
        <f t="shared" ca="1" si="19"/>
        <v>1619.45</v>
      </c>
      <c r="P76">
        <f t="shared" ca="1" si="20"/>
        <v>115942.19</v>
      </c>
      <c r="Q76">
        <f t="shared" ca="1" si="21"/>
        <v>4</v>
      </c>
      <c r="R76">
        <f ca="1">((Tabla2[[#This Row],[Fantasma Comunicación]]+1)/(Tabla2[[#This Row],[Fantasma Comunicación]]+RANDBETWEEN(0,5)+2))-0.5</f>
        <v>0</v>
      </c>
      <c r="S76">
        <f ca="1">1+MAX(0,Tabla2[[#This Row],[Deuda actual]]/Tabla2[[#This Row],[Liquidez]]+Tabla2[[#This Row],[Liquidez]]/(Tabla2[[#This Row],[Activos]]+Tabla2[[#This Row],[Liquidez]])+Tabla2[[#This Row],[Comunicación]])</f>
        <v>1.1451038641801374</v>
      </c>
      <c r="T76">
        <f ca="1">Tabla2[[#This Row],[Deuda actual]]*EXP(Tabla2[[#This Row],[Ki]]*Tabla2[[#This Row],[diferencia de días]])*(1+Tabla2[[#This Row],[Hg]])</f>
        <v>170.28016966060187</v>
      </c>
    </row>
    <row r="77" spans="1:20" ht="14.5" x14ac:dyDescent="0.35">
      <c r="A77">
        <f t="shared" si="11"/>
        <v>76</v>
      </c>
      <c r="B77">
        <f t="shared" ca="1" si="12"/>
        <v>46090</v>
      </c>
      <c r="C77">
        <f t="shared" ca="1" si="13"/>
        <v>46157</v>
      </c>
      <c r="D77">
        <f t="shared" ca="1" si="14"/>
        <v>8</v>
      </c>
      <c r="E77">
        <f t="shared" ca="1" si="15"/>
        <v>0.8346687124183394</v>
      </c>
      <c r="F77">
        <f t="shared" ca="1" si="16"/>
        <v>6477.49</v>
      </c>
      <c r="G77" t="str">
        <f t="shared" ca="1" si="17"/>
        <v>hipotecario</v>
      </c>
      <c r="H7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7" t="str">
        <f t="shared" ca="1" si="18"/>
        <v>Sí</v>
      </c>
      <c r="J7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7">
        <f ca="1">IF(Tabla2[[#This Row],[¿cliente deuda abierta?]]="Sí", Tabla2[[#This Row],[Deuda actual]]*Tabla2[[#This Row],[diferencia de días]], "0")</f>
        <v>51819.92</v>
      </c>
      <c r="L7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7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7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77">
        <f t="shared" ca="1" si="19"/>
        <v>1708.65</v>
      </c>
      <c r="P77">
        <f t="shared" ca="1" si="20"/>
        <v>70502.23</v>
      </c>
      <c r="Q77">
        <f t="shared" ca="1" si="21"/>
        <v>1</v>
      </c>
      <c r="R77">
        <f ca="1">((Tabla2[[#This Row],[Fantasma Comunicación]]+1)/(Tabla2[[#This Row],[Fantasma Comunicación]]+RANDBETWEEN(0,5)+2))-0.5</f>
        <v>0.16666666666666663</v>
      </c>
      <c r="S77">
        <f ca="1">1+MAX(0,Tabla2[[#This Row],[Deuda actual]]/Tabla2[[#This Row],[Liquidez]]+Tabla2[[#This Row],[Liquidez]]/(Tabla2[[#This Row],[Activos]]+Tabla2[[#This Row],[Liquidez]])+Tabla2[[#This Row],[Comunicación]])</f>
        <v>4.9813273551502935</v>
      </c>
      <c r="T77">
        <f ca="1">Tabla2[[#This Row],[Deuda actual]]*EXP(Tabla2[[#This Row],[Ki]]*Tabla2[[#This Row],[diferencia de días]])*(1+Tabla2[[#This Row],[Hg]])</f>
        <v>7136.6485075720293</v>
      </c>
    </row>
    <row r="78" spans="1:20" ht="14.5" x14ac:dyDescent="0.35">
      <c r="A78">
        <f t="shared" si="11"/>
        <v>77</v>
      </c>
      <c r="B78">
        <f t="shared" ca="1" si="12"/>
        <v>46142</v>
      </c>
      <c r="C78">
        <f t="shared" ca="1" si="13"/>
        <v>46157</v>
      </c>
      <c r="D78">
        <f t="shared" ca="1" si="14"/>
        <v>23</v>
      </c>
      <c r="E78">
        <f t="shared" ca="1" si="15"/>
        <v>0.3164391381555941</v>
      </c>
      <c r="F78">
        <f t="shared" ca="1" si="16"/>
        <v>135.88</v>
      </c>
      <c r="G78" t="str">
        <f t="shared" ca="1" si="17"/>
        <v>hipotecario</v>
      </c>
      <c r="H7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8" t="str">
        <f t="shared" ca="1" si="18"/>
        <v>Sí</v>
      </c>
      <c r="J7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8">
        <f ca="1">IF(Tabla2[[#This Row],[¿cliente deuda abierta?]]="Sí", Tabla2[[#This Row],[Deuda actual]]*Tabla2[[#This Row],[diferencia de días]], "0")</f>
        <v>3125.24</v>
      </c>
      <c r="L7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8">
        <f t="shared" ca="1" si="19"/>
        <v>2182.1</v>
      </c>
      <c r="P78">
        <f t="shared" ca="1" si="20"/>
        <v>151218.95000000001</v>
      </c>
      <c r="Q78">
        <f t="shared" ca="1" si="21"/>
        <v>4</v>
      </c>
      <c r="R78">
        <f ca="1">((Tabla2[[#This Row],[Fantasma Comunicación]]+1)/(Tabla2[[#This Row],[Fantasma Comunicación]]+RANDBETWEEN(0,5)+2))-0.5</f>
        <v>0.125</v>
      </c>
      <c r="S78">
        <f ca="1">1+MAX(0,Tabla2[[#This Row],[Deuda actual]]/Tabla2[[#This Row],[Liquidez]]+Tabla2[[#This Row],[Liquidez]]/(Tabla2[[#This Row],[Activos]]+Tabla2[[#This Row],[Liquidez]])+Tabla2[[#This Row],[Comunicación]])</f>
        <v>1.2014950949373016</v>
      </c>
      <c r="T78">
        <f ca="1">Tabla2[[#This Row],[Deuda actual]]*EXP(Tabla2[[#This Row],[Ki]]*Tabla2[[#This Row],[diferencia de días]])*(1+Tabla2[[#This Row],[Hg]])</f>
        <v>143.99265732276822</v>
      </c>
    </row>
    <row r="79" spans="1:20" ht="14.5" x14ac:dyDescent="0.35">
      <c r="A79">
        <f t="shared" si="11"/>
        <v>78</v>
      </c>
      <c r="B79">
        <f t="shared" ca="1" si="12"/>
        <v>46095</v>
      </c>
      <c r="C79">
        <f t="shared" ca="1" si="13"/>
        <v>46157</v>
      </c>
      <c r="D79">
        <f t="shared" ca="1" si="14"/>
        <v>7</v>
      </c>
      <c r="E79">
        <f t="shared" ca="1" si="15"/>
        <v>0.27172884140727027</v>
      </c>
      <c r="F79">
        <f t="shared" ca="1" si="16"/>
        <v>844.5</v>
      </c>
      <c r="G79" t="str">
        <f t="shared" ca="1" si="17"/>
        <v>hipotecario</v>
      </c>
      <c r="H7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9" t="str">
        <f t="shared" ca="1" si="18"/>
        <v>Sí</v>
      </c>
      <c r="J7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9">
        <f ca="1">IF(Tabla2[[#This Row],[¿cliente deuda abierta?]]="Sí", Tabla2[[#This Row],[Deuda actual]]*Tabla2[[#This Row],[diferencia de días]], "0")</f>
        <v>5911.5</v>
      </c>
      <c r="L7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9">
        <f t="shared" ca="1" si="19"/>
        <v>1802.41</v>
      </c>
      <c r="P79">
        <f t="shared" ca="1" si="20"/>
        <v>400245.3</v>
      </c>
      <c r="Q79">
        <f t="shared" ca="1" si="21"/>
        <v>2</v>
      </c>
      <c r="R79">
        <f ca="1">((Tabla2[[#This Row],[Fantasma Comunicación]]+1)/(Tabla2[[#This Row],[Fantasma Comunicación]]+RANDBETWEEN(0,5)+2))-0.5</f>
        <v>-0.16666666666666669</v>
      </c>
      <c r="S79">
        <f ca="1">1+MAX(0,Tabla2[[#This Row],[Deuda actual]]/Tabla2[[#This Row],[Liquidez]]+Tabla2[[#This Row],[Liquidez]]/(Tabla2[[#This Row],[Activos]]+Tabla2[[#This Row],[Liquidez]])+Tabla2[[#This Row],[Comunicación]])</f>
        <v>1.3063557527842893</v>
      </c>
      <c r="T79">
        <f ca="1">Tabla2[[#This Row],[Deuda actual]]*EXP(Tabla2[[#This Row],[Ki]]*Tabla2[[#This Row],[diferencia de días]])*(1+Tabla2[[#This Row],[Hg]])</f>
        <v>887.96728439617095</v>
      </c>
    </row>
    <row r="80" spans="1:20" ht="14.5" x14ac:dyDescent="0.35">
      <c r="A80">
        <f t="shared" si="11"/>
        <v>79</v>
      </c>
      <c r="B80">
        <f t="shared" ca="1" si="12"/>
        <v>46118</v>
      </c>
      <c r="C80">
        <f t="shared" ca="1" si="13"/>
        <v>46157</v>
      </c>
      <c r="D80">
        <f t="shared" ca="1" si="14"/>
        <v>1</v>
      </c>
      <c r="E80">
        <f t="shared" ca="1" si="15"/>
        <v>0.62453217185216436</v>
      </c>
      <c r="F80">
        <f t="shared" ca="1" si="16"/>
        <v>316.17</v>
      </c>
      <c r="G80" t="str">
        <f t="shared" ca="1" si="17"/>
        <v>hipotecario</v>
      </c>
      <c r="H8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0" t="str">
        <f t="shared" ca="1" si="18"/>
        <v>No</v>
      </c>
      <c r="J8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165001.78148918584</v>
      </c>
      <c r="K80" t="str">
        <f ca="1">IF(Tabla2[[#This Row],[¿cliente deuda abierta?]]="Sí", Tabla2[[#This Row],[Deuda actual]]*Tabla2[[#This Row],[diferencia de días]], "0")</f>
        <v>0</v>
      </c>
      <c r="L8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8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80">
        <f t="shared" ca="1" si="19"/>
        <v>1557.02</v>
      </c>
      <c r="P80">
        <f t="shared" ca="1" si="20"/>
        <v>76845.45</v>
      </c>
      <c r="Q80">
        <f t="shared" ca="1" si="21"/>
        <v>5</v>
      </c>
      <c r="R80">
        <f ca="1">((Tabla2[[#This Row],[Fantasma Comunicación]]+1)/(Tabla2[[#This Row],[Fantasma Comunicación]]+RANDBETWEEN(0,5)+2))-0.5</f>
        <v>0</v>
      </c>
      <c r="S80">
        <f ca="1">1+MAX(0,Tabla2[[#This Row],[Deuda actual]]/Tabla2[[#This Row],[Liquidez]]+Tabla2[[#This Row],[Liquidez]]/(Tabla2[[#This Row],[Activos]]+Tabla2[[#This Row],[Liquidez]])+Tabla2[[#This Row],[Comunicación]])</f>
        <v>1.2229202987626937</v>
      </c>
      <c r="T80">
        <f ca="1">Tabla2[[#This Row],[Deuda actual]]*EXP(Tabla2[[#This Row],[Ki]]*Tabla2[[#This Row],[diferencia de días]])*(1+Tabla2[[#This Row],[Hg]])</f>
        <v>252.98659225905732</v>
      </c>
    </row>
    <row r="81" spans="1:20" ht="14.5" x14ac:dyDescent="0.35">
      <c r="A81">
        <f t="shared" si="11"/>
        <v>80</v>
      </c>
      <c r="B81">
        <f t="shared" ca="1" si="12"/>
        <v>46128</v>
      </c>
      <c r="C81">
        <f t="shared" ca="1" si="13"/>
        <v>46157</v>
      </c>
      <c r="D81">
        <f t="shared" ca="1" si="14"/>
        <v>25</v>
      </c>
      <c r="E81">
        <f t="shared" ca="1" si="15"/>
        <v>0.42575651115576851</v>
      </c>
      <c r="F81">
        <f t="shared" ca="1" si="16"/>
        <v>284.05</v>
      </c>
      <c r="G81" t="str">
        <f t="shared" ca="1" si="17"/>
        <v>personal</v>
      </c>
      <c r="H8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1" t="str">
        <f t="shared" ca="1" si="18"/>
        <v>No</v>
      </c>
      <c r="J8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11999.306973465707</v>
      </c>
      <c r="K81" t="str">
        <f ca="1">IF(Tabla2[[#This Row],[¿cliente deuda abierta?]]="Sí", Tabla2[[#This Row],[Deuda actual]]*Tabla2[[#This Row],[diferencia de días]], "0")</f>
        <v>0</v>
      </c>
      <c r="L8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1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1">
        <f t="shared" ca="1" si="19"/>
        <v>1667.02</v>
      </c>
      <c r="P81">
        <f t="shared" ca="1" si="20"/>
        <v>89471.7</v>
      </c>
      <c r="Q81">
        <f t="shared" ca="1" si="21"/>
        <v>5</v>
      </c>
      <c r="R81">
        <f ca="1">((Tabla2[[#This Row],[Fantasma Comunicación]]+1)/(Tabla2[[#This Row],[Fantasma Comunicación]]+RANDBETWEEN(0,5)+2))-0.5</f>
        <v>0</v>
      </c>
      <c r="S81">
        <f ca="1">1+MAX(0,Tabla2[[#This Row],[Deuda actual]]/Tabla2[[#This Row],[Liquidez]]+Tabla2[[#This Row],[Liquidez]]/(Tabla2[[#This Row],[Activos]]+Tabla2[[#This Row],[Liquidez]])+Tabla2[[#This Row],[Comunicación]])</f>
        <v>1.1886848948491093</v>
      </c>
      <c r="T81">
        <f ca="1">Tabla2[[#This Row],[Deuda actual]]*EXP(Tabla2[[#This Row],[Ki]]*Tabla2[[#This Row],[diferencia de días]])*(1+Tabla2[[#This Row],[Hg]])</f>
        <v>258.21427496423212</v>
      </c>
    </row>
    <row r="82" spans="1:20" ht="14.5" x14ac:dyDescent="0.35">
      <c r="A82">
        <f t="shared" si="11"/>
        <v>81</v>
      </c>
      <c r="B82">
        <f t="shared" ca="1" si="12"/>
        <v>46103</v>
      </c>
      <c r="C82">
        <f t="shared" ca="1" si="13"/>
        <v>46157</v>
      </c>
      <c r="D82">
        <f t="shared" ca="1" si="14"/>
        <v>13</v>
      </c>
      <c r="E82">
        <f t="shared" ca="1" si="15"/>
        <v>0.77275370686986744</v>
      </c>
      <c r="F82">
        <f t="shared" ca="1" si="16"/>
        <v>144.53</v>
      </c>
      <c r="G82" t="str">
        <f t="shared" ca="1" si="17"/>
        <v>hipotecario</v>
      </c>
      <c r="H8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2" t="str">
        <f t="shared" ca="1" si="18"/>
        <v>Sí</v>
      </c>
      <c r="J8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2">
        <f ca="1">IF(Tabla2[[#This Row],[¿cliente deuda abierta?]]="Sí", Tabla2[[#This Row],[Deuda actual]]*Tabla2[[#This Row],[diferencia de días]], "0")</f>
        <v>1878.89</v>
      </c>
      <c r="L8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2">
        <f t="shared" ca="1" si="19"/>
        <v>1311.39</v>
      </c>
      <c r="P82">
        <f t="shared" ca="1" si="20"/>
        <v>220582.84</v>
      </c>
      <c r="Q82">
        <f t="shared" ca="1" si="21"/>
        <v>5</v>
      </c>
      <c r="R82">
        <f ca="1">((Tabla2[[#This Row],[Fantasma Comunicación]]+1)/(Tabla2[[#This Row],[Fantasma Comunicación]]+RANDBETWEEN(0,5)+2))-0.5</f>
        <v>0.3571428571428571</v>
      </c>
      <c r="S82">
        <f ca="1">1+MAX(0,Tabla2[[#This Row],[Deuda actual]]/Tabla2[[#This Row],[Liquidez]]+Tabla2[[#This Row],[Liquidez]]/(Tabla2[[#This Row],[Activos]]+Tabla2[[#This Row],[Liquidez]])+Tabla2[[#This Row],[Comunicación]])</f>
        <v>1.4732641375744946</v>
      </c>
      <c r="T82">
        <f ca="1">Tabla2[[#This Row],[Deuda actual]]*EXP(Tabla2[[#This Row],[Ki]]*Tabla2[[#This Row],[diferencia de días]])*(1+Tabla2[[#This Row],[Hg]])</f>
        <v>152.15158028180448</v>
      </c>
    </row>
    <row r="83" spans="1:20" ht="14.5" x14ac:dyDescent="0.35">
      <c r="A83">
        <f t="shared" si="11"/>
        <v>82</v>
      </c>
      <c r="B83">
        <f t="shared" ca="1" si="12"/>
        <v>46089</v>
      </c>
      <c r="C83">
        <f t="shared" ca="1" si="13"/>
        <v>46157</v>
      </c>
      <c r="D83">
        <f t="shared" ca="1" si="14"/>
        <v>18</v>
      </c>
      <c r="E83">
        <f t="shared" ca="1" si="15"/>
        <v>0.60528614395485381</v>
      </c>
      <c r="F83">
        <f t="shared" ca="1" si="16"/>
        <v>1040.32</v>
      </c>
      <c r="G83" t="str">
        <f t="shared" ca="1" si="17"/>
        <v>personal</v>
      </c>
      <c r="H8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3" t="str">
        <f t="shared" ca="1" si="18"/>
        <v>Sí</v>
      </c>
      <c r="J8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3">
        <f ca="1">IF(Tabla2[[#This Row],[¿cliente deuda abierta?]]="Sí", Tabla2[[#This Row],[Deuda actual]]*Tabla2[[#This Row],[diferencia de días]], "0")</f>
        <v>18725.759999999998</v>
      </c>
      <c r="L8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3">
        <f t="shared" ca="1" si="19"/>
        <v>1929.1</v>
      </c>
      <c r="P83">
        <f t="shared" ca="1" si="20"/>
        <v>48134.07</v>
      </c>
      <c r="Q83">
        <f t="shared" ca="1" si="21"/>
        <v>3</v>
      </c>
      <c r="R83">
        <f ca="1">((Tabla2[[#This Row],[Fantasma Comunicación]]+1)/(Tabla2[[#This Row],[Fantasma Comunicación]]+RANDBETWEEN(0,5)+2))-0.5</f>
        <v>0</v>
      </c>
      <c r="S83">
        <f ca="1">1+MAX(0,Tabla2[[#This Row],[Deuda actual]]/Tabla2[[#This Row],[Liquidez]]+Tabla2[[#This Row],[Liquidez]]/(Tabla2[[#This Row],[Activos]]+Tabla2[[#This Row],[Liquidez]])+Tabla2[[#This Row],[Comunicación]])</f>
        <v>1.5778107002429986</v>
      </c>
      <c r="T83">
        <f ca="1">Tabla2[[#This Row],[Deuda actual]]*EXP(Tabla2[[#This Row],[Ki]]*Tabla2[[#This Row],[diferencia de días]])*(1+Tabla2[[#This Row],[Hg]])</f>
        <v>1100.229200623648</v>
      </c>
    </row>
    <row r="84" spans="1:20" ht="14.5" x14ac:dyDescent="0.35">
      <c r="A84">
        <f t="shared" si="11"/>
        <v>83</v>
      </c>
      <c r="B84">
        <f t="shared" ca="1" si="12"/>
        <v>46090</v>
      </c>
      <c r="C84">
        <f t="shared" ca="1" si="13"/>
        <v>46157</v>
      </c>
      <c r="D84">
        <f t="shared" ca="1" si="14"/>
        <v>4</v>
      </c>
      <c r="E84">
        <f t="shared" ca="1" si="15"/>
        <v>0.80374771050342342</v>
      </c>
      <c r="F84">
        <f t="shared" ca="1" si="16"/>
        <v>2392.4299999999998</v>
      </c>
      <c r="G84" t="str">
        <f t="shared" ca="1" si="17"/>
        <v>personal</v>
      </c>
      <c r="H8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4" t="str">
        <f t="shared" ca="1" si="18"/>
        <v>No</v>
      </c>
      <c r="J8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12001.212151120155</v>
      </c>
      <c r="K84" t="str">
        <f ca="1">IF(Tabla2[[#This Row],[¿cliente deuda abierta?]]="Sí", Tabla2[[#This Row],[Deuda actual]]*Tabla2[[#This Row],[diferencia de días]], "0")</f>
        <v>0</v>
      </c>
      <c r="L8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4">
        <f t="shared" ca="1" si="19"/>
        <v>1553.5</v>
      </c>
      <c r="P84">
        <f t="shared" ca="1" si="20"/>
        <v>91942.720000000001</v>
      </c>
      <c r="Q84">
        <f t="shared" ca="1" si="21"/>
        <v>4</v>
      </c>
      <c r="R84">
        <f ca="1">((Tabla2[[#This Row],[Fantasma Comunicación]]+1)/(Tabla2[[#This Row],[Fantasma Comunicación]]+RANDBETWEEN(0,5)+2))-0.5</f>
        <v>-4.545454545454547E-2</v>
      </c>
      <c r="S84">
        <f ca="1">1+MAX(0,Tabla2[[#This Row],[Deuda actual]]/Tabla2[[#This Row],[Liquidez]]+Tabla2[[#This Row],[Liquidez]]/(Tabla2[[#This Row],[Activos]]+Tabla2[[#This Row],[Liquidez]])+Tabla2[[#This Row],[Comunicación]])</f>
        <v>2.5111868478518509</v>
      </c>
      <c r="T84">
        <f ca="1">Tabla2[[#This Row],[Deuda actual]]*EXP(Tabla2[[#This Row],[Ki]]*Tabla2[[#This Row],[diferencia de días]])*(1+Tabla2[[#This Row],[Hg]])</f>
        <v>2154.9102388036154</v>
      </c>
    </row>
    <row r="85" spans="1:20" ht="14.5" x14ac:dyDescent="0.35">
      <c r="A85">
        <f t="shared" si="11"/>
        <v>84</v>
      </c>
      <c r="B85">
        <f t="shared" ca="1" si="12"/>
        <v>46090</v>
      </c>
      <c r="C85">
        <f t="shared" ca="1" si="13"/>
        <v>46157</v>
      </c>
      <c r="D85">
        <f t="shared" ca="1" si="14"/>
        <v>39</v>
      </c>
      <c r="E85">
        <f t="shared" ca="1" si="15"/>
        <v>0.76546360793879353</v>
      </c>
      <c r="F85">
        <f t="shared" ca="1" si="16"/>
        <v>2236.25</v>
      </c>
      <c r="G85" t="str">
        <f t="shared" ca="1" si="17"/>
        <v>personal</v>
      </c>
      <c r="H8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85" t="str">
        <f t="shared" ca="1" si="18"/>
        <v>No</v>
      </c>
      <c r="J8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12000.15105783981</v>
      </c>
      <c r="K85" t="str">
        <f ca="1">IF(Tabla2[[#This Row],[¿cliente deuda abierta?]]="Sí", Tabla2[[#This Row],[Deuda actual]]*Tabla2[[#This Row],[diferencia de días]], "0")</f>
        <v>0</v>
      </c>
      <c r="L8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5">
        <f t="shared" ca="1" si="19"/>
        <v>1864.98</v>
      </c>
      <c r="P85">
        <f t="shared" ca="1" si="20"/>
        <v>149850.48000000001</v>
      </c>
      <c r="Q85">
        <f t="shared" ca="1" si="21"/>
        <v>3</v>
      </c>
      <c r="R85">
        <f ca="1">((Tabla2[[#This Row],[Fantasma Comunicación]]+1)/(Tabla2[[#This Row],[Fantasma Comunicación]]+RANDBETWEEN(0,5)+2))-0.5</f>
        <v>0.16666666666666663</v>
      </c>
      <c r="S85">
        <f ca="1">1+MAX(0,Tabla2[[#This Row],[Deuda actual]]/Tabla2[[#This Row],[Liquidez]]+Tabla2[[#This Row],[Liquidez]]/(Tabla2[[#This Row],[Activos]]+Tabla2[[#This Row],[Liquidez]])+Tabla2[[#This Row],[Comunicación]])</f>
        <v>2.3780338042912215</v>
      </c>
      <c r="T85">
        <f ca="1">Tabla2[[#This Row],[Deuda actual]]*EXP(Tabla2[[#This Row],[Ki]]*Tabla2[[#This Row],[diferencia de días]])*(1+Tabla2[[#This Row],[Hg]])</f>
        <v>2092.6680696563985</v>
      </c>
    </row>
    <row r="86" spans="1:20" ht="14.5" x14ac:dyDescent="0.35">
      <c r="A86">
        <f t="shared" si="11"/>
        <v>85</v>
      </c>
      <c r="B86">
        <f t="shared" ca="1" si="12"/>
        <v>46114</v>
      </c>
      <c r="C86">
        <f t="shared" ca="1" si="13"/>
        <v>46157</v>
      </c>
      <c r="D86">
        <f t="shared" ca="1" si="14"/>
        <v>5</v>
      </c>
      <c r="E86">
        <f t="shared" ca="1" si="15"/>
        <v>0.8225858851336777</v>
      </c>
      <c r="F86">
        <f t="shared" ca="1" si="16"/>
        <v>852.37</v>
      </c>
      <c r="G86" t="str">
        <f t="shared" ca="1" si="17"/>
        <v>personal</v>
      </c>
      <c r="H8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6" t="str">
        <f t="shared" ca="1" si="18"/>
        <v>No</v>
      </c>
      <c r="J8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12000.221980826684</v>
      </c>
      <c r="K86" t="str">
        <f ca="1">IF(Tabla2[[#This Row],[¿cliente deuda abierta?]]="Sí", Tabla2[[#This Row],[Deuda actual]]*Tabla2[[#This Row],[diferencia de días]], "0")</f>
        <v>0</v>
      </c>
      <c r="L8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6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6">
        <f t="shared" ca="1" si="19"/>
        <v>2037.02</v>
      </c>
      <c r="P86">
        <f t="shared" ca="1" si="20"/>
        <v>69167.83</v>
      </c>
      <c r="Q86">
        <f t="shared" ca="1" si="21"/>
        <v>3</v>
      </c>
      <c r="R86">
        <f ca="1">((Tabla2[[#This Row],[Fantasma Comunicación]]+1)/(Tabla2[[#This Row],[Fantasma Comunicación]]+RANDBETWEEN(0,5)+2))-0.5</f>
        <v>-9.9999999999999978E-2</v>
      </c>
      <c r="S86">
        <f ca="1">1+MAX(0,Tabla2[[#This Row],[Deuda actual]]/Tabla2[[#This Row],[Liquidez]]+Tabla2[[#This Row],[Liquidez]]/(Tabla2[[#This Row],[Activos]]+Tabla2[[#This Row],[Liquidez]])+Tabla2[[#This Row],[Comunicación]])</f>
        <v>1.3470475642450779</v>
      </c>
      <c r="T86">
        <f ca="1">Tabla2[[#This Row],[Deuda actual]]*EXP(Tabla2[[#This Row],[Ki]]*Tabla2[[#This Row],[diferencia de días]])*(1+Tabla2[[#This Row],[Hg]])</f>
        <v>767.90051669438753</v>
      </c>
    </row>
    <row r="87" spans="1:20" ht="14.5" x14ac:dyDescent="0.35">
      <c r="A87">
        <f t="shared" si="11"/>
        <v>86</v>
      </c>
      <c r="B87">
        <f t="shared" ca="1" si="12"/>
        <v>46120</v>
      </c>
      <c r="C87">
        <f t="shared" ca="1" si="13"/>
        <v>46157</v>
      </c>
      <c r="D87">
        <f t="shared" ca="1" si="14"/>
        <v>23</v>
      </c>
      <c r="E87">
        <f t="shared" ca="1" si="15"/>
        <v>0.6528674148661594</v>
      </c>
      <c r="F87">
        <f t="shared" ca="1" si="16"/>
        <v>120.33</v>
      </c>
      <c r="G87" t="str">
        <f t="shared" ca="1" si="17"/>
        <v>personal</v>
      </c>
      <c r="H8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7" t="str">
        <f t="shared" ca="1" si="18"/>
        <v>No</v>
      </c>
      <c r="J8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11998.410574272131</v>
      </c>
      <c r="K87" t="str">
        <f ca="1">IF(Tabla2[[#This Row],[¿cliente deuda abierta?]]="Sí", Tabla2[[#This Row],[Deuda actual]]*Tabla2[[#This Row],[diferencia de días]], "0")</f>
        <v>0</v>
      </c>
      <c r="L8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7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7">
        <f t="shared" ca="1" si="19"/>
        <v>1416.02</v>
      </c>
      <c r="P87">
        <f t="shared" ca="1" si="20"/>
        <v>63449.7</v>
      </c>
      <c r="Q87">
        <f t="shared" ca="1" si="21"/>
        <v>1</v>
      </c>
      <c r="R87">
        <f ca="1">((Tabla2[[#This Row],[Fantasma Comunicación]]+1)/(Tabla2[[#This Row],[Fantasma Comunicación]]+RANDBETWEEN(0,5)+2))-0.5</f>
        <v>0</v>
      </c>
      <c r="S87">
        <f ca="1">1+MAX(0,Tabla2[[#This Row],[Deuda actual]]/Tabla2[[#This Row],[Liquidez]]+Tabla2[[#This Row],[Liquidez]]/(Tabla2[[#This Row],[Activos]]+Tabla2[[#This Row],[Liquidez]])+Tabla2[[#This Row],[Comunicación]])</f>
        <v>1.1068076338514423</v>
      </c>
      <c r="T87">
        <f ca="1">Tabla2[[#This Row],[Deuda actual]]*EXP(Tabla2[[#This Row],[Ki]]*Tabla2[[#This Row],[diferencia de días]])*(1+Tabla2[[#This Row],[Hg]])</f>
        <v>109.29792961635496</v>
      </c>
    </row>
    <row r="88" spans="1:20" ht="14.5" x14ac:dyDescent="0.35">
      <c r="A88">
        <f t="shared" si="11"/>
        <v>87</v>
      </c>
      <c r="B88">
        <f t="shared" ca="1" si="12"/>
        <v>46101</v>
      </c>
      <c r="C88">
        <f t="shared" ca="1" si="13"/>
        <v>46157</v>
      </c>
      <c r="D88">
        <f t="shared" ca="1" si="14"/>
        <v>11</v>
      </c>
      <c r="E88">
        <f t="shared" ca="1" si="15"/>
        <v>0.82086005312385613</v>
      </c>
      <c r="F88">
        <f t="shared" ca="1" si="16"/>
        <v>1554.09</v>
      </c>
      <c r="G88" t="str">
        <f t="shared" ca="1" si="17"/>
        <v>personal</v>
      </c>
      <c r="H8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8" t="str">
        <f t="shared" ca="1" si="18"/>
        <v>No</v>
      </c>
      <c r="J8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12001.007847265602</v>
      </c>
      <c r="K88" t="str">
        <f ca="1">IF(Tabla2[[#This Row],[¿cliente deuda abierta?]]="Sí", Tabla2[[#This Row],[Deuda actual]]*Tabla2[[#This Row],[diferencia de días]], "0")</f>
        <v>0</v>
      </c>
      <c r="L8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8">
        <f t="shared" ca="1" si="19"/>
        <v>2374.9499999999998</v>
      </c>
      <c r="P88">
        <f t="shared" ca="1" si="20"/>
        <v>105562.36</v>
      </c>
      <c r="Q88">
        <f t="shared" ca="1" si="21"/>
        <v>5</v>
      </c>
      <c r="R88">
        <f ca="1">((Tabla2[[#This Row],[Fantasma Comunicación]]+1)/(Tabla2[[#This Row],[Fantasma Comunicación]]+RANDBETWEEN(0,5)+2))-0.5</f>
        <v>0.25</v>
      </c>
      <c r="S88">
        <f ca="1">1+MAX(0,Tabla2[[#This Row],[Deuda actual]]/Tabla2[[#This Row],[Liquidez]]+Tabla2[[#This Row],[Liquidez]]/(Tabla2[[#This Row],[Activos]]+Tabla2[[#This Row],[Liquidez]])+Tabla2[[#This Row],[Comunicación]])</f>
        <v>1.9263705101008068</v>
      </c>
      <c r="T88">
        <f ca="1">Tabla2[[#This Row],[Deuda actual]]*EXP(Tabla2[[#This Row],[Ki]]*Tabla2[[#This Row],[diferencia de días]])*(1+Tabla2[[#This Row],[Hg]])</f>
        <v>1401.7614854915782</v>
      </c>
    </row>
    <row r="89" spans="1:20" ht="14.5" x14ac:dyDescent="0.35">
      <c r="A89">
        <f t="shared" si="11"/>
        <v>88</v>
      </c>
      <c r="B89">
        <f t="shared" ca="1" si="12"/>
        <v>46090</v>
      </c>
      <c r="C89">
        <f t="shared" ca="1" si="13"/>
        <v>46157</v>
      </c>
      <c r="D89">
        <f t="shared" ca="1" si="14"/>
        <v>5</v>
      </c>
      <c r="E89">
        <f t="shared" ca="1" si="15"/>
        <v>0.32370330554226689</v>
      </c>
      <c r="F89">
        <f t="shared" ca="1" si="16"/>
        <v>1871.83</v>
      </c>
      <c r="G89" t="str">
        <f t="shared" ca="1" si="17"/>
        <v>personal</v>
      </c>
      <c r="H8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9" t="str">
        <f t="shared" ca="1" si="18"/>
        <v>Sí</v>
      </c>
      <c r="J8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9">
        <f ca="1">IF(Tabla2[[#This Row],[¿cliente deuda abierta?]]="Sí", Tabla2[[#This Row],[Deuda actual]]*Tabla2[[#This Row],[diferencia de días]], "0")</f>
        <v>9359.15</v>
      </c>
      <c r="L8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9">
        <f t="shared" ca="1" si="19"/>
        <v>1852.42</v>
      </c>
      <c r="P89">
        <f t="shared" ca="1" si="20"/>
        <v>95651.64</v>
      </c>
      <c r="Q89">
        <f t="shared" ca="1" si="21"/>
        <v>1</v>
      </c>
      <c r="R89">
        <f ca="1">((Tabla2[[#This Row],[Fantasma Comunicación]]+1)/(Tabla2[[#This Row],[Fantasma Comunicación]]+RANDBETWEEN(0,5)+2))-0.5</f>
        <v>0.16666666666666663</v>
      </c>
      <c r="S89">
        <f ca="1">1+MAX(0,Tabla2[[#This Row],[Deuda actual]]/Tabla2[[#This Row],[Liquidez]]+Tabla2[[#This Row],[Liquidez]]/(Tabla2[[#This Row],[Activos]]+Tabla2[[#This Row],[Liquidez]])+Tabla2[[#This Row],[Comunicación]])</f>
        <v>2.1961432403342207</v>
      </c>
      <c r="T89">
        <f ca="1">Tabla2[[#This Row],[Deuda actual]]*EXP(Tabla2[[#This Row],[Ki]]*Tabla2[[#This Row],[diferencia de días]])*(1+Tabla2[[#This Row],[Hg]])</f>
        <v>1967.3879045384024</v>
      </c>
    </row>
    <row r="90" spans="1:20" ht="14.5" x14ac:dyDescent="0.35">
      <c r="A90">
        <f t="shared" si="11"/>
        <v>89</v>
      </c>
      <c r="B90">
        <f t="shared" ca="1" si="12"/>
        <v>46107</v>
      </c>
      <c r="C90">
        <f t="shared" ca="1" si="13"/>
        <v>46157</v>
      </c>
      <c r="D90">
        <f t="shared" ca="1" si="14"/>
        <v>1</v>
      </c>
      <c r="E90">
        <f t="shared" ca="1" si="15"/>
        <v>0.423235048198081</v>
      </c>
      <c r="F90">
        <f t="shared" ca="1" si="16"/>
        <v>3173.11</v>
      </c>
      <c r="G90" t="str">
        <f t="shared" ca="1" si="17"/>
        <v>hipotecario</v>
      </c>
      <c r="H9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0" t="str">
        <f t="shared" ca="1" si="18"/>
        <v>No</v>
      </c>
      <c r="J9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165000.58757869975</v>
      </c>
      <c r="K90" t="str">
        <f ca="1">IF(Tabla2[[#This Row],[¿cliente deuda abierta?]]="Sí", Tabla2[[#This Row],[Deuda actual]]*Tabla2[[#This Row],[diferencia de días]], "0")</f>
        <v>0</v>
      </c>
      <c r="L9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0">
        <f t="shared" ca="1" si="19"/>
        <v>1873.67</v>
      </c>
      <c r="P90">
        <f t="shared" ca="1" si="20"/>
        <v>329537.45</v>
      </c>
      <c r="Q90">
        <f t="shared" ca="1" si="21"/>
        <v>1</v>
      </c>
      <c r="R90">
        <f ca="1">((Tabla2[[#This Row],[Fantasma Comunicación]]+1)/(Tabla2[[#This Row],[Fantasma Comunicación]]+RANDBETWEEN(0,5)+2))-0.5</f>
        <v>0</v>
      </c>
      <c r="S90">
        <f ca="1">1+MAX(0,Tabla2[[#This Row],[Deuda actual]]/Tabla2[[#This Row],[Liquidez]]+Tabla2[[#This Row],[Liquidez]]/(Tabla2[[#This Row],[Activos]]+Tabla2[[#This Row],[Liquidez]])+Tabla2[[#This Row],[Comunicación]])</f>
        <v>2.6991802205545272</v>
      </c>
      <c r="T90">
        <f ca="1">Tabla2[[#This Row],[Deuda actual]]*EXP(Tabla2[[#This Row],[Ki]]*Tabla2[[#This Row],[diferencia de días]])*(1+Tabla2[[#This Row],[Hg]])</f>
        <v>2538.995748373145</v>
      </c>
    </row>
    <row r="91" spans="1:20" ht="14.5" x14ac:dyDescent="0.35">
      <c r="A91">
        <f t="shared" si="11"/>
        <v>90</v>
      </c>
      <c r="B91">
        <f t="shared" ca="1" si="12"/>
        <v>46124</v>
      </c>
      <c r="C91">
        <f t="shared" ca="1" si="13"/>
        <v>46157</v>
      </c>
      <c r="D91">
        <f t="shared" ca="1" si="14"/>
        <v>8</v>
      </c>
      <c r="E91">
        <f t="shared" ca="1" si="15"/>
        <v>3.9826577522641404E-3</v>
      </c>
      <c r="F91">
        <f t="shared" ca="1" si="16"/>
        <v>272.42</v>
      </c>
      <c r="G91" t="str">
        <f t="shared" ca="1" si="17"/>
        <v>hipotecario</v>
      </c>
      <c r="H9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1" t="str">
        <f t="shared" ca="1" si="18"/>
        <v>Sí</v>
      </c>
      <c r="J9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1">
        <f ca="1">IF(Tabla2[[#This Row],[¿cliente deuda abierta?]]="Sí", Tabla2[[#This Row],[Deuda actual]]*Tabla2[[#This Row],[diferencia de días]], "0")</f>
        <v>2179.36</v>
      </c>
      <c r="L9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1">
        <f t="shared" ca="1" si="19"/>
        <v>1586.17</v>
      </c>
      <c r="P91">
        <f t="shared" ca="1" si="20"/>
        <v>189637.53</v>
      </c>
      <c r="Q91">
        <f t="shared" ca="1" si="21"/>
        <v>1</v>
      </c>
      <c r="R91">
        <f ca="1">((Tabla2[[#This Row],[Fantasma Comunicación]]+1)/(Tabla2[[#This Row],[Fantasma Comunicación]]+RANDBETWEEN(0,5)+2))-0.5</f>
        <v>-0.2142857142857143</v>
      </c>
      <c r="S91">
        <f ca="1">1+MAX(0,Tabla2[[#This Row],[Deuda actual]]/Tabla2[[#This Row],[Liquidez]]+Tabla2[[#This Row],[Liquidez]]/(Tabla2[[#This Row],[Activos]]+Tabla2[[#This Row],[Liquidez]])+Tabla2[[#This Row],[Comunicación]])</f>
        <v>1</v>
      </c>
      <c r="T91">
        <f ca="1">Tabla2[[#This Row],[Deuda actual]]*EXP(Tabla2[[#This Row],[Ki]]*Tabla2[[#This Row],[diferencia de días]])*(1+Tabla2[[#This Row],[Hg]])</f>
        <v>286.49903192782881</v>
      </c>
    </row>
    <row r="92" spans="1:20" ht="14.5" x14ac:dyDescent="0.35">
      <c r="A92">
        <f t="shared" si="11"/>
        <v>91</v>
      </c>
      <c r="B92">
        <f t="shared" ca="1" si="12"/>
        <v>46088</v>
      </c>
      <c r="C92">
        <f t="shared" ca="1" si="13"/>
        <v>46157</v>
      </c>
      <c r="D92">
        <f t="shared" ca="1" si="14"/>
        <v>0</v>
      </c>
      <c r="E92">
        <f t="shared" ca="1" si="15"/>
        <v>0.44672589642654692</v>
      </c>
      <c r="F92">
        <f t="shared" ca="1" si="16"/>
        <v>1103.67</v>
      </c>
      <c r="G92" t="str">
        <f t="shared" ca="1" si="17"/>
        <v>hipotecario</v>
      </c>
      <c r="H9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2" t="str">
        <f t="shared" ca="1" si="18"/>
        <v>No</v>
      </c>
      <c r="J9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164999.3945198227</v>
      </c>
      <c r="K92" t="str">
        <f ca="1">IF(Tabla2[[#This Row],[¿cliente deuda abierta?]]="Sí", Tabla2[[#This Row],[Deuda actual]]*Tabla2[[#This Row],[diferencia de días]], "0")</f>
        <v>0</v>
      </c>
      <c r="L9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2">
        <f t="shared" ca="1" si="19"/>
        <v>1197.07</v>
      </c>
      <c r="P92">
        <f t="shared" ca="1" si="20"/>
        <v>49692.05</v>
      </c>
      <c r="Q92">
        <f t="shared" ca="1" si="21"/>
        <v>0</v>
      </c>
      <c r="R92">
        <f ca="1">((Tabla2[[#This Row],[Fantasma Comunicación]]+1)/(Tabla2[[#This Row],[Fantasma Comunicación]]+RANDBETWEEN(0,5)+2))-0.5</f>
        <v>-0.16666666666666669</v>
      </c>
      <c r="S92">
        <f ca="1">1+MAX(0,Tabla2[[#This Row],[Deuda actual]]/Tabla2[[#This Row],[Liquidez]]+Tabla2[[#This Row],[Liquidez]]/(Tabla2[[#This Row],[Activos]]+Tabla2[[#This Row],[Liquidez]])+Tabla2[[#This Row],[Comunicación]])</f>
        <v>1.7788325945640659</v>
      </c>
      <c r="T92">
        <f ca="1">Tabla2[[#This Row],[Deuda actual]]*EXP(Tabla2[[#This Row],[Ki]]*Tabla2[[#This Row],[diferencia de días]])*(1+Tabla2[[#This Row],[Hg]])</f>
        <v>882.93600000000015</v>
      </c>
    </row>
    <row r="93" spans="1:20" ht="14.5" x14ac:dyDescent="0.35">
      <c r="A93">
        <f t="shared" si="11"/>
        <v>92</v>
      </c>
      <c r="B93">
        <f t="shared" ca="1" si="12"/>
        <v>46085</v>
      </c>
      <c r="C93">
        <f t="shared" ca="1" si="13"/>
        <v>46157</v>
      </c>
      <c r="D93">
        <f t="shared" ca="1" si="14"/>
        <v>1</v>
      </c>
      <c r="E93">
        <f t="shared" ca="1" si="15"/>
        <v>0.32494699001254124</v>
      </c>
      <c r="F93">
        <f t="shared" ca="1" si="16"/>
        <v>755.25</v>
      </c>
      <c r="G93" t="str">
        <f t="shared" ca="1" si="17"/>
        <v>personal</v>
      </c>
      <c r="H9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3" t="str">
        <f t="shared" ca="1" si="18"/>
        <v>No</v>
      </c>
      <c r="J9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12001.178635205801</v>
      </c>
      <c r="K93" t="str">
        <f ca="1">IF(Tabla2[[#This Row],[¿cliente deuda abierta?]]="Sí", Tabla2[[#This Row],[Deuda actual]]*Tabla2[[#This Row],[diferencia de días]], "0")</f>
        <v>0</v>
      </c>
      <c r="L9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9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93">
        <f t="shared" ca="1" si="19"/>
        <v>1349.02</v>
      </c>
      <c r="P93">
        <f t="shared" ca="1" si="20"/>
        <v>244652.28</v>
      </c>
      <c r="Q93">
        <f t="shared" ca="1" si="21"/>
        <v>1</v>
      </c>
      <c r="R93">
        <f ca="1">((Tabla2[[#This Row],[Fantasma Comunicación]]+1)/(Tabla2[[#This Row],[Fantasma Comunicación]]+RANDBETWEEN(0,5)+2))-0.5</f>
        <v>0</v>
      </c>
      <c r="S93">
        <f ca="1">1+MAX(0,Tabla2[[#This Row],[Deuda actual]]/Tabla2[[#This Row],[Liquidez]]+Tabla2[[#This Row],[Liquidez]]/(Tabla2[[#This Row],[Activos]]+Tabla2[[#This Row],[Liquidez]])+Tabla2[[#This Row],[Comunicación]])</f>
        <v>1.5653346468533409</v>
      </c>
      <c r="T93">
        <f ca="1">Tabla2[[#This Row],[Deuda actual]]*EXP(Tabla2[[#This Row],[Ki]]*Tabla2[[#This Row],[diferencia de días]])*(1+Tabla2[[#This Row],[Hg]])</f>
        <v>679.86095859540637</v>
      </c>
    </row>
    <row r="94" spans="1:20" ht="14.5" x14ac:dyDescent="0.35">
      <c r="A94">
        <f t="shared" si="11"/>
        <v>93</v>
      </c>
      <c r="B94">
        <f t="shared" ca="1" si="12"/>
        <v>46092</v>
      </c>
      <c r="C94">
        <f t="shared" ca="1" si="13"/>
        <v>46157</v>
      </c>
      <c r="D94">
        <f t="shared" ca="1" si="14"/>
        <v>18</v>
      </c>
      <c r="E94">
        <f t="shared" ca="1" si="15"/>
        <v>0.50620809942145384</v>
      </c>
      <c r="F94">
        <f t="shared" ca="1" si="16"/>
        <v>1275.6600000000001</v>
      </c>
      <c r="G94" t="str">
        <f t="shared" ca="1" si="17"/>
        <v>personal</v>
      </c>
      <c r="H9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4" t="str">
        <f t="shared" ca="1" si="18"/>
        <v>Sí</v>
      </c>
      <c r="J9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4">
        <f ca="1">IF(Tabla2[[#This Row],[¿cliente deuda abierta?]]="Sí", Tabla2[[#This Row],[Deuda actual]]*Tabla2[[#This Row],[diferencia de días]], "0")</f>
        <v>22961.88</v>
      </c>
      <c r="L9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4">
        <f t="shared" ca="1" si="19"/>
        <v>1517.78</v>
      </c>
      <c r="P94">
        <f t="shared" ca="1" si="20"/>
        <v>44841.37</v>
      </c>
      <c r="Q94">
        <f t="shared" ca="1" si="21"/>
        <v>3</v>
      </c>
      <c r="R94">
        <f ca="1">((Tabla2[[#This Row],[Fantasma Comunicación]]+1)/(Tabla2[[#This Row],[Fantasma Comunicación]]+RANDBETWEEN(0,5)+2))-0.5</f>
        <v>0.30000000000000004</v>
      </c>
      <c r="S94">
        <f ca="1">1+MAX(0,Tabla2[[#This Row],[Deuda actual]]/Tabla2[[#This Row],[Liquidez]]+Tabla2[[#This Row],[Liquidez]]/(Tabla2[[#This Row],[Activos]]+Tabla2[[#This Row],[Liquidez]])+Tabla2[[#This Row],[Comunicación]])</f>
        <v>2.1732171389746204</v>
      </c>
      <c r="T94">
        <f ca="1">Tabla2[[#This Row],[Deuda actual]]*EXP(Tabla2[[#This Row],[Ki]]*Tabla2[[#This Row],[diferencia de días]])*(1+Tabla2[[#This Row],[Hg]])</f>
        <v>1349.1217914368299</v>
      </c>
    </row>
    <row r="95" spans="1:20" ht="14.5" x14ac:dyDescent="0.35">
      <c r="A95">
        <f t="shared" si="11"/>
        <v>94</v>
      </c>
      <c r="B95">
        <f t="shared" ca="1" si="12"/>
        <v>46090</v>
      </c>
      <c r="C95">
        <f t="shared" ca="1" si="13"/>
        <v>46157</v>
      </c>
      <c r="D95">
        <f t="shared" ca="1" si="14"/>
        <v>21</v>
      </c>
      <c r="E95">
        <f t="shared" ca="1" si="15"/>
        <v>0.7439036714276559</v>
      </c>
      <c r="F95">
        <f t="shared" ca="1" si="16"/>
        <v>303.2</v>
      </c>
      <c r="G95" t="str">
        <f t="shared" ca="1" si="17"/>
        <v>personal</v>
      </c>
      <c r="H9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5" t="str">
        <f t="shared" ca="1" si="18"/>
        <v>Sí</v>
      </c>
      <c r="J9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5">
        <f ca="1">IF(Tabla2[[#This Row],[¿cliente deuda abierta?]]="Sí", Tabla2[[#This Row],[Deuda actual]]*Tabla2[[#This Row],[diferencia de días]], "0")</f>
        <v>6367.2</v>
      </c>
      <c r="L9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5">
        <f t="shared" ca="1" si="19"/>
        <v>1353.11</v>
      </c>
      <c r="P95">
        <f t="shared" ca="1" si="20"/>
        <v>119745.57</v>
      </c>
      <c r="Q95">
        <f t="shared" ca="1" si="21"/>
        <v>1</v>
      </c>
      <c r="R95">
        <f ca="1">((Tabla2[[#This Row],[Fantasma Comunicación]]+1)/(Tabla2[[#This Row],[Fantasma Comunicación]]+RANDBETWEEN(0,5)+2))-0.5</f>
        <v>0</v>
      </c>
      <c r="S95">
        <f ca="1">1+MAX(0,Tabla2[[#This Row],[Deuda actual]]/Tabla2[[#This Row],[Liquidez]]+Tabla2[[#This Row],[Liquidez]]/(Tabla2[[#This Row],[Activos]]+Tabla2[[#This Row],[Liquidez]])+Tabla2[[#This Row],[Comunicación]])</f>
        <v>1.2352500017643024</v>
      </c>
      <c r="T95">
        <f ca="1">Tabla2[[#This Row],[Deuda actual]]*EXP(Tabla2[[#This Row],[Ki]]*Tabla2[[#This Row],[diferencia de días]])*(1+Tabla2[[#This Row],[Hg]])</f>
        <v>321.04548725582805</v>
      </c>
    </row>
    <row r="96" spans="1:20" ht="14.5" x14ac:dyDescent="0.35">
      <c r="A96">
        <f t="shared" si="11"/>
        <v>95</v>
      </c>
      <c r="B96">
        <f t="shared" ca="1" si="12"/>
        <v>46104</v>
      </c>
      <c r="C96">
        <f t="shared" ca="1" si="13"/>
        <v>46157</v>
      </c>
      <c r="D96">
        <f t="shared" ca="1" si="14"/>
        <v>15</v>
      </c>
      <c r="E96">
        <f t="shared" ca="1" si="15"/>
        <v>0.61747965383240289</v>
      </c>
      <c r="F96">
        <f t="shared" ca="1" si="16"/>
        <v>189.55</v>
      </c>
      <c r="G96" t="str">
        <f t="shared" ca="1" si="17"/>
        <v>personal</v>
      </c>
      <c r="H9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6" t="str">
        <f t="shared" ca="1" si="18"/>
        <v>Sí</v>
      </c>
      <c r="J9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6">
        <f ca="1">IF(Tabla2[[#This Row],[¿cliente deuda abierta?]]="Sí", Tabla2[[#This Row],[Deuda actual]]*Tabla2[[#This Row],[diferencia de días]], "0")</f>
        <v>2843.25</v>
      </c>
      <c r="L9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6">
        <f t="shared" ca="1" si="19"/>
        <v>1710.08</v>
      </c>
      <c r="P96">
        <f t="shared" ca="1" si="20"/>
        <v>77556.59</v>
      </c>
      <c r="Q96">
        <f t="shared" ca="1" si="21"/>
        <v>1</v>
      </c>
      <c r="R96">
        <f ca="1">((Tabla2[[#This Row],[Fantasma Comunicación]]+1)/(Tabla2[[#This Row],[Fantasma Comunicación]]+RANDBETWEEN(0,5)+2))-0.5</f>
        <v>-0.16666666666666669</v>
      </c>
      <c r="S96">
        <f ca="1">1+MAX(0,Tabla2[[#This Row],[Deuda actual]]/Tabla2[[#This Row],[Liquidez]]+Tabla2[[#This Row],[Liquidez]]/(Tabla2[[#This Row],[Activos]]+Tabla2[[#This Row],[Liquidez]])+Tabla2[[#This Row],[Comunicación]])</f>
        <v>1</v>
      </c>
      <c r="T96">
        <f ca="1">Tabla2[[#This Row],[Deuda actual]]*EXP(Tabla2[[#This Row],[Ki]]*Tabla2[[#This Row],[diferencia de días]])*(1+Tabla2[[#This Row],[Hg]])</f>
        <v>200.22525467075042</v>
      </c>
    </row>
    <row r="97" spans="1:20" ht="14.5" x14ac:dyDescent="0.35">
      <c r="A97">
        <f t="shared" si="11"/>
        <v>96</v>
      </c>
      <c r="B97">
        <f t="shared" ca="1" si="12"/>
        <v>46085</v>
      </c>
      <c r="C97">
        <f t="shared" ca="1" si="13"/>
        <v>46157</v>
      </c>
      <c r="D97">
        <f t="shared" ca="1" si="14"/>
        <v>25</v>
      </c>
      <c r="E97">
        <f t="shared" ca="1" si="15"/>
        <v>0.64706392699179938</v>
      </c>
      <c r="F97">
        <f t="shared" ca="1" si="16"/>
        <v>967.36</v>
      </c>
      <c r="G97" t="str">
        <f t="shared" ca="1" si="17"/>
        <v>hipotecario</v>
      </c>
      <c r="H9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7" t="str">
        <f t="shared" ca="1" si="18"/>
        <v>No</v>
      </c>
      <c r="J9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164999.60325062805</v>
      </c>
      <c r="K97" t="str">
        <f ca="1">IF(Tabla2[[#This Row],[¿cliente deuda abierta?]]="Sí", Tabla2[[#This Row],[Deuda actual]]*Tabla2[[#This Row],[diferencia de días]], "0")</f>
        <v>0</v>
      </c>
      <c r="L9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7">
        <f t="shared" ca="1" si="19"/>
        <v>1113.6500000000001</v>
      </c>
      <c r="P97">
        <f t="shared" ca="1" si="20"/>
        <v>222100.83</v>
      </c>
      <c r="Q97">
        <f t="shared" ca="1" si="21"/>
        <v>4</v>
      </c>
      <c r="R97">
        <f ca="1">((Tabla2[[#This Row],[Fantasma Comunicación]]+1)/(Tabla2[[#This Row],[Fantasma Comunicación]]+RANDBETWEEN(0,5)+2))-0.5</f>
        <v>0.33333333333333337</v>
      </c>
      <c r="S97">
        <f ca="1">1+MAX(0,Tabla2[[#This Row],[Deuda actual]]/Tabla2[[#This Row],[Liquidez]]+Tabla2[[#This Row],[Liquidez]]/(Tabla2[[#This Row],[Activos]]+Tabla2[[#This Row],[Liquidez]])+Tabla2[[#This Row],[Comunicación]])</f>
        <v>2.2069616405112749</v>
      </c>
      <c r="T97">
        <f ca="1">Tabla2[[#This Row],[Deuda actual]]*EXP(Tabla2[[#This Row],[Ki]]*Tabla2[[#This Row],[diferencia de días]])*(1+Tabla2[[#This Row],[Hg]])</f>
        <v>781.66570370443264</v>
      </c>
    </row>
    <row r="98" spans="1:20" ht="14.5" x14ac:dyDescent="0.35">
      <c r="A98">
        <f t="shared" si="11"/>
        <v>97</v>
      </c>
      <c r="B98">
        <f t="shared" ca="1" si="12"/>
        <v>46082</v>
      </c>
      <c r="C98">
        <f t="shared" ca="1" si="13"/>
        <v>46157</v>
      </c>
      <c r="D98">
        <f t="shared" ca="1" si="14"/>
        <v>30</v>
      </c>
      <c r="E98">
        <f t="shared" ca="1" si="15"/>
        <v>0.2866364878725538</v>
      </c>
      <c r="F98">
        <f t="shared" ca="1" si="16"/>
        <v>1712.28</v>
      </c>
      <c r="G98" t="str">
        <f t="shared" ca="1" si="17"/>
        <v>personal</v>
      </c>
      <c r="H9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98" t="str">
        <f t="shared" ca="1" si="18"/>
        <v>No</v>
      </c>
      <c r="J9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12000.065365893928</v>
      </c>
      <c r="K98" t="str">
        <f ca="1">IF(Tabla2[[#This Row],[¿cliente deuda abierta?]]="Sí", Tabla2[[#This Row],[Deuda actual]]*Tabla2[[#This Row],[diferencia de días]], "0")</f>
        <v>0</v>
      </c>
      <c r="L9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9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98">
        <f t="shared" ca="1" si="19"/>
        <v>2629.97</v>
      </c>
      <c r="P98">
        <f t="shared" ca="1" si="20"/>
        <v>89955.21</v>
      </c>
      <c r="Q98">
        <f t="shared" ca="1" si="21"/>
        <v>0</v>
      </c>
      <c r="R98">
        <f ca="1">((Tabla2[[#This Row],[Fantasma Comunicación]]+1)/(Tabla2[[#This Row],[Fantasma Comunicación]]+RANDBETWEEN(0,5)+2))-0.5</f>
        <v>-0.35714285714285715</v>
      </c>
      <c r="S98">
        <f ca="1">1+MAX(0,Tabla2[[#This Row],[Deuda actual]]/Tabla2[[#This Row],[Liquidez]]+Tabla2[[#This Row],[Liquidez]]/(Tabla2[[#This Row],[Activos]]+Tabla2[[#This Row],[Liquidez]])+Tabla2[[#This Row],[Comunicación]])</f>
        <v>1.3223275537352215</v>
      </c>
      <c r="T98">
        <f ca="1">Tabla2[[#This Row],[Deuda actual]]*EXP(Tabla2[[#This Row],[Ki]]*Tabla2[[#This Row],[diferencia de días]])*(1+Tabla2[[#This Row],[Hg]])</f>
        <v>1587.9840204581351</v>
      </c>
    </row>
    <row r="99" spans="1:20" ht="14.5" x14ac:dyDescent="0.35">
      <c r="A99">
        <f t="shared" si="11"/>
        <v>98</v>
      </c>
      <c r="B99">
        <f t="shared" ca="1" si="12"/>
        <v>46142</v>
      </c>
      <c r="C99">
        <f t="shared" ca="1" si="13"/>
        <v>46157</v>
      </c>
      <c r="D99">
        <f t="shared" ca="1" si="14"/>
        <v>10</v>
      </c>
      <c r="E99">
        <f t="shared" ca="1" si="15"/>
        <v>2.8388458687466422E-2</v>
      </c>
      <c r="F99">
        <f t="shared" ca="1" si="16"/>
        <v>358.65</v>
      </c>
      <c r="G99" t="str">
        <f t="shared" ca="1" si="17"/>
        <v>hipotecario</v>
      </c>
      <c r="H9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9" t="str">
        <f t="shared" ca="1" si="18"/>
        <v>Sí</v>
      </c>
      <c r="J9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9">
        <f ca="1">IF(Tabla2[[#This Row],[¿cliente deuda abierta?]]="Sí", Tabla2[[#This Row],[Deuda actual]]*Tabla2[[#This Row],[diferencia de días]], "0")</f>
        <v>3586.5</v>
      </c>
      <c r="L9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9">
        <f t="shared" ca="1" si="19"/>
        <v>1797.84</v>
      </c>
      <c r="P99">
        <f t="shared" ca="1" si="20"/>
        <v>558896.64000000001</v>
      </c>
      <c r="Q99">
        <f t="shared" ca="1" si="21"/>
        <v>1</v>
      </c>
      <c r="R99">
        <f ca="1">((Tabla2[[#This Row],[Fantasma Comunicación]]+1)/(Tabla2[[#This Row],[Fantasma Comunicación]]+RANDBETWEEN(0,5)+2))-0.5</f>
        <v>-0.25</v>
      </c>
      <c r="S99">
        <f ca="1">1+MAX(0,Tabla2[[#This Row],[Deuda actual]]/Tabla2[[#This Row],[Liquidez]]+Tabla2[[#This Row],[Liquidez]]/(Tabla2[[#This Row],[Activos]]+Tabla2[[#This Row],[Liquidez]])+Tabla2[[#This Row],[Comunicación]])</f>
        <v>1</v>
      </c>
      <c r="T99">
        <f ca="1">Tabla2[[#This Row],[Deuda actual]]*EXP(Tabla2[[#This Row],[Ki]]*Tabla2[[#This Row],[diferencia de días]])*(1+Tabla2[[#This Row],[Hg]])</f>
        <v>377.33641866736116</v>
      </c>
    </row>
    <row r="100" spans="1:20" ht="14.5" x14ac:dyDescent="0.35">
      <c r="A100">
        <f t="shared" si="11"/>
        <v>99</v>
      </c>
      <c r="B100">
        <f t="shared" ca="1" si="12"/>
        <v>46084</v>
      </c>
      <c r="C100">
        <f t="shared" ca="1" si="13"/>
        <v>46157</v>
      </c>
      <c r="D100">
        <f t="shared" ca="1" si="14"/>
        <v>30</v>
      </c>
      <c r="E100">
        <f t="shared" ca="1" si="15"/>
        <v>0.63902535175126352</v>
      </c>
      <c r="F100">
        <f t="shared" ca="1" si="16"/>
        <v>125.78</v>
      </c>
      <c r="G100" t="str">
        <f t="shared" ca="1" si="17"/>
        <v>hipotecario</v>
      </c>
      <c r="H10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100" t="str">
        <f t="shared" ca="1" si="18"/>
        <v>Sí</v>
      </c>
      <c r="J10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00">
        <f ca="1">IF(Tabla2[[#This Row],[¿cliente deuda abierta?]]="Sí", Tabla2[[#This Row],[Deuda actual]]*Tabla2[[#This Row],[diferencia de días]], "0")</f>
        <v>3773.4</v>
      </c>
      <c r="L10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0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0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00">
        <f t="shared" ca="1" si="19"/>
        <v>1474.84</v>
      </c>
      <c r="P100">
        <f t="shared" ca="1" si="20"/>
        <v>55841.86</v>
      </c>
      <c r="Q100">
        <f t="shared" ca="1" si="21"/>
        <v>1</v>
      </c>
      <c r="R100">
        <f ca="1">((Tabla2[[#This Row],[Fantasma Comunicación]]+1)/(Tabla2[[#This Row],[Fantasma Comunicación]]+RANDBETWEEN(0,5)+2))-0.5</f>
        <v>-0.16666666666666669</v>
      </c>
      <c r="S100">
        <f ca="1">1+MAX(0,Tabla2[[#This Row],[Deuda actual]]/Tabla2[[#This Row],[Liquidez]]+Tabla2[[#This Row],[Liquidez]]/(Tabla2[[#This Row],[Activos]]+Tabla2[[#This Row],[Liquidez]])+Tabla2[[#This Row],[Comunicación]])</f>
        <v>1</v>
      </c>
      <c r="T100">
        <f ca="1">Tabla2[[#This Row],[Deuda actual]]*EXP(Tabla2[[#This Row],[Ki]]*Tabla2[[#This Row],[diferencia de días]])*(1+Tabla2[[#This Row],[Hg]])</f>
        <v>136.09109984470703</v>
      </c>
    </row>
    <row r="101" spans="1:20" ht="14.5" x14ac:dyDescent="0.35">
      <c r="A101">
        <f t="shared" si="11"/>
        <v>100</v>
      </c>
      <c r="B101">
        <f t="shared" ca="1" si="12"/>
        <v>46118</v>
      </c>
      <c r="C101">
        <f t="shared" ca="1" si="13"/>
        <v>46157</v>
      </c>
      <c r="D101">
        <f t="shared" ca="1" si="14"/>
        <v>33</v>
      </c>
      <c r="E101">
        <f t="shared" ca="1" si="15"/>
        <v>0.14751825014117415</v>
      </c>
      <c r="F101">
        <f t="shared" ca="1" si="16"/>
        <v>55.68</v>
      </c>
      <c r="G101" t="str">
        <f t="shared" ca="1" si="17"/>
        <v>hipotecario</v>
      </c>
      <c r="H10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101" t="str">
        <f t="shared" ca="1" si="18"/>
        <v>Sí</v>
      </c>
      <c r="J10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01">
        <f ca="1">IF(Tabla2[[#This Row],[¿cliente deuda abierta?]]="Sí", Tabla2[[#This Row],[Deuda actual]]*Tabla2[[#This Row],[diferencia de días]], "0")</f>
        <v>1837.44</v>
      </c>
      <c r="L10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0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0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01">
        <f t="shared" ca="1" si="19"/>
        <v>1696.83</v>
      </c>
      <c r="P101">
        <f t="shared" ca="1" si="20"/>
        <v>103780.05</v>
      </c>
      <c r="Q101">
        <f t="shared" ca="1" si="21"/>
        <v>2</v>
      </c>
      <c r="R101">
        <f ca="1">((Tabla2[[#This Row],[Fantasma Comunicación]]+1)/(Tabla2[[#This Row],[Fantasma Comunicación]]+RANDBETWEEN(0,5)+2))-0.5</f>
        <v>9.9999999999999978E-2</v>
      </c>
      <c r="S101">
        <f ca="1">1+MAX(0,Tabla2[[#This Row],[Deuda actual]]/Tabla2[[#This Row],[Liquidez]]+Tabla2[[#This Row],[Liquidez]]/(Tabla2[[#This Row],[Activos]]+Tabla2[[#This Row],[Liquidez]])+Tabla2[[#This Row],[Comunicación]])</f>
        <v>1.1489013520251177</v>
      </c>
      <c r="T101">
        <f ca="1">Tabla2[[#This Row],[Deuda actual]]*EXP(Tabla2[[#This Row],[Ki]]*Tabla2[[#This Row],[diferencia de días]])*(1+Tabla2[[#This Row],[Hg]])</f>
        <v>60.425498726203692</v>
      </c>
    </row>
    <row r="102" spans="1:20" ht="14.5" x14ac:dyDescent="0.35">
      <c r="A102">
        <f t="shared" si="11"/>
        <v>101</v>
      </c>
      <c r="B102">
        <f t="shared" ca="1" si="12"/>
        <v>46130</v>
      </c>
      <c r="C102">
        <f t="shared" ca="1" si="13"/>
        <v>46157</v>
      </c>
      <c r="D102">
        <f t="shared" ca="1" si="14"/>
        <v>32</v>
      </c>
      <c r="E102">
        <f t="shared" ca="1" si="15"/>
        <v>0.60640287575034535</v>
      </c>
      <c r="F102">
        <f t="shared" ca="1" si="16"/>
        <v>3379.65</v>
      </c>
      <c r="G102" t="str">
        <f t="shared" ca="1" si="17"/>
        <v>personal</v>
      </c>
      <c r="H10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102" t="str">
        <f t="shared" ca="1" si="18"/>
        <v>Sí</v>
      </c>
      <c r="J10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02">
        <f ca="1">IF(Tabla2[[#This Row],[¿cliente deuda abierta?]]="Sí", Tabla2[[#This Row],[Deuda actual]]*Tabla2[[#This Row],[diferencia de días]], "0")</f>
        <v>108148.8</v>
      </c>
      <c r="L10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10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02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102">
        <f t="shared" ca="1" si="19"/>
        <v>2054.7199999999998</v>
      </c>
      <c r="P102">
        <f t="shared" ca="1" si="20"/>
        <v>206974.6</v>
      </c>
      <c r="Q102">
        <f t="shared" ca="1" si="21"/>
        <v>1</v>
      </c>
      <c r="R102">
        <f ca="1">((Tabla2[[#This Row],[Fantasma Comunicación]]+1)/(Tabla2[[#This Row],[Fantasma Comunicación]]+RANDBETWEEN(0,5)+2))-0.5</f>
        <v>-0.25</v>
      </c>
      <c r="S102">
        <f ca="1">1+MAX(0,Tabla2[[#This Row],[Deuda actual]]/Tabla2[[#This Row],[Liquidez]]+Tabla2[[#This Row],[Liquidez]]/(Tabla2[[#This Row],[Activos]]+Tabla2[[#This Row],[Liquidez]])+Tabla2[[#This Row],[Comunicación]])</f>
        <v>2.4046524694107418</v>
      </c>
      <c r="T102">
        <f ca="1">Tabla2[[#This Row],[Deuda actual]]*EXP(Tabla2[[#This Row],[Ki]]*Tabla2[[#This Row],[diferencia de días]])*(1+Tabla2[[#This Row],[Hg]])</f>
        <v>4012.9799548251094</v>
      </c>
    </row>
    <row r="103" spans="1:20" ht="14.5" x14ac:dyDescent="0.35">
      <c r="A103">
        <f t="shared" si="11"/>
        <v>102</v>
      </c>
      <c r="B103">
        <f t="shared" ca="1" si="12"/>
        <v>46083</v>
      </c>
      <c r="C103">
        <f t="shared" ca="1" si="13"/>
        <v>46157</v>
      </c>
      <c r="D103">
        <f t="shared" ca="1" si="14"/>
        <v>0</v>
      </c>
      <c r="E103">
        <f t="shared" ca="1" si="15"/>
        <v>7.331686529169712E-2</v>
      </c>
      <c r="F103">
        <f t="shared" ca="1" si="16"/>
        <v>612.45000000000005</v>
      </c>
      <c r="G103" t="str">
        <f t="shared" ca="1" si="17"/>
        <v>hipotecario</v>
      </c>
      <c r="H10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03" t="str">
        <f t="shared" ca="1" si="18"/>
        <v>Sí</v>
      </c>
      <c r="J10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03">
        <f ca="1">IF(Tabla2[[#This Row],[¿cliente deuda abierta?]]="Sí", Tabla2[[#This Row],[Deuda actual]]*Tabla2[[#This Row],[diferencia de días]], "0")</f>
        <v>0</v>
      </c>
      <c r="L10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0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03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103">
        <f t="shared" ca="1" si="19"/>
        <v>1378.09</v>
      </c>
      <c r="P103">
        <f t="shared" ca="1" si="20"/>
        <v>86201.46</v>
      </c>
      <c r="Q103">
        <f t="shared" ca="1" si="21"/>
        <v>5</v>
      </c>
      <c r="R103">
        <f ca="1">((Tabla2[[#This Row],[Fantasma Comunicación]]+1)/(Tabla2[[#This Row],[Fantasma Comunicación]]+RANDBETWEEN(0,5)+2))-0.5</f>
        <v>0.3571428571428571</v>
      </c>
      <c r="S103">
        <f ca="1">1+MAX(0,Tabla2[[#This Row],[Deuda actual]]/Tabla2[[#This Row],[Liquidez]]+Tabla2[[#This Row],[Liquidez]]/(Tabla2[[#This Row],[Activos]]+Tabla2[[#This Row],[Liquidez]])+Tabla2[[#This Row],[Comunicación]])</f>
        <v>1.8172976016208595</v>
      </c>
      <c r="T103">
        <f ca="1">Tabla2[[#This Row],[Deuda actual]]*EXP(Tabla2[[#This Row],[Ki]]*Tabla2[[#This Row],[diferencia de días]])*(1+Tabla2[[#This Row],[Hg]])</f>
        <v>612.45000000000005</v>
      </c>
    </row>
    <row r="104" spans="1:20" ht="14.5" x14ac:dyDescent="0.35">
      <c r="A104">
        <f t="shared" si="11"/>
        <v>103</v>
      </c>
      <c r="B104">
        <f t="shared" ca="1" si="12"/>
        <v>46090</v>
      </c>
      <c r="C104">
        <f t="shared" ca="1" si="13"/>
        <v>46157</v>
      </c>
      <c r="D104">
        <f t="shared" ca="1" si="14"/>
        <v>4</v>
      </c>
      <c r="E104">
        <f t="shared" ca="1" si="15"/>
        <v>0.42250137939757249</v>
      </c>
      <c r="F104">
        <f t="shared" ca="1" si="16"/>
        <v>234.81</v>
      </c>
      <c r="G104" t="str">
        <f t="shared" ca="1" si="17"/>
        <v>hipotecario</v>
      </c>
      <c r="H10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04" t="str">
        <f t="shared" ca="1" si="18"/>
        <v>Sí</v>
      </c>
      <c r="J10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04">
        <f ca="1">IF(Tabla2[[#This Row],[¿cliente deuda abierta?]]="Sí", Tabla2[[#This Row],[Deuda actual]]*Tabla2[[#This Row],[diferencia de días]], "0")</f>
        <v>939.24</v>
      </c>
      <c r="L10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0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0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04">
        <f t="shared" ca="1" si="19"/>
        <v>1770.73</v>
      </c>
      <c r="P104">
        <f t="shared" ca="1" si="20"/>
        <v>211071.28</v>
      </c>
      <c r="Q104">
        <f t="shared" ca="1" si="21"/>
        <v>1</v>
      </c>
      <c r="R104">
        <f ca="1">((Tabla2[[#This Row],[Fantasma Comunicación]]+1)/(Tabla2[[#This Row],[Fantasma Comunicación]]+RANDBETWEEN(0,5)+2))-0.5</f>
        <v>-9.9999999999999978E-2</v>
      </c>
      <c r="S104">
        <f ca="1">1+MAX(0,Tabla2[[#This Row],[Deuda actual]]/Tabla2[[#This Row],[Liquidez]]+Tabla2[[#This Row],[Liquidez]]/(Tabla2[[#This Row],[Activos]]+Tabla2[[#This Row],[Liquidez]])+Tabla2[[#This Row],[Comunicación]])</f>
        <v>1.0409257834394166</v>
      </c>
      <c r="T104">
        <f ca="1">Tabla2[[#This Row],[Deuda actual]]*EXP(Tabla2[[#This Row],[Ki]]*Tabla2[[#This Row],[diferencia de días]])*(1+Tabla2[[#This Row],[Hg]])</f>
        <v>246.74781931720318</v>
      </c>
    </row>
    <row r="105" spans="1:20" ht="14.5" x14ac:dyDescent="0.35">
      <c r="A105">
        <f t="shared" si="11"/>
        <v>104</v>
      </c>
      <c r="B105">
        <f t="shared" ca="1" si="12"/>
        <v>46104</v>
      </c>
      <c r="C105">
        <f t="shared" ca="1" si="13"/>
        <v>46157</v>
      </c>
      <c r="D105">
        <f t="shared" ca="1" si="14"/>
        <v>15</v>
      </c>
      <c r="E105">
        <f t="shared" ca="1" si="15"/>
        <v>9.3671414677692133E-2</v>
      </c>
      <c r="F105">
        <f t="shared" ca="1" si="16"/>
        <v>910.03</v>
      </c>
      <c r="G105" t="str">
        <f t="shared" ca="1" si="17"/>
        <v>personal</v>
      </c>
      <c r="H10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05" t="str">
        <f t="shared" ca="1" si="18"/>
        <v>Sí</v>
      </c>
      <c r="J10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05">
        <f ca="1">IF(Tabla2[[#This Row],[¿cliente deuda abierta?]]="Sí", Tabla2[[#This Row],[Deuda actual]]*Tabla2[[#This Row],[diferencia de días]], "0")</f>
        <v>13650.449999999999</v>
      </c>
      <c r="L10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0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0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05">
        <f t="shared" ca="1" si="19"/>
        <v>1950.38</v>
      </c>
      <c r="P105">
        <f t="shared" ca="1" si="20"/>
        <v>172269.91</v>
      </c>
      <c r="Q105">
        <f t="shared" ca="1" si="21"/>
        <v>3</v>
      </c>
      <c r="R105">
        <f ca="1">((Tabla2[[#This Row],[Fantasma Comunicación]]+1)/(Tabla2[[#This Row],[Fantasma Comunicación]]+RANDBETWEEN(0,5)+2))-0.5</f>
        <v>0.16666666666666663</v>
      </c>
      <c r="S105">
        <f ca="1">1+MAX(0,Tabla2[[#This Row],[Deuda actual]]/Tabla2[[#This Row],[Liquidez]]+Tabla2[[#This Row],[Liquidez]]/(Tabla2[[#This Row],[Activos]]+Tabla2[[#This Row],[Liquidez]])+Tabla2[[#This Row],[Comunicación]])</f>
        <v>1.6444526998196261</v>
      </c>
      <c r="T105">
        <f ca="1">Tabla2[[#This Row],[Deuda actual]]*EXP(Tabla2[[#This Row],[Ki]]*Tabla2[[#This Row],[diferencia de días]])*(1+Tabla2[[#This Row],[Hg]])</f>
        <v>961.28192301779472</v>
      </c>
    </row>
    <row r="106" spans="1:20" ht="14.5" x14ac:dyDescent="0.35">
      <c r="A106">
        <f t="shared" si="11"/>
        <v>105</v>
      </c>
      <c r="B106">
        <f t="shared" ca="1" si="12"/>
        <v>46143</v>
      </c>
      <c r="C106">
        <f t="shared" ca="1" si="13"/>
        <v>46157</v>
      </c>
      <c r="D106">
        <f t="shared" ca="1" si="14"/>
        <v>6</v>
      </c>
      <c r="E106">
        <f t="shared" ca="1" si="15"/>
        <v>9.589864834442452E-2</v>
      </c>
      <c r="F106">
        <f t="shared" ca="1" si="16"/>
        <v>2137.5700000000002</v>
      </c>
      <c r="G106" t="str">
        <f t="shared" ca="1" si="17"/>
        <v>hipotecario</v>
      </c>
      <c r="H10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06" t="str">
        <f t="shared" ca="1" si="18"/>
        <v>No</v>
      </c>
      <c r="J10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165000.52590186422</v>
      </c>
      <c r="K106" t="str">
        <f ca="1">IF(Tabla2[[#This Row],[¿cliente deuda abierta?]]="Sí", Tabla2[[#This Row],[Deuda actual]]*Tabla2[[#This Row],[diferencia de días]], "0")</f>
        <v>0</v>
      </c>
      <c r="L10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0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06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06">
        <f t="shared" ca="1" si="19"/>
        <v>1644.71</v>
      </c>
      <c r="P106">
        <f t="shared" ca="1" si="20"/>
        <v>41787.199999999997</v>
      </c>
      <c r="Q106">
        <f t="shared" ca="1" si="21"/>
        <v>4</v>
      </c>
      <c r="R106">
        <f ca="1">((Tabla2[[#This Row],[Fantasma Comunicación]]+1)/(Tabla2[[#This Row],[Fantasma Comunicación]]+RANDBETWEEN(0,5)+2))-0.5</f>
        <v>-4.545454545454547E-2</v>
      </c>
      <c r="S106">
        <f ca="1">1+MAX(0,Tabla2[[#This Row],[Deuda actual]]/Tabla2[[#This Row],[Liquidez]]+Tabla2[[#This Row],[Liquidez]]/(Tabla2[[#This Row],[Activos]]+Tabla2[[#This Row],[Liquidez]])+Tabla2[[#This Row],[Comunicación]])</f>
        <v>2.2920779257439294</v>
      </c>
      <c r="T106">
        <f ca="1">Tabla2[[#This Row],[Deuda actual]]*EXP(Tabla2[[#This Row],[Ki]]*Tabla2[[#This Row],[diferencia de días]])*(1+Tabla2[[#This Row],[Hg]])</f>
        <v>1712.1092989329638</v>
      </c>
    </row>
    <row r="107" spans="1:20" ht="14.5" x14ac:dyDescent="0.35">
      <c r="A107">
        <f t="shared" si="11"/>
        <v>106</v>
      </c>
      <c r="B107">
        <f t="shared" ca="1" si="12"/>
        <v>46111</v>
      </c>
      <c r="C107">
        <f t="shared" ca="1" si="13"/>
        <v>46157</v>
      </c>
      <c r="D107">
        <f t="shared" ca="1" si="14"/>
        <v>0</v>
      </c>
      <c r="E107">
        <f t="shared" ca="1" si="15"/>
        <v>0.81852460220311418</v>
      </c>
      <c r="F107">
        <f t="shared" ca="1" si="16"/>
        <v>741.68</v>
      </c>
      <c r="G107" t="str">
        <f t="shared" ca="1" si="17"/>
        <v>hipotecario</v>
      </c>
      <c r="H10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07" t="str">
        <f t="shared" ca="1" si="18"/>
        <v>Sí</v>
      </c>
      <c r="J10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07">
        <f ca="1">IF(Tabla2[[#This Row],[¿cliente deuda abierta?]]="Sí", Tabla2[[#This Row],[Deuda actual]]*Tabla2[[#This Row],[diferencia de días]], "0")</f>
        <v>0</v>
      </c>
      <c r="L10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0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07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107">
        <f t="shared" ca="1" si="19"/>
        <v>1455.91</v>
      </c>
      <c r="P107">
        <f t="shared" ca="1" si="20"/>
        <v>145013.01</v>
      </c>
      <c r="Q107">
        <f t="shared" ca="1" si="21"/>
        <v>2</v>
      </c>
      <c r="R107">
        <f ca="1">((Tabla2[[#This Row],[Fantasma Comunicación]]+1)/(Tabla2[[#This Row],[Fantasma Comunicación]]+RANDBETWEEN(0,5)+2))-0.5</f>
        <v>0</v>
      </c>
      <c r="S107">
        <f ca="1">1+MAX(0,Tabla2[[#This Row],[Deuda actual]]/Tabla2[[#This Row],[Liquidez]]+Tabla2[[#This Row],[Liquidez]]/(Tabla2[[#This Row],[Activos]]+Tabla2[[#This Row],[Liquidez]])+Tabla2[[#This Row],[Comunicación]])</f>
        <v>1.5193671547117837</v>
      </c>
      <c r="T107">
        <f ca="1">Tabla2[[#This Row],[Deuda actual]]*EXP(Tabla2[[#This Row],[Ki]]*Tabla2[[#This Row],[diferencia de días]])*(1+Tabla2[[#This Row],[Hg]])</f>
        <v>741.68</v>
      </c>
    </row>
    <row r="108" spans="1:20" ht="14.5" x14ac:dyDescent="0.35">
      <c r="A108">
        <f t="shared" si="11"/>
        <v>107</v>
      </c>
      <c r="B108">
        <f t="shared" ca="1" si="12"/>
        <v>46102</v>
      </c>
      <c r="C108">
        <f t="shared" ca="1" si="13"/>
        <v>46157</v>
      </c>
      <c r="D108">
        <f t="shared" ca="1" si="14"/>
        <v>10</v>
      </c>
      <c r="E108">
        <f t="shared" ca="1" si="15"/>
        <v>0.58978120519577792</v>
      </c>
      <c r="F108">
        <f t="shared" ca="1" si="16"/>
        <v>864.61</v>
      </c>
      <c r="G108" t="str">
        <f t="shared" ca="1" si="17"/>
        <v>hipotecario</v>
      </c>
      <c r="H10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08" t="str">
        <f t="shared" ca="1" si="18"/>
        <v>Sí</v>
      </c>
      <c r="J10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08">
        <f ca="1">IF(Tabla2[[#This Row],[¿cliente deuda abierta?]]="Sí", Tabla2[[#This Row],[Deuda actual]]*Tabla2[[#This Row],[diferencia de días]], "0")</f>
        <v>8646.1</v>
      </c>
      <c r="L10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0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0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08">
        <f t="shared" ca="1" si="19"/>
        <v>1516.51</v>
      </c>
      <c r="P108">
        <f t="shared" ca="1" si="20"/>
        <v>36145.56</v>
      </c>
      <c r="Q108">
        <f t="shared" ca="1" si="21"/>
        <v>2</v>
      </c>
      <c r="R108">
        <f ca="1">((Tabla2[[#This Row],[Fantasma Comunicación]]+1)/(Tabla2[[#This Row],[Fantasma Comunicación]]+RANDBETWEEN(0,5)+2))-0.5</f>
        <v>9.9999999999999978E-2</v>
      </c>
      <c r="S108">
        <f ca="1">1+MAX(0,Tabla2[[#This Row],[Deuda actual]]/Tabla2[[#This Row],[Liquidez]]+Tabla2[[#This Row],[Liquidez]]/(Tabla2[[#This Row],[Activos]]+Tabla2[[#This Row],[Liquidez]])+Tabla2[[#This Row],[Comunicación]])</f>
        <v>1.7103976615091023</v>
      </c>
      <c r="T108">
        <f ca="1">Tabla2[[#This Row],[Deuda actual]]*EXP(Tabla2[[#This Row],[Ki]]*Tabla2[[#This Row],[diferencia de días]])*(1+Tabla2[[#This Row],[Hg]])</f>
        <v>909.65799789205948</v>
      </c>
    </row>
    <row r="109" spans="1:20" ht="14.5" x14ac:dyDescent="0.35">
      <c r="A109">
        <f t="shared" si="11"/>
        <v>108</v>
      </c>
      <c r="B109">
        <f t="shared" ca="1" si="12"/>
        <v>46104</v>
      </c>
      <c r="C109">
        <f t="shared" ca="1" si="13"/>
        <v>46157</v>
      </c>
      <c r="D109">
        <f t="shared" ca="1" si="14"/>
        <v>6</v>
      </c>
      <c r="E109">
        <f t="shared" ca="1" si="15"/>
        <v>0.7621002637490828</v>
      </c>
      <c r="F109">
        <f t="shared" ca="1" si="16"/>
        <v>1001.37</v>
      </c>
      <c r="G109" t="str">
        <f t="shared" ca="1" si="17"/>
        <v>hipotecario</v>
      </c>
      <c r="H10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09" t="str">
        <f t="shared" ca="1" si="18"/>
        <v>Sí</v>
      </c>
      <c r="J10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09">
        <f ca="1">IF(Tabla2[[#This Row],[¿cliente deuda abierta?]]="Sí", Tabla2[[#This Row],[Deuda actual]]*Tabla2[[#This Row],[diferencia de días]], "0")</f>
        <v>6008.22</v>
      </c>
      <c r="L10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0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0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09">
        <f t="shared" ca="1" si="19"/>
        <v>1039.1400000000001</v>
      </c>
      <c r="P109">
        <f t="shared" ca="1" si="20"/>
        <v>124789.54</v>
      </c>
      <c r="Q109">
        <f t="shared" ca="1" si="21"/>
        <v>1</v>
      </c>
      <c r="R109">
        <f ca="1">((Tabla2[[#This Row],[Fantasma Comunicación]]+1)/(Tabla2[[#This Row],[Fantasma Comunicación]]+RANDBETWEEN(0,5)+2))-0.5</f>
        <v>-0.16666666666666669</v>
      </c>
      <c r="S109">
        <f ca="1">1+MAX(0,Tabla2[[#This Row],[Deuda actual]]/Tabla2[[#This Row],[Liquidez]]+Tabla2[[#This Row],[Liquidez]]/(Tabla2[[#This Row],[Activos]]+Tabla2[[#This Row],[Liquidez]])+Tabla2[[#This Row],[Comunicación]])</f>
        <v>1.8052443407876528</v>
      </c>
      <c r="T109">
        <f ca="1">Tabla2[[#This Row],[Deuda actual]]*EXP(Tabla2[[#This Row],[Ki]]*Tabla2[[#This Row],[diferencia de días]])*(1+Tabla2[[#This Row],[Hg]])</f>
        <v>1052.700983538625</v>
      </c>
    </row>
    <row r="110" spans="1:20" ht="14.5" x14ac:dyDescent="0.35">
      <c r="A110">
        <f t="shared" si="11"/>
        <v>109</v>
      </c>
      <c r="B110">
        <f t="shared" ca="1" si="12"/>
        <v>46107</v>
      </c>
      <c r="C110">
        <f t="shared" ca="1" si="13"/>
        <v>46157</v>
      </c>
      <c r="D110">
        <f t="shared" ca="1" si="14"/>
        <v>18</v>
      </c>
      <c r="E110">
        <f t="shared" ca="1" si="15"/>
        <v>0.20989732566125985</v>
      </c>
      <c r="F110">
        <f t="shared" ca="1" si="16"/>
        <v>1141.25</v>
      </c>
      <c r="G110" t="str">
        <f t="shared" ca="1" si="17"/>
        <v>personal</v>
      </c>
      <c r="H11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10" t="str">
        <f t="shared" ca="1" si="18"/>
        <v>Sí</v>
      </c>
      <c r="J11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10">
        <f ca="1">IF(Tabla2[[#This Row],[¿cliente deuda abierta?]]="Sí", Tabla2[[#This Row],[Deuda actual]]*Tabla2[[#This Row],[diferencia de días]], "0")</f>
        <v>20542.5</v>
      </c>
      <c r="L11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1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1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10">
        <f t="shared" ca="1" si="19"/>
        <v>1953.46</v>
      </c>
      <c r="P110">
        <f t="shared" ca="1" si="20"/>
        <v>81271.399999999994</v>
      </c>
      <c r="Q110">
        <f t="shared" ca="1" si="21"/>
        <v>5</v>
      </c>
      <c r="R110">
        <f ca="1">((Tabla2[[#This Row],[Fantasma Comunicación]]+1)/(Tabla2[[#This Row],[Fantasma Comunicación]]+RANDBETWEEN(0,5)+2))-0.5</f>
        <v>0</v>
      </c>
      <c r="S110">
        <f ca="1">1+MAX(0,Tabla2[[#This Row],[Deuda actual]]/Tabla2[[#This Row],[Liquidez]]+Tabla2[[#This Row],[Liquidez]]/(Tabla2[[#This Row],[Activos]]+Tabla2[[#This Row],[Liquidez]])+Tabla2[[#This Row],[Comunicación]])</f>
        <v>1.6076918677489762</v>
      </c>
      <c r="T110">
        <f ca="1">Tabla2[[#This Row],[Deuda actual]]*EXP(Tabla2[[#This Row],[Ki]]*Tabla2[[#This Row],[diferencia de días]])*(1+Tabla2[[#This Row],[Hg]])</f>
        <v>1206.9714849389979</v>
      </c>
    </row>
    <row r="111" spans="1:20" ht="14.5" x14ac:dyDescent="0.35">
      <c r="A111">
        <f t="shared" si="11"/>
        <v>110</v>
      </c>
      <c r="B111">
        <f t="shared" ca="1" si="12"/>
        <v>46082</v>
      </c>
      <c r="C111">
        <f t="shared" ca="1" si="13"/>
        <v>46157</v>
      </c>
      <c r="D111">
        <f t="shared" ca="1" si="14"/>
        <v>6</v>
      </c>
      <c r="E111">
        <f t="shared" ca="1" si="15"/>
        <v>0.91179540458217812</v>
      </c>
      <c r="F111">
        <f t="shared" ca="1" si="16"/>
        <v>7100.08</v>
      </c>
      <c r="G111" t="str">
        <f t="shared" ca="1" si="17"/>
        <v>personal</v>
      </c>
      <c r="H11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11" t="str">
        <f t="shared" ca="1" si="18"/>
        <v>Sí</v>
      </c>
      <c r="J11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11">
        <f ca="1">IF(Tabla2[[#This Row],[¿cliente deuda abierta?]]="Sí", Tabla2[[#This Row],[Deuda actual]]*Tabla2[[#This Row],[diferencia de días]], "0")</f>
        <v>42600.479999999996</v>
      </c>
      <c r="L11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11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11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111">
        <f t="shared" ca="1" si="19"/>
        <v>3248.69</v>
      </c>
      <c r="P111">
        <f t="shared" ca="1" si="20"/>
        <v>174791.7</v>
      </c>
      <c r="Q111">
        <f t="shared" ca="1" si="21"/>
        <v>0</v>
      </c>
      <c r="R111">
        <f ca="1">((Tabla2[[#This Row],[Fantasma Comunicación]]+1)/(Tabla2[[#This Row],[Fantasma Comunicación]]+RANDBETWEEN(0,5)+2))-0.5</f>
        <v>-0.33333333333333337</v>
      </c>
      <c r="S111">
        <f ca="1">1+MAX(0,Tabla2[[#This Row],[Deuda actual]]/Tabla2[[#This Row],[Liquidez]]+Tabla2[[#This Row],[Liquidez]]/(Tabla2[[#This Row],[Activos]]+Tabla2[[#This Row],[Liquidez]])+Tabla2[[#This Row],[Comunicación]])</f>
        <v>2.8704345267231557</v>
      </c>
      <c r="T111">
        <f ca="1">Tabla2[[#This Row],[Deuda actual]]*EXP(Tabla2[[#This Row],[Ki]]*Tabla2[[#This Row],[diferencia de días]])*(1+Tabla2[[#This Row],[Hg]])</f>
        <v>7819.4657311133406</v>
      </c>
    </row>
    <row r="112" spans="1:20" ht="14.5" x14ac:dyDescent="0.35">
      <c r="A112">
        <f t="shared" si="11"/>
        <v>111</v>
      </c>
      <c r="B112">
        <f t="shared" ca="1" si="12"/>
        <v>46086</v>
      </c>
      <c r="C112">
        <f t="shared" ca="1" si="13"/>
        <v>46157</v>
      </c>
      <c r="D112">
        <f t="shared" ca="1" si="14"/>
        <v>12</v>
      </c>
      <c r="E112">
        <f t="shared" ca="1" si="15"/>
        <v>0.39227258823837818</v>
      </c>
      <c r="F112">
        <f t="shared" ca="1" si="16"/>
        <v>1067.1099999999999</v>
      </c>
      <c r="G112" t="str">
        <f t="shared" ca="1" si="17"/>
        <v>personal</v>
      </c>
      <c r="H11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12" t="str">
        <f t="shared" ca="1" si="18"/>
        <v>Sí</v>
      </c>
      <c r="J11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12">
        <f ca="1">IF(Tabla2[[#This Row],[¿cliente deuda abierta?]]="Sí", Tabla2[[#This Row],[Deuda actual]]*Tabla2[[#This Row],[diferencia de días]], "0")</f>
        <v>12805.32</v>
      </c>
      <c r="L11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1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1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12">
        <f t="shared" ca="1" si="19"/>
        <v>1839.55</v>
      </c>
      <c r="P112">
        <f t="shared" ca="1" si="20"/>
        <v>207316.8</v>
      </c>
      <c r="Q112">
        <f t="shared" ca="1" si="21"/>
        <v>0</v>
      </c>
      <c r="R112">
        <f ca="1">((Tabla2[[#This Row],[Fantasma Comunicación]]+1)/(Tabla2[[#This Row],[Fantasma Comunicación]]+RANDBETWEEN(0,5)+2))-0.5</f>
        <v>-0.3</v>
      </c>
      <c r="S112">
        <f ca="1">1+MAX(0,Tabla2[[#This Row],[Deuda actual]]/Tabla2[[#This Row],[Liquidez]]+Tabla2[[#This Row],[Liquidez]]/(Tabla2[[#This Row],[Activos]]+Tabla2[[#This Row],[Liquidez]])+Tabla2[[#This Row],[Comunicación]])</f>
        <v>1.2888880526692859</v>
      </c>
      <c r="T112">
        <f ca="1">Tabla2[[#This Row],[Deuda actual]]*EXP(Tabla2[[#This Row],[Ki]]*Tabla2[[#This Row],[diferencia de días]])*(1+Tabla2[[#This Row],[Hg]])</f>
        <v>1123.1578467237421</v>
      </c>
    </row>
    <row r="113" spans="1:20" ht="14.5" x14ac:dyDescent="0.35">
      <c r="A113">
        <f t="shared" si="11"/>
        <v>112</v>
      </c>
      <c r="B113">
        <f t="shared" ca="1" si="12"/>
        <v>46108</v>
      </c>
      <c r="C113">
        <f t="shared" ca="1" si="13"/>
        <v>46157</v>
      </c>
      <c r="D113">
        <f t="shared" ca="1" si="14"/>
        <v>33</v>
      </c>
      <c r="E113">
        <f t="shared" ca="1" si="15"/>
        <v>0.76579228985585235</v>
      </c>
      <c r="F113">
        <f t="shared" ca="1" si="16"/>
        <v>1794.52</v>
      </c>
      <c r="G113" t="str">
        <f t="shared" ca="1" si="17"/>
        <v>hipotecario</v>
      </c>
      <c r="H11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113" t="str">
        <f t="shared" ca="1" si="18"/>
        <v>Sí</v>
      </c>
      <c r="J11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13">
        <f ca="1">IF(Tabla2[[#This Row],[¿cliente deuda abierta?]]="Sí", Tabla2[[#This Row],[Deuda actual]]*Tabla2[[#This Row],[diferencia de días]], "0")</f>
        <v>59219.159999999996</v>
      </c>
      <c r="L11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11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13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113">
        <f t="shared" ca="1" si="19"/>
        <v>2026.37</v>
      </c>
      <c r="P113">
        <f t="shared" ca="1" si="20"/>
        <v>46121.42</v>
      </c>
      <c r="Q113">
        <f t="shared" ca="1" si="21"/>
        <v>3</v>
      </c>
      <c r="R113">
        <f ca="1">((Tabla2[[#This Row],[Fantasma Comunicación]]+1)/(Tabla2[[#This Row],[Fantasma Comunicación]]+RANDBETWEEN(0,5)+2))-0.5</f>
        <v>-9.9999999999999978E-2</v>
      </c>
      <c r="S113">
        <f ca="1">1+MAX(0,Tabla2[[#This Row],[Deuda actual]]/Tabla2[[#This Row],[Liquidez]]+Tabla2[[#This Row],[Liquidez]]/(Tabla2[[#This Row],[Activos]]+Tabla2[[#This Row],[Liquidez]])+Tabla2[[#This Row],[Comunicación]])</f>
        <v>1.8276700397035777</v>
      </c>
      <c r="T113">
        <f ca="1">Tabla2[[#This Row],[Deuda actual]]*EXP(Tabla2[[#This Row],[Ki]]*Tabla2[[#This Row],[diferencia de días]])*(1+Tabla2[[#This Row],[Hg]])</f>
        <v>2040.1998250472386</v>
      </c>
    </row>
    <row r="114" spans="1:20" ht="14.5" x14ac:dyDescent="0.35">
      <c r="A114">
        <f t="shared" si="11"/>
        <v>113</v>
      </c>
      <c r="B114">
        <f t="shared" ca="1" si="12"/>
        <v>46114</v>
      </c>
      <c r="C114">
        <f t="shared" ca="1" si="13"/>
        <v>46157</v>
      </c>
      <c r="D114">
        <f t="shared" ca="1" si="14"/>
        <v>19</v>
      </c>
      <c r="E114">
        <f t="shared" ca="1" si="15"/>
        <v>0.18910340270680737</v>
      </c>
      <c r="F114">
        <f t="shared" ca="1" si="16"/>
        <v>581.82000000000005</v>
      </c>
      <c r="G114" t="str">
        <f t="shared" ca="1" si="17"/>
        <v>hipotecario</v>
      </c>
      <c r="H11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14" t="str">
        <f t="shared" ca="1" si="18"/>
        <v>Sí</v>
      </c>
      <c r="J11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14">
        <f ca="1">IF(Tabla2[[#This Row],[¿cliente deuda abierta?]]="Sí", Tabla2[[#This Row],[Deuda actual]]*Tabla2[[#This Row],[diferencia de días]], "0")</f>
        <v>11054.580000000002</v>
      </c>
      <c r="L11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1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1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14">
        <f t="shared" ca="1" si="19"/>
        <v>1652.24</v>
      </c>
      <c r="P114">
        <f t="shared" ca="1" si="20"/>
        <v>320274.62</v>
      </c>
      <c r="Q114">
        <f t="shared" ca="1" si="21"/>
        <v>2</v>
      </c>
      <c r="R114">
        <f ca="1">((Tabla2[[#This Row],[Fantasma Comunicación]]+1)/(Tabla2[[#This Row],[Fantasma Comunicación]]+RANDBETWEEN(0,5)+2))-0.5</f>
        <v>-0.16666666666666669</v>
      </c>
      <c r="S114">
        <f ca="1">1+MAX(0,Tabla2[[#This Row],[Deuda actual]]/Tabla2[[#This Row],[Liquidez]]+Tabla2[[#This Row],[Liquidez]]/(Tabla2[[#This Row],[Activos]]+Tabla2[[#This Row],[Liquidez]])+Tabla2[[#This Row],[Comunicación]])</f>
        <v>1.1906058041545875</v>
      </c>
      <c r="T114">
        <f ca="1">Tabla2[[#This Row],[Deuda actual]]*EXP(Tabla2[[#This Row],[Ki]]*Tabla2[[#This Row],[diferencia de días]])*(1+Tabla2[[#This Row],[Hg]])</f>
        <v>615.57161149060948</v>
      </c>
    </row>
    <row r="115" spans="1:20" ht="14.5" x14ac:dyDescent="0.35">
      <c r="A115">
        <f t="shared" si="11"/>
        <v>114</v>
      </c>
      <c r="B115">
        <f t="shared" ca="1" si="12"/>
        <v>46123</v>
      </c>
      <c r="C115">
        <f t="shared" ca="1" si="13"/>
        <v>46157</v>
      </c>
      <c r="D115">
        <f t="shared" ca="1" si="14"/>
        <v>5</v>
      </c>
      <c r="E115">
        <f t="shared" ca="1" si="15"/>
        <v>0.50536600070368298</v>
      </c>
      <c r="F115">
        <f t="shared" ca="1" si="16"/>
        <v>823.06</v>
      </c>
      <c r="G115" t="str">
        <f t="shared" ca="1" si="17"/>
        <v>hipotecario</v>
      </c>
      <c r="H11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15" t="str">
        <f t="shared" ca="1" si="18"/>
        <v>Sí</v>
      </c>
      <c r="J11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15">
        <f ca="1">IF(Tabla2[[#This Row],[¿cliente deuda abierta?]]="Sí", Tabla2[[#This Row],[Deuda actual]]*Tabla2[[#This Row],[diferencia de días]], "0")</f>
        <v>4115.2999999999993</v>
      </c>
      <c r="L11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1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1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15">
        <f t="shared" ca="1" si="19"/>
        <v>1518.27</v>
      </c>
      <c r="P115">
        <f t="shared" ca="1" si="20"/>
        <v>229664.6</v>
      </c>
      <c r="Q115">
        <f t="shared" ca="1" si="21"/>
        <v>4</v>
      </c>
      <c r="R115">
        <f ca="1">((Tabla2[[#This Row],[Fantasma Comunicación]]+1)/(Tabla2[[#This Row],[Fantasma Comunicación]]+RANDBETWEEN(0,5)+2))-0.5</f>
        <v>5.555555555555558E-2</v>
      </c>
      <c r="S115">
        <f ca="1">1+MAX(0,Tabla2[[#This Row],[Deuda actual]]/Tabla2[[#This Row],[Liquidez]]+Tabla2[[#This Row],[Liquidez]]/(Tabla2[[#This Row],[Activos]]+Tabla2[[#This Row],[Liquidez]])+Tabla2[[#This Row],[Comunicación]])</f>
        <v>1.6042267957825982</v>
      </c>
      <c r="T115">
        <f ca="1">Tabla2[[#This Row],[Deuda actual]]*EXP(Tabla2[[#This Row],[Ki]]*Tabla2[[#This Row],[diferencia de días]])*(1+Tabla2[[#This Row],[Hg]])</f>
        <v>865.07764525057155</v>
      </c>
    </row>
    <row r="116" spans="1:20" ht="14.5" x14ac:dyDescent="0.35">
      <c r="A116">
        <f t="shared" si="11"/>
        <v>115</v>
      </c>
      <c r="B116">
        <f t="shared" ca="1" si="12"/>
        <v>46098</v>
      </c>
      <c r="C116">
        <f t="shared" ca="1" si="13"/>
        <v>46157</v>
      </c>
      <c r="D116">
        <f t="shared" ca="1" si="14"/>
        <v>0</v>
      </c>
      <c r="E116">
        <f t="shared" ca="1" si="15"/>
        <v>0.33589199414348869</v>
      </c>
      <c r="F116">
        <f t="shared" ca="1" si="16"/>
        <v>1070.51</v>
      </c>
      <c r="G116" t="str">
        <f t="shared" ca="1" si="17"/>
        <v>hipotecario</v>
      </c>
      <c r="H11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16" t="str">
        <f t="shared" ca="1" si="18"/>
        <v>No</v>
      </c>
      <c r="J11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164999.56728321721</v>
      </c>
      <c r="K116" t="str">
        <f ca="1">IF(Tabla2[[#This Row],[¿cliente deuda abierta?]]="Sí", Tabla2[[#This Row],[Deuda actual]]*Tabla2[[#This Row],[diferencia de días]], "0")</f>
        <v>0</v>
      </c>
      <c r="L11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1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16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16">
        <f t="shared" ca="1" si="19"/>
        <v>1607.96</v>
      </c>
      <c r="P116">
        <f t="shared" ca="1" si="20"/>
        <v>275829.17</v>
      </c>
      <c r="Q116">
        <f t="shared" ca="1" si="21"/>
        <v>1</v>
      </c>
      <c r="R116">
        <f ca="1">((Tabla2[[#This Row],[Fantasma Comunicación]]+1)/(Tabla2[[#This Row],[Fantasma Comunicación]]+RANDBETWEEN(0,5)+2))-0.5</f>
        <v>-0.16666666666666669</v>
      </c>
      <c r="S116">
        <f ca="1">1+MAX(0,Tabla2[[#This Row],[Deuda actual]]/Tabla2[[#This Row],[Liquidez]]+Tabla2[[#This Row],[Liquidez]]/(Tabla2[[#This Row],[Activos]]+Tabla2[[#This Row],[Liquidez]])+Tabla2[[#This Row],[Comunicación]])</f>
        <v>1.5048857077245816</v>
      </c>
      <c r="T116">
        <f ca="1">Tabla2[[#This Row],[Deuda actual]]*EXP(Tabla2[[#This Row],[Ki]]*Tabla2[[#This Row],[diferencia de días]])*(1+Tabla2[[#This Row],[Hg]])</f>
        <v>856.40800000000002</v>
      </c>
    </row>
    <row r="117" spans="1:20" ht="14.5" x14ac:dyDescent="0.35">
      <c r="A117">
        <f t="shared" si="11"/>
        <v>116</v>
      </c>
      <c r="B117">
        <f t="shared" ca="1" si="12"/>
        <v>46139</v>
      </c>
      <c r="C117">
        <f t="shared" ca="1" si="13"/>
        <v>46157</v>
      </c>
      <c r="D117">
        <f t="shared" ca="1" si="14"/>
        <v>7</v>
      </c>
      <c r="E117">
        <f t="shared" ca="1" si="15"/>
        <v>0.96967744060052441</v>
      </c>
      <c r="F117">
        <f t="shared" ca="1" si="16"/>
        <v>3360.02</v>
      </c>
      <c r="G117" t="str">
        <f t="shared" ca="1" si="17"/>
        <v>hipotecario</v>
      </c>
      <c r="H11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17" t="str">
        <f t="shared" ca="1" si="18"/>
        <v>Sí</v>
      </c>
      <c r="J11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17">
        <f ca="1">IF(Tabla2[[#This Row],[¿cliente deuda abierta?]]="Sí", Tabla2[[#This Row],[Deuda actual]]*Tabla2[[#This Row],[diferencia de días]], "0")</f>
        <v>23520.14</v>
      </c>
      <c r="L11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1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1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17">
        <f t="shared" ca="1" si="19"/>
        <v>1336.04</v>
      </c>
      <c r="P117">
        <f t="shared" ca="1" si="20"/>
        <v>372162.67</v>
      </c>
      <c r="Q117">
        <f t="shared" ca="1" si="21"/>
        <v>2</v>
      </c>
      <c r="R117">
        <f ca="1">((Tabla2[[#This Row],[Fantasma Comunicación]]+1)/(Tabla2[[#This Row],[Fantasma Comunicación]]+RANDBETWEEN(0,5)+2))-0.5</f>
        <v>9.9999999999999978E-2</v>
      </c>
      <c r="S117">
        <f ca="1">1+MAX(0,Tabla2[[#This Row],[Deuda actual]]/Tabla2[[#This Row],[Liquidez]]+Tabla2[[#This Row],[Liquidez]]/(Tabla2[[#This Row],[Activos]]+Tabla2[[#This Row],[Liquidez]])+Tabla2[[#This Row],[Comunicación]])</f>
        <v>3.618486827256115</v>
      </c>
      <c r="T117">
        <f ca="1">Tabla2[[#This Row],[Deuda actual]]*EXP(Tabla2[[#This Row],[Ki]]*Tabla2[[#This Row],[diferencia de días]])*(1+Tabla2[[#This Row],[Hg]])</f>
        <v>3532.9636884746269</v>
      </c>
    </row>
    <row r="118" spans="1:20" ht="14.5" x14ac:dyDescent="0.35">
      <c r="A118">
        <f t="shared" si="11"/>
        <v>117</v>
      </c>
      <c r="B118">
        <f t="shared" ca="1" si="12"/>
        <v>46097</v>
      </c>
      <c r="C118">
        <f t="shared" ca="1" si="13"/>
        <v>46157</v>
      </c>
      <c r="D118">
        <f t="shared" ca="1" si="14"/>
        <v>6</v>
      </c>
      <c r="E118">
        <f t="shared" ca="1" si="15"/>
        <v>0.34127377653464219</v>
      </c>
      <c r="F118">
        <f t="shared" ca="1" si="16"/>
        <v>333.03</v>
      </c>
      <c r="G118" t="str">
        <f t="shared" ca="1" si="17"/>
        <v>personal</v>
      </c>
      <c r="H11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18" t="str">
        <f t="shared" ca="1" si="18"/>
        <v>Sí</v>
      </c>
      <c r="J11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18">
        <f ca="1">IF(Tabla2[[#This Row],[¿cliente deuda abierta?]]="Sí", Tabla2[[#This Row],[Deuda actual]]*Tabla2[[#This Row],[diferencia de días]], "0")</f>
        <v>1998.1799999999998</v>
      </c>
      <c r="L11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1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1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18">
        <f t="shared" ca="1" si="19"/>
        <v>1982.65</v>
      </c>
      <c r="P118">
        <f t="shared" ca="1" si="20"/>
        <v>108877.05</v>
      </c>
      <c r="Q118">
        <f t="shared" ca="1" si="21"/>
        <v>0</v>
      </c>
      <c r="R118">
        <f ca="1">((Tabla2[[#This Row],[Fantasma Comunicación]]+1)/(Tabla2[[#This Row],[Fantasma Comunicación]]+RANDBETWEEN(0,5)+2))-0.5</f>
        <v>-0.25</v>
      </c>
      <c r="S118">
        <f ca="1">1+MAX(0,Tabla2[[#This Row],[Deuda actual]]/Tabla2[[#This Row],[Liquidez]]+Tabla2[[#This Row],[Liquidez]]/(Tabla2[[#This Row],[Activos]]+Tabla2[[#This Row],[Liquidez]])+Tabla2[[#This Row],[Comunicación]])</f>
        <v>1</v>
      </c>
      <c r="T118">
        <f ca="1">Tabla2[[#This Row],[Deuda actual]]*EXP(Tabla2[[#This Row],[Ki]]*Tabla2[[#This Row],[diferencia de días]])*(1+Tabla2[[#This Row],[Hg]])</f>
        <v>350.10136967141847</v>
      </c>
    </row>
    <row r="119" spans="1:20" ht="14.5" x14ac:dyDescent="0.35">
      <c r="A119">
        <f t="shared" si="11"/>
        <v>118</v>
      </c>
      <c r="B119">
        <f t="shared" ca="1" si="12"/>
        <v>46111</v>
      </c>
      <c r="C119">
        <f t="shared" ca="1" si="13"/>
        <v>46157</v>
      </c>
      <c r="D119">
        <f t="shared" ca="1" si="14"/>
        <v>1</v>
      </c>
      <c r="E119">
        <f t="shared" ca="1" si="15"/>
        <v>0.61867742390234159</v>
      </c>
      <c r="F119">
        <f t="shared" ca="1" si="16"/>
        <v>605.6</v>
      </c>
      <c r="G119" t="str">
        <f t="shared" ca="1" si="17"/>
        <v>personal</v>
      </c>
      <c r="H11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19" t="str">
        <f t="shared" ca="1" si="18"/>
        <v>Sí</v>
      </c>
      <c r="J11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19">
        <f ca="1">IF(Tabla2[[#This Row],[¿cliente deuda abierta?]]="Sí", Tabla2[[#This Row],[Deuda actual]]*Tabla2[[#This Row],[diferencia de días]], "0")</f>
        <v>605.6</v>
      </c>
      <c r="L11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1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1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19">
        <f t="shared" ca="1" si="19"/>
        <v>1174.0899999999999</v>
      </c>
      <c r="P119">
        <f t="shared" ca="1" si="20"/>
        <v>1115944.8600000001</v>
      </c>
      <c r="Q119">
        <f t="shared" ca="1" si="21"/>
        <v>5</v>
      </c>
      <c r="R119">
        <f ca="1">((Tabla2[[#This Row],[Fantasma Comunicación]]+1)/(Tabla2[[#This Row],[Fantasma Comunicación]]+RANDBETWEEN(0,5)+2))-0.5</f>
        <v>9.9999999999999978E-2</v>
      </c>
      <c r="S119">
        <f ca="1">1+MAX(0,Tabla2[[#This Row],[Deuda actual]]/Tabla2[[#This Row],[Liquidez]]+Tabla2[[#This Row],[Liquidez]]/(Tabla2[[#This Row],[Activos]]+Tabla2[[#This Row],[Liquidez]])+Tabla2[[#This Row],[Comunicación]])</f>
        <v>1.6168547270402736</v>
      </c>
      <c r="T119">
        <f ca="1">Tabla2[[#This Row],[Deuda actual]]*EXP(Tabla2[[#This Row],[Ki]]*Tabla2[[#This Row],[diferencia de días]])*(1+Tabla2[[#This Row],[Hg]])</f>
        <v>636.00718871844799</v>
      </c>
    </row>
    <row r="120" spans="1:20" ht="14.5" x14ac:dyDescent="0.35">
      <c r="A120">
        <f t="shared" si="11"/>
        <v>119</v>
      </c>
      <c r="B120">
        <f t="shared" ca="1" si="12"/>
        <v>46117</v>
      </c>
      <c r="C120">
        <f t="shared" ca="1" si="13"/>
        <v>46157</v>
      </c>
      <c r="D120">
        <f t="shared" ca="1" si="14"/>
        <v>50</v>
      </c>
      <c r="E120">
        <f t="shared" ca="1" si="15"/>
        <v>0.14440987613082068</v>
      </c>
      <c r="F120">
        <f t="shared" ca="1" si="16"/>
        <v>70.25</v>
      </c>
      <c r="G120" t="str">
        <f t="shared" ca="1" si="17"/>
        <v>hipotecario</v>
      </c>
      <c r="H12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120" t="str">
        <f t="shared" ca="1" si="18"/>
        <v>Sí</v>
      </c>
      <c r="J12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20">
        <f ca="1">IF(Tabla2[[#This Row],[¿cliente deuda abierta?]]="Sí", Tabla2[[#This Row],[Deuda actual]]*Tabla2[[#This Row],[diferencia de días]], "0")</f>
        <v>3512.5</v>
      </c>
      <c r="L12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2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2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20">
        <f t="shared" ca="1" si="19"/>
        <v>2238.13</v>
      </c>
      <c r="P120">
        <f t="shared" ca="1" si="20"/>
        <v>45664.56</v>
      </c>
      <c r="Q120">
        <f t="shared" ca="1" si="21"/>
        <v>5</v>
      </c>
      <c r="R120">
        <f ca="1">((Tabla2[[#This Row],[Fantasma Comunicación]]+1)/(Tabla2[[#This Row],[Fantasma Comunicación]]+RANDBETWEEN(0,5)+2))-0.5</f>
        <v>0.16666666666666663</v>
      </c>
      <c r="S120">
        <f ca="1">1+MAX(0,Tabla2[[#This Row],[Deuda actual]]/Tabla2[[#This Row],[Liquidez]]+Tabla2[[#This Row],[Liquidez]]/(Tabla2[[#This Row],[Activos]]+Tabla2[[#This Row],[Liquidez]])+Tabla2[[#This Row],[Comunicación]])</f>
        <v>1.2447769053491267</v>
      </c>
      <c r="T120">
        <f ca="1">Tabla2[[#This Row],[Deuda actual]]*EXP(Tabla2[[#This Row],[Ki]]*Tabla2[[#This Row],[diferencia de días]])*(1+Tabla2[[#This Row],[Hg]])</f>
        <v>79.507429679627634</v>
      </c>
    </row>
    <row r="121" spans="1:20" ht="14.5" x14ac:dyDescent="0.35">
      <c r="A121">
        <f t="shared" si="11"/>
        <v>120</v>
      </c>
      <c r="B121">
        <f t="shared" ca="1" si="12"/>
        <v>46130</v>
      </c>
      <c r="C121">
        <f t="shared" ca="1" si="13"/>
        <v>46157</v>
      </c>
      <c r="D121">
        <f t="shared" ca="1" si="14"/>
        <v>21</v>
      </c>
      <c r="E121">
        <f t="shared" ca="1" si="15"/>
        <v>0.96848864131930867</v>
      </c>
      <c r="F121">
        <f t="shared" ca="1" si="16"/>
        <v>454.74</v>
      </c>
      <c r="G121" t="str">
        <f t="shared" ca="1" si="17"/>
        <v>personal</v>
      </c>
      <c r="H12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21" t="str">
        <f t="shared" ca="1" si="18"/>
        <v>Sí</v>
      </c>
      <c r="J12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21">
        <f ca="1">IF(Tabla2[[#This Row],[¿cliente deuda abierta?]]="Sí", Tabla2[[#This Row],[Deuda actual]]*Tabla2[[#This Row],[diferencia de días]], "0")</f>
        <v>9549.5400000000009</v>
      </c>
      <c r="L12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2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2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21">
        <f t="shared" ca="1" si="19"/>
        <v>1127.1400000000001</v>
      </c>
      <c r="P121">
        <f t="shared" ca="1" si="20"/>
        <v>126818.01</v>
      </c>
      <c r="Q121">
        <f t="shared" ca="1" si="21"/>
        <v>5</v>
      </c>
      <c r="R121">
        <f ca="1">((Tabla2[[#This Row],[Fantasma Comunicación]]+1)/(Tabla2[[#This Row],[Fantasma Comunicación]]+RANDBETWEEN(0,5)+2))-0.5</f>
        <v>0</v>
      </c>
      <c r="S121">
        <f ca="1">1+MAX(0,Tabla2[[#This Row],[Deuda actual]]/Tabla2[[#This Row],[Liquidez]]+Tabla2[[#This Row],[Liquidez]]/(Tabla2[[#This Row],[Activos]]+Tabla2[[#This Row],[Liquidez]])+Tabla2[[#This Row],[Comunicación]])</f>
        <v>1.4122554458791947</v>
      </c>
      <c r="T121">
        <f ca="1">Tabla2[[#This Row],[Deuda actual]]*EXP(Tabla2[[#This Row],[Ki]]*Tabla2[[#This Row],[diferencia de días]])*(1+Tabla2[[#This Row],[Hg]])</f>
        <v>481.5046994548656</v>
      </c>
    </row>
    <row r="122" spans="1:20" ht="14.5" x14ac:dyDescent="0.35">
      <c r="A122">
        <f t="shared" si="11"/>
        <v>121</v>
      </c>
      <c r="B122">
        <f t="shared" ca="1" si="12"/>
        <v>46102</v>
      </c>
      <c r="C122">
        <f t="shared" ca="1" si="13"/>
        <v>46157</v>
      </c>
      <c r="D122">
        <f t="shared" ca="1" si="14"/>
        <v>28</v>
      </c>
      <c r="E122">
        <f t="shared" ca="1" si="15"/>
        <v>0.88617990503571775</v>
      </c>
      <c r="F122">
        <f t="shared" ca="1" si="16"/>
        <v>562.96</v>
      </c>
      <c r="G122" t="str">
        <f t="shared" ca="1" si="17"/>
        <v>hipotecario</v>
      </c>
      <c r="H12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22" t="str">
        <f t="shared" ca="1" si="18"/>
        <v>Sí</v>
      </c>
      <c r="J12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22">
        <f ca="1">IF(Tabla2[[#This Row],[¿cliente deuda abierta?]]="Sí", Tabla2[[#This Row],[Deuda actual]]*Tabla2[[#This Row],[diferencia de días]], "0")</f>
        <v>15762.880000000001</v>
      </c>
      <c r="L12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2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2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22">
        <f t="shared" ca="1" si="19"/>
        <v>1527.13</v>
      </c>
      <c r="P122">
        <f t="shared" ca="1" si="20"/>
        <v>168346.41</v>
      </c>
      <c r="Q122">
        <f t="shared" ca="1" si="21"/>
        <v>2</v>
      </c>
      <c r="R122">
        <f ca="1">((Tabla2[[#This Row],[Fantasma Comunicación]]+1)/(Tabla2[[#This Row],[Fantasma Comunicación]]+RANDBETWEEN(0,5)+2))-0.5</f>
        <v>-7.1428571428571452E-2</v>
      </c>
      <c r="S122">
        <f ca="1">1+MAX(0,Tabla2[[#This Row],[Deuda actual]]/Tabla2[[#This Row],[Liquidez]]+Tabla2[[#This Row],[Liquidez]]/(Tabla2[[#This Row],[Activos]]+Tabla2[[#This Row],[Liquidez]])+Tabla2[[#This Row],[Comunicación]])</f>
        <v>1.306200445692633</v>
      </c>
      <c r="T122">
        <f ca="1">Tabla2[[#This Row],[Deuda actual]]*EXP(Tabla2[[#This Row],[Ki]]*Tabla2[[#This Row],[diferencia de días]])*(1+Tabla2[[#This Row],[Hg]])</f>
        <v>597.76562269287638</v>
      </c>
    </row>
    <row r="123" spans="1:20" ht="14.5" x14ac:dyDescent="0.35">
      <c r="A123">
        <f t="shared" si="11"/>
        <v>122</v>
      </c>
      <c r="B123">
        <f t="shared" ca="1" si="12"/>
        <v>46125</v>
      </c>
      <c r="C123">
        <f t="shared" ca="1" si="13"/>
        <v>46157</v>
      </c>
      <c r="D123">
        <f t="shared" ca="1" si="14"/>
        <v>18</v>
      </c>
      <c r="E123">
        <f t="shared" ca="1" si="15"/>
        <v>0.59273303509217989</v>
      </c>
      <c r="F123">
        <f t="shared" ca="1" si="16"/>
        <v>267.13</v>
      </c>
      <c r="G123" t="str">
        <f t="shared" ca="1" si="17"/>
        <v>hipotecario</v>
      </c>
      <c r="H12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23" t="str">
        <f t="shared" ca="1" si="18"/>
        <v>No</v>
      </c>
      <c r="J12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165000.0518173491</v>
      </c>
      <c r="K123" t="str">
        <f ca="1">IF(Tabla2[[#This Row],[¿cliente deuda abierta?]]="Sí", Tabla2[[#This Row],[Deuda actual]]*Tabla2[[#This Row],[diferencia de días]], "0")</f>
        <v>0</v>
      </c>
      <c r="L12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2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2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23">
        <f t="shared" ca="1" si="19"/>
        <v>2329.5500000000002</v>
      </c>
      <c r="P123">
        <f t="shared" ca="1" si="20"/>
        <v>268015.87</v>
      </c>
      <c r="Q123">
        <f t="shared" ca="1" si="21"/>
        <v>4</v>
      </c>
      <c r="R123">
        <f ca="1">((Tabla2[[#This Row],[Fantasma Comunicación]]+1)/(Tabla2[[#This Row],[Fantasma Comunicación]]+RANDBETWEEN(0,5)+2))-0.5</f>
        <v>0.125</v>
      </c>
      <c r="S123">
        <f ca="1">1+MAX(0,Tabla2[[#This Row],[Deuda actual]]/Tabla2[[#This Row],[Liquidez]]+Tabla2[[#This Row],[Liquidez]]/(Tabla2[[#This Row],[Activos]]+Tabla2[[#This Row],[Liquidez]])+Tabla2[[#This Row],[Comunicación]])</f>
        <v>1.2482871543032648</v>
      </c>
      <c r="T123">
        <f ca="1">Tabla2[[#This Row],[Deuda actual]]*EXP(Tabla2[[#This Row],[Ki]]*Tabla2[[#This Row],[diferencia de días]])*(1+Tabla2[[#This Row],[Hg]])</f>
        <v>215.24822132574232</v>
      </c>
    </row>
    <row r="124" spans="1:20" ht="14.5" x14ac:dyDescent="0.35">
      <c r="A124">
        <f t="shared" si="11"/>
        <v>123</v>
      </c>
      <c r="B124">
        <f t="shared" ca="1" si="12"/>
        <v>46130</v>
      </c>
      <c r="C124">
        <f t="shared" ca="1" si="13"/>
        <v>46157</v>
      </c>
      <c r="D124">
        <f t="shared" ca="1" si="14"/>
        <v>3</v>
      </c>
      <c r="E124">
        <f t="shared" ca="1" si="15"/>
        <v>0.59276412735024087</v>
      </c>
      <c r="F124">
        <f t="shared" ca="1" si="16"/>
        <v>10000</v>
      </c>
      <c r="G124" t="str">
        <f t="shared" ca="1" si="17"/>
        <v>hipotecario</v>
      </c>
      <c r="H12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24" t="str">
        <f t="shared" ca="1" si="18"/>
        <v>Sí</v>
      </c>
      <c r="J12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24">
        <f ca="1">IF(Tabla2[[#This Row],[¿cliente deuda abierta?]]="Sí", Tabla2[[#This Row],[Deuda actual]]*Tabla2[[#This Row],[diferencia de días]], "0")</f>
        <v>30000</v>
      </c>
      <c r="L12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12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24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124">
        <f t="shared" ca="1" si="19"/>
        <v>1939.72</v>
      </c>
      <c r="P124">
        <f t="shared" ca="1" si="20"/>
        <v>80184.649999999994</v>
      </c>
      <c r="Q124">
        <f t="shared" ca="1" si="21"/>
        <v>2</v>
      </c>
      <c r="R124">
        <f ca="1">((Tabla2[[#This Row],[Fantasma Comunicación]]+1)/(Tabla2[[#This Row],[Fantasma Comunicación]]+RANDBETWEEN(0,5)+2))-0.5</f>
        <v>0.25</v>
      </c>
      <c r="S124">
        <f ca="1">1+MAX(0,Tabla2[[#This Row],[Deuda actual]]/Tabla2[[#This Row],[Liquidez]]+Tabla2[[#This Row],[Liquidez]]/(Tabla2[[#This Row],[Activos]]+Tabla2[[#This Row],[Liquidez]])+Tabla2[[#This Row],[Comunicación]])</f>
        <v>6.4290025495794225</v>
      </c>
      <c r="T124">
        <f ca="1">Tabla2[[#This Row],[Deuda actual]]*EXP(Tabla2[[#This Row],[Ki]]*Tabla2[[#This Row],[diferencia de días]])*(1+Tabla2[[#This Row],[Hg]])</f>
        <v>11006.601980396061</v>
      </c>
    </row>
    <row r="125" spans="1:20" ht="14.5" x14ac:dyDescent="0.35">
      <c r="A125">
        <f t="shared" si="11"/>
        <v>124</v>
      </c>
      <c r="B125">
        <f t="shared" ca="1" si="12"/>
        <v>46097</v>
      </c>
      <c r="C125">
        <f t="shared" ca="1" si="13"/>
        <v>46157</v>
      </c>
      <c r="D125">
        <f t="shared" ca="1" si="14"/>
        <v>57</v>
      </c>
      <c r="E125">
        <f t="shared" ca="1" si="15"/>
        <v>0.71900206180699799</v>
      </c>
      <c r="F125">
        <f t="shared" ca="1" si="16"/>
        <v>213.69</v>
      </c>
      <c r="G125" t="str">
        <f t="shared" ca="1" si="17"/>
        <v>personal</v>
      </c>
      <c r="H12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125" t="str">
        <f t="shared" ca="1" si="18"/>
        <v>No</v>
      </c>
      <c r="J12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12001.556216515948</v>
      </c>
      <c r="K125" t="str">
        <f ca="1">IF(Tabla2[[#This Row],[¿cliente deuda abierta?]]="Sí", Tabla2[[#This Row],[Deuda actual]]*Tabla2[[#This Row],[diferencia de días]], "0")</f>
        <v>0</v>
      </c>
      <c r="L12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2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12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125">
        <f t="shared" ca="1" si="19"/>
        <v>1725.95</v>
      </c>
      <c r="P125">
        <f t="shared" ca="1" si="20"/>
        <v>60025.75</v>
      </c>
      <c r="Q125">
        <f t="shared" ca="1" si="21"/>
        <v>3</v>
      </c>
      <c r="R125">
        <f ca="1">((Tabla2[[#This Row],[Fantasma Comunicación]]+1)/(Tabla2[[#This Row],[Fantasma Comunicación]]+RANDBETWEEN(0,5)+2))-0.5</f>
        <v>0.16666666666666663</v>
      </c>
      <c r="S125">
        <f ca="1">1+MAX(0,Tabla2[[#This Row],[Deuda actual]]/Tabla2[[#This Row],[Liquidez]]+Tabla2[[#This Row],[Liquidez]]/(Tabla2[[#This Row],[Activos]]+Tabla2[[#This Row],[Liquidez]])+Tabla2[[#This Row],[Comunicación]])</f>
        <v>1.31842658009543</v>
      </c>
      <c r="T125">
        <f ca="1">Tabla2[[#This Row],[Deuda actual]]*EXP(Tabla2[[#This Row],[Ki]]*Tabla2[[#This Row],[diferencia de días]])*(1+Tabla2[[#This Row],[Hg]])</f>
        <v>209.48787273925208</v>
      </c>
    </row>
    <row r="126" spans="1:20" ht="14.5" x14ac:dyDescent="0.35">
      <c r="A126">
        <f t="shared" si="11"/>
        <v>125</v>
      </c>
      <c r="B126">
        <f t="shared" ca="1" si="12"/>
        <v>46110</v>
      </c>
      <c r="C126">
        <f t="shared" ca="1" si="13"/>
        <v>46157</v>
      </c>
      <c r="D126">
        <f t="shared" ca="1" si="14"/>
        <v>16</v>
      </c>
      <c r="E126">
        <f t="shared" ca="1" si="15"/>
        <v>0.32834815323593092</v>
      </c>
      <c r="F126">
        <f t="shared" ca="1" si="16"/>
        <v>2983.19</v>
      </c>
      <c r="G126" t="str">
        <f t="shared" ca="1" si="17"/>
        <v>personal</v>
      </c>
      <c r="H12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26" t="str">
        <f t="shared" ca="1" si="18"/>
        <v>Sí</v>
      </c>
      <c r="J12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26">
        <f ca="1">IF(Tabla2[[#This Row],[¿cliente deuda abierta?]]="Sí", Tabla2[[#This Row],[Deuda actual]]*Tabla2[[#This Row],[diferencia de días]], "0")</f>
        <v>47731.040000000001</v>
      </c>
      <c r="L12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12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26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126">
        <f t="shared" ca="1" si="19"/>
        <v>1547.87</v>
      </c>
      <c r="P126">
        <f t="shared" ca="1" si="20"/>
        <v>60515.05</v>
      </c>
      <c r="Q126">
        <f t="shared" ca="1" si="21"/>
        <v>3</v>
      </c>
      <c r="R126">
        <f ca="1">((Tabla2[[#This Row],[Fantasma Comunicación]]+1)/(Tabla2[[#This Row],[Fantasma Comunicación]]+RANDBETWEEN(0,5)+2))-0.5</f>
        <v>0.16666666666666663</v>
      </c>
      <c r="S126">
        <f ca="1">1+MAX(0,Tabla2[[#This Row],[Deuda actual]]/Tabla2[[#This Row],[Liquidez]]+Tabla2[[#This Row],[Liquidez]]/(Tabla2[[#This Row],[Activos]]+Tabla2[[#This Row],[Liquidez]])+Tabla2[[#This Row],[Comunicación]])</f>
        <v>3.1188941766904041</v>
      </c>
      <c r="T126">
        <f ca="1">Tabla2[[#This Row],[Deuda actual]]*EXP(Tabla2[[#This Row],[Ki]]*Tabla2[[#This Row],[diferencia de días]])*(1+Tabla2[[#This Row],[Hg]])</f>
        <v>3302.5780065053245</v>
      </c>
    </row>
    <row r="127" spans="1:20" ht="14.5" x14ac:dyDescent="0.35">
      <c r="A127">
        <f t="shared" si="11"/>
        <v>126</v>
      </c>
      <c r="B127">
        <f t="shared" ca="1" si="12"/>
        <v>46137</v>
      </c>
      <c r="C127">
        <f t="shared" ca="1" si="13"/>
        <v>46157</v>
      </c>
      <c r="D127">
        <f t="shared" ca="1" si="14"/>
        <v>6</v>
      </c>
      <c r="E127">
        <f t="shared" ca="1" si="15"/>
        <v>7.620301844931987E-2</v>
      </c>
      <c r="F127">
        <f t="shared" ca="1" si="16"/>
        <v>304.87</v>
      </c>
      <c r="G127" t="str">
        <f t="shared" ca="1" si="17"/>
        <v>hipotecario</v>
      </c>
      <c r="H12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27" t="str">
        <f t="shared" ca="1" si="18"/>
        <v>No</v>
      </c>
      <c r="J12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164999.74009507615</v>
      </c>
      <c r="K127" t="str">
        <f ca="1">IF(Tabla2[[#This Row],[¿cliente deuda abierta?]]="Sí", Tabla2[[#This Row],[Deuda actual]]*Tabla2[[#This Row],[diferencia de días]], "0")</f>
        <v>0</v>
      </c>
      <c r="L12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2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2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27">
        <f t="shared" ca="1" si="19"/>
        <v>1298.67</v>
      </c>
      <c r="P127">
        <f t="shared" ca="1" si="20"/>
        <v>249505.46</v>
      </c>
      <c r="Q127">
        <f t="shared" ca="1" si="21"/>
        <v>1</v>
      </c>
      <c r="R127">
        <f ca="1">((Tabla2[[#This Row],[Fantasma Comunicación]]+1)/(Tabla2[[#This Row],[Fantasma Comunicación]]+RANDBETWEEN(0,5)+2))-0.5</f>
        <v>0</v>
      </c>
      <c r="S127">
        <f ca="1">1+MAX(0,Tabla2[[#This Row],[Deuda actual]]/Tabla2[[#This Row],[Liquidez]]+Tabla2[[#This Row],[Liquidez]]/(Tabla2[[#This Row],[Activos]]+Tabla2[[#This Row],[Liquidez]])+Tabla2[[#This Row],[Comunicación]])</f>
        <v>1.2399335823886739</v>
      </c>
      <c r="T127">
        <f ca="1">Tabla2[[#This Row],[Deuda actual]]*EXP(Tabla2[[#This Row],[Ki]]*Tabla2[[#This Row],[diferencia de días]])*(1+Tabla2[[#This Row],[Hg]])</f>
        <v>244.18885087538311</v>
      </c>
    </row>
    <row r="128" spans="1:20" ht="14.5" x14ac:dyDescent="0.35">
      <c r="A128">
        <f t="shared" si="11"/>
        <v>127</v>
      </c>
      <c r="B128">
        <f t="shared" ca="1" si="12"/>
        <v>46127</v>
      </c>
      <c r="C128">
        <f t="shared" ca="1" si="13"/>
        <v>46157</v>
      </c>
      <c r="D128">
        <f t="shared" ca="1" si="14"/>
        <v>22</v>
      </c>
      <c r="E128">
        <f t="shared" ca="1" si="15"/>
        <v>8.2959811584199961E-2</v>
      </c>
      <c r="F128">
        <f t="shared" ca="1" si="16"/>
        <v>1399.73</v>
      </c>
      <c r="G128" t="str">
        <f t="shared" ca="1" si="17"/>
        <v>personal</v>
      </c>
      <c r="H12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28" t="str">
        <f t="shared" ca="1" si="18"/>
        <v>Sí</v>
      </c>
      <c r="J12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28">
        <f ca="1">IF(Tabla2[[#This Row],[¿cliente deuda abierta?]]="Sí", Tabla2[[#This Row],[Deuda actual]]*Tabla2[[#This Row],[diferencia de días]], "0")</f>
        <v>30794.06</v>
      </c>
      <c r="L12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12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28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128">
        <f t="shared" ca="1" si="19"/>
        <v>1548.19</v>
      </c>
      <c r="P128">
        <f t="shared" ca="1" si="20"/>
        <v>55335.3</v>
      </c>
      <c r="Q128">
        <f t="shared" ca="1" si="21"/>
        <v>0</v>
      </c>
      <c r="R128">
        <f ca="1">((Tabla2[[#This Row],[Fantasma Comunicación]]+1)/(Tabla2[[#This Row],[Fantasma Comunicación]]+RANDBETWEEN(0,5)+2))-0.5</f>
        <v>-0.3</v>
      </c>
      <c r="S128">
        <f ca="1">1+MAX(0,Tabla2[[#This Row],[Deuda actual]]/Tabla2[[#This Row],[Liquidez]]+Tabla2[[#This Row],[Liquidez]]/(Tabla2[[#This Row],[Activos]]+Tabla2[[#This Row],[Liquidez]])+Tabla2[[#This Row],[Comunicación]])</f>
        <v>1.6313242372891117</v>
      </c>
      <c r="T128">
        <f ca="1">Tabla2[[#This Row],[Deuda actual]]*EXP(Tabla2[[#This Row],[Ki]]*Tabla2[[#This Row],[diferencia de días]])*(1+Tabla2[[#This Row],[Hg]])</f>
        <v>1553.3121789629827</v>
      </c>
    </row>
    <row r="129" spans="1:20" ht="14.5" x14ac:dyDescent="0.35">
      <c r="A129">
        <f t="shared" si="11"/>
        <v>128</v>
      </c>
      <c r="B129">
        <f t="shared" ca="1" si="12"/>
        <v>46098</v>
      </c>
      <c r="C129">
        <f t="shared" ca="1" si="13"/>
        <v>46157</v>
      </c>
      <c r="D129">
        <f t="shared" ca="1" si="14"/>
        <v>5</v>
      </c>
      <c r="E129">
        <f t="shared" ca="1" si="15"/>
        <v>0.34390060145841406</v>
      </c>
      <c r="F129">
        <f t="shared" ca="1" si="16"/>
        <v>431.64</v>
      </c>
      <c r="G129" t="str">
        <f t="shared" ca="1" si="17"/>
        <v>personal</v>
      </c>
      <c r="H12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29" t="str">
        <f t="shared" ca="1" si="18"/>
        <v>Sí</v>
      </c>
      <c r="J12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29">
        <f ca="1">IF(Tabla2[[#This Row],[¿cliente deuda abierta?]]="Sí", Tabla2[[#This Row],[Deuda actual]]*Tabla2[[#This Row],[diferencia de días]], "0")</f>
        <v>2158.1999999999998</v>
      </c>
      <c r="L12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2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2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29">
        <f t="shared" ca="1" si="19"/>
        <v>1330.22</v>
      </c>
      <c r="P129">
        <f t="shared" ca="1" si="20"/>
        <v>49508.46</v>
      </c>
      <c r="Q129">
        <f t="shared" ca="1" si="21"/>
        <v>1</v>
      </c>
      <c r="R129">
        <f ca="1">((Tabla2[[#This Row],[Fantasma Comunicación]]+1)/(Tabla2[[#This Row],[Fantasma Comunicación]]+RANDBETWEEN(0,5)+2))-0.5</f>
        <v>0.16666666666666663</v>
      </c>
      <c r="S129">
        <f ca="1">1+MAX(0,Tabla2[[#This Row],[Deuda actual]]/Tabla2[[#This Row],[Liquidez]]+Tabla2[[#This Row],[Liquidez]]/(Tabla2[[#This Row],[Activos]]+Tabla2[[#This Row],[Liquidez]])+Tabla2[[#This Row],[Comunicación]])</f>
        <v>1.5173198555946412</v>
      </c>
      <c r="T129">
        <f ca="1">Tabla2[[#This Row],[Deuda actual]]*EXP(Tabla2[[#This Row],[Ki]]*Tabla2[[#This Row],[diferencia de días]])*(1+Tabla2[[#This Row],[Hg]])</f>
        <v>453.67544868655591</v>
      </c>
    </row>
    <row r="130" spans="1:20" ht="14.5" x14ac:dyDescent="0.35">
      <c r="A130">
        <f t="shared" ref="A130:A193" si="22">A129+1</f>
        <v>129</v>
      </c>
      <c r="B130">
        <f t="shared" ref="B130:B193" ca="1" si="23">RANDBETWEEN(DATE(2026,3,1), DATE(2026,5,1))</f>
        <v>46142</v>
      </c>
      <c r="C130">
        <f t="shared" ref="C130:C193" ca="1" si="24">TODAY()</f>
        <v>46157</v>
      </c>
      <c r="D130">
        <f t="shared" ref="D130:D193" ca="1" si="25">ROUND((-(15) * LN(RAND())),0)</f>
        <v>15</v>
      </c>
      <c r="E130">
        <f t="shared" ref="E130:E193" ca="1" si="26">RAND()</f>
        <v>0.47573297834133521</v>
      </c>
      <c r="F130">
        <f t="shared" ref="F130:F193" ca="1" si="27">ROUND(MIN(10000, _xlfn.LOGNORM.INV(RAND(), 69/10, 13/10)),2)</f>
        <v>443.46</v>
      </c>
      <c r="G130" t="str">
        <f t="shared" ref="G130:G193" ca="1" si="28">IF(RAND()&lt;=0.5,"personal","hipotecario")</f>
        <v>hipotecario</v>
      </c>
      <c r="H13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30" t="str">
        <f t="shared" ref="I130:I193" ca="1" si="29">IF(RAND()&lt;=0.65, "Sí", "No")</f>
        <v>No</v>
      </c>
      <c r="J13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164999.30086259067</v>
      </c>
      <c r="K130" t="str">
        <f ca="1">IF(Tabla2[[#This Row],[¿cliente deuda abierta?]]="Sí", Tabla2[[#This Row],[Deuda actual]]*Tabla2[[#This Row],[diferencia de días]], "0")</f>
        <v>0</v>
      </c>
      <c r="L13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3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3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30">
        <f t="shared" ref="O130:O193" ca="1" si="30">ROUND(1000*(_xlfn.LOGNORM.INV(RAND(), 0.5, 0.2)),2)</f>
        <v>2135.08</v>
      </c>
      <c r="P130">
        <f t="shared" ref="P130:P193" ca="1" si="31">ROUND(50000*(_xlfn.LOGNORM.INV(RAND(), 1, 0.75)),2)</f>
        <v>27993.7</v>
      </c>
      <c r="Q130">
        <f t="shared" ref="Q130:Q193" ca="1" si="32">RANDBETWEEN(0,5)</f>
        <v>3</v>
      </c>
      <c r="R130">
        <f ca="1">((Tabla2[[#This Row],[Fantasma Comunicación]]+1)/(Tabla2[[#This Row],[Fantasma Comunicación]]+RANDBETWEEN(0,5)+2))-0.5</f>
        <v>7.1428571428571397E-2</v>
      </c>
      <c r="S130">
        <f ca="1">1+MAX(0,Tabla2[[#This Row],[Deuda actual]]/Tabla2[[#This Row],[Liquidez]]+Tabla2[[#This Row],[Liquidez]]/(Tabla2[[#This Row],[Activos]]+Tabla2[[#This Row],[Liquidez]])+Tabla2[[#This Row],[Comunicación]])</f>
        <v>1.3499955235034899</v>
      </c>
      <c r="T130">
        <f ca="1">Tabla2[[#This Row],[Deuda actual]]*EXP(Tabla2[[#This Row],[Ki]]*Tabla2[[#This Row],[diferencia de días]])*(1+Tabla2[[#This Row],[Hg]])</f>
        <v>356.90300661482848</v>
      </c>
    </row>
    <row r="131" spans="1:20" ht="14.5" x14ac:dyDescent="0.35">
      <c r="A131">
        <f t="shared" si="22"/>
        <v>130</v>
      </c>
      <c r="B131">
        <f t="shared" ca="1" si="23"/>
        <v>46094</v>
      </c>
      <c r="C131">
        <f t="shared" ca="1" si="24"/>
        <v>46157</v>
      </c>
      <c r="D131">
        <f t="shared" ca="1" si="25"/>
        <v>5</v>
      </c>
      <c r="E131">
        <f t="shared" ca="1" si="26"/>
        <v>0.44028023046292397</v>
      </c>
      <c r="F131">
        <f t="shared" ca="1" si="27"/>
        <v>350.56</v>
      </c>
      <c r="G131" t="str">
        <f t="shared" ca="1" si="28"/>
        <v>hipotecario</v>
      </c>
      <c r="H13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31" t="str">
        <f t="shared" ca="1" si="29"/>
        <v>Sí</v>
      </c>
      <c r="J13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31">
        <f ca="1">IF(Tabla2[[#This Row],[¿cliente deuda abierta?]]="Sí", Tabla2[[#This Row],[Deuda actual]]*Tabla2[[#This Row],[diferencia de días]], "0")</f>
        <v>1752.8</v>
      </c>
      <c r="L13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3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3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31">
        <f t="shared" ca="1" si="30"/>
        <v>1417.62</v>
      </c>
      <c r="P131">
        <f t="shared" ca="1" si="31"/>
        <v>229821.46</v>
      </c>
      <c r="Q131">
        <f t="shared" ca="1" si="32"/>
        <v>3</v>
      </c>
      <c r="R131">
        <f ca="1">((Tabla2[[#This Row],[Fantasma Comunicación]]+1)/(Tabla2[[#This Row],[Fantasma Comunicación]]+RANDBETWEEN(0,5)+2))-0.5</f>
        <v>7.1428571428571397E-2</v>
      </c>
      <c r="S131">
        <f ca="1">1+MAX(0,Tabla2[[#This Row],[Deuda actual]]/Tabla2[[#This Row],[Liquidez]]+Tabla2[[#This Row],[Liquidez]]/(Tabla2[[#This Row],[Activos]]+Tabla2[[#This Row],[Liquidez]])+Tabla2[[#This Row],[Comunicación]])</f>
        <v>1.3248468171373751</v>
      </c>
      <c r="T131">
        <f ca="1">Tabla2[[#This Row],[Deuda actual]]*EXP(Tabla2[[#This Row],[Ki]]*Tabla2[[#This Row],[diferencia de días]])*(1+Tabla2[[#This Row],[Hg]])</f>
        <v>368.45627210536333</v>
      </c>
    </row>
    <row r="132" spans="1:20" ht="14.5" x14ac:dyDescent="0.35">
      <c r="A132">
        <f t="shared" si="22"/>
        <v>131</v>
      </c>
      <c r="B132">
        <f t="shared" ca="1" si="23"/>
        <v>46109</v>
      </c>
      <c r="C132">
        <f t="shared" ca="1" si="24"/>
        <v>46157</v>
      </c>
      <c r="D132">
        <f t="shared" ca="1" si="25"/>
        <v>53</v>
      </c>
      <c r="E132">
        <f t="shared" ca="1" si="26"/>
        <v>0.15162440998303761</v>
      </c>
      <c r="F132">
        <f t="shared" ca="1" si="27"/>
        <v>1032.55</v>
      </c>
      <c r="G132" t="str">
        <f t="shared" ca="1" si="28"/>
        <v>hipotecario</v>
      </c>
      <c r="H13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132" t="str">
        <f t="shared" ca="1" si="29"/>
        <v>Sí</v>
      </c>
      <c r="J13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32">
        <f ca="1">IF(Tabla2[[#This Row],[¿cliente deuda abierta?]]="Sí", Tabla2[[#This Row],[Deuda actual]]*Tabla2[[#This Row],[diferencia de días]], "0")</f>
        <v>54725.149999999994</v>
      </c>
      <c r="L13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13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32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132">
        <f t="shared" ca="1" si="30"/>
        <v>1849.05</v>
      </c>
      <c r="P132">
        <f t="shared" ca="1" si="31"/>
        <v>127877.88</v>
      </c>
      <c r="Q132">
        <f t="shared" ca="1" si="32"/>
        <v>5</v>
      </c>
      <c r="R132">
        <f ca="1">((Tabla2[[#This Row],[Fantasma Comunicación]]+1)/(Tabla2[[#This Row],[Fantasma Comunicación]]+RANDBETWEEN(0,5)+2))-0.5</f>
        <v>4.5454545454545414E-2</v>
      </c>
      <c r="S132">
        <f ca="1">1+MAX(0,Tabla2[[#This Row],[Deuda actual]]/Tabla2[[#This Row],[Liquidez]]+Tabla2[[#This Row],[Liquidez]]/(Tabla2[[#This Row],[Activos]]+Tabla2[[#This Row],[Liquidez]])+Tabla2[[#This Row],[Comunicación]])</f>
        <v>1.6181298391338483</v>
      </c>
      <c r="T132">
        <f ca="1">Tabla2[[#This Row],[Deuda actual]]*EXP(Tabla2[[#This Row],[Ki]]*Tabla2[[#This Row],[diferencia de días]])*(1+Tabla2[[#This Row],[Hg]])</f>
        <v>1229.7878202413342</v>
      </c>
    </row>
    <row r="133" spans="1:20" ht="14.5" x14ac:dyDescent="0.35">
      <c r="A133">
        <f t="shared" si="22"/>
        <v>132</v>
      </c>
      <c r="B133">
        <f t="shared" ca="1" si="23"/>
        <v>46105</v>
      </c>
      <c r="C133">
        <f t="shared" ca="1" si="24"/>
        <v>46157</v>
      </c>
      <c r="D133">
        <f t="shared" ca="1" si="25"/>
        <v>12</v>
      </c>
      <c r="E133">
        <f t="shared" ca="1" si="26"/>
        <v>4.9260521849557093E-2</v>
      </c>
      <c r="F133">
        <f t="shared" ca="1" si="27"/>
        <v>760.12</v>
      </c>
      <c r="G133" t="str">
        <f t="shared" ca="1" si="28"/>
        <v>personal</v>
      </c>
      <c r="H13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33" t="str">
        <f t="shared" ca="1" si="29"/>
        <v>Sí</v>
      </c>
      <c r="J13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33">
        <f ca="1">IF(Tabla2[[#This Row],[¿cliente deuda abierta?]]="Sí", Tabla2[[#This Row],[Deuda actual]]*Tabla2[[#This Row],[diferencia de días]], "0")</f>
        <v>9121.44</v>
      </c>
      <c r="L13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3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3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33">
        <f t="shared" ca="1" si="30"/>
        <v>2230.3000000000002</v>
      </c>
      <c r="P133">
        <f t="shared" ca="1" si="31"/>
        <v>94474.42</v>
      </c>
      <c r="Q133">
        <f t="shared" ca="1" si="32"/>
        <v>5</v>
      </c>
      <c r="R133">
        <f ca="1">((Tabla2[[#This Row],[Fantasma Comunicación]]+1)/(Tabla2[[#This Row],[Fantasma Comunicación]]+RANDBETWEEN(0,5)+2))-0.5</f>
        <v>0</v>
      </c>
      <c r="S133">
        <f ca="1">1+MAX(0,Tabla2[[#This Row],[Deuda actual]]/Tabla2[[#This Row],[Liquidez]]+Tabla2[[#This Row],[Liquidez]]/(Tabla2[[#This Row],[Activos]]+Tabla2[[#This Row],[Liquidez]])+Tabla2[[#This Row],[Comunicación]])</f>
        <v>1.3638781270772613</v>
      </c>
      <c r="T133">
        <f ca="1">Tabla2[[#This Row],[Deuda actual]]*EXP(Tabla2[[#This Row],[Ki]]*Tabla2[[#This Row],[diferencia de días]])*(1+Tabla2[[#This Row],[Hg]])</f>
        <v>800.04380284286617</v>
      </c>
    </row>
    <row r="134" spans="1:20" ht="14.5" x14ac:dyDescent="0.35">
      <c r="A134">
        <f t="shared" si="22"/>
        <v>133</v>
      </c>
      <c r="B134">
        <f t="shared" ca="1" si="23"/>
        <v>46136</v>
      </c>
      <c r="C134">
        <f t="shared" ca="1" si="24"/>
        <v>46157</v>
      </c>
      <c r="D134">
        <f t="shared" ca="1" si="25"/>
        <v>6</v>
      </c>
      <c r="E134">
        <f t="shared" ca="1" si="26"/>
        <v>0.13980627403388635</v>
      </c>
      <c r="F134">
        <f t="shared" ca="1" si="27"/>
        <v>41.53</v>
      </c>
      <c r="G134" t="str">
        <f t="shared" ca="1" si="28"/>
        <v>personal</v>
      </c>
      <c r="H13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34" t="str">
        <f t="shared" ca="1" si="29"/>
        <v>No</v>
      </c>
      <c r="J13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11998.253869631528</v>
      </c>
      <c r="K134" t="str">
        <f ca="1">IF(Tabla2[[#This Row],[¿cliente deuda abierta?]]="Sí", Tabla2[[#This Row],[Deuda actual]]*Tabla2[[#This Row],[diferencia de días]], "0")</f>
        <v>0</v>
      </c>
      <c r="L13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3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13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134">
        <f t="shared" ca="1" si="30"/>
        <v>1637.92</v>
      </c>
      <c r="P134">
        <f t="shared" ca="1" si="31"/>
        <v>515705.95</v>
      </c>
      <c r="Q134">
        <f t="shared" ca="1" si="32"/>
        <v>5</v>
      </c>
      <c r="R134">
        <f ca="1">((Tabla2[[#This Row],[Fantasma Comunicación]]+1)/(Tabla2[[#This Row],[Fantasma Comunicación]]+RANDBETWEEN(0,5)+2))-0.5</f>
        <v>4.5454545454545414E-2</v>
      </c>
      <c r="S134">
        <f ca="1">1+MAX(0,Tabla2[[#This Row],[Deuda actual]]/Tabla2[[#This Row],[Liquidez]]+Tabla2[[#This Row],[Liquidez]]/(Tabla2[[#This Row],[Activos]]+Tabla2[[#This Row],[Liquidez]])+Tabla2[[#This Row],[Comunicación]])</f>
        <v>1.073975892155218</v>
      </c>
      <c r="T134">
        <f ca="1">Tabla2[[#This Row],[Deuda actual]]*EXP(Tabla2[[#This Row],[Ki]]*Tabla2[[#This Row],[diferencia de días]])*(1+Tabla2[[#This Row],[Hg]])</f>
        <v>37.421879322207808</v>
      </c>
    </row>
    <row r="135" spans="1:20" ht="14.5" x14ac:dyDescent="0.35">
      <c r="A135">
        <f t="shared" si="22"/>
        <v>134</v>
      </c>
      <c r="B135">
        <f t="shared" ca="1" si="23"/>
        <v>46105</v>
      </c>
      <c r="C135">
        <f t="shared" ca="1" si="24"/>
        <v>46157</v>
      </c>
      <c r="D135">
        <f t="shared" ca="1" si="25"/>
        <v>3</v>
      </c>
      <c r="E135">
        <f t="shared" ca="1" si="26"/>
        <v>0.11644287804829889</v>
      </c>
      <c r="F135">
        <f t="shared" ca="1" si="27"/>
        <v>54.14</v>
      </c>
      <c r="G135" t="str">
        <f t="shared" ca="1" si="28"/>
        <v>personal</v>
      </c>
      <c r="H13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35" t="str">
        <f t="shared" ca="1" si="29"/>
        <v>Sí</v>
      </c>
      <c r="J13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35">
        <f ca="1">IF(Tabla2[[#This Row],[¿cliente deuda abierta?]]="Sí", Tabla2[[#This Row],[Deuda actual]]*Tabla2[[#This Row],[diferencia de días]], "0")</f>
        <v>162.42000000000002</v>
      </c>
      <c r="L13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3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3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35">
        <f t="shared" ca="1" si="30"/>
        <v>1729.72</v>
      </c>
      <c r="P135">
        <f t="shared" ca="1" si="31"/>
        <v>207038.25</v>
      </c>
      <c r="Q135">
        <f t="shared" ca="1" si="32"/>
        <v>0</v>
      </c>
      <c r="R135">
        <f ca="1">((Tabla2[[#This Row],[Fantasma Comunicación]]+1)/(Tabla2[[#This Row],[Fantasma Comunicación]]+RANDBETWEEN(0,5)+2))-0.5</f>
        <v>-0.16666666666666669</v>
      </c>
      <c r="S135">
        <f ca="1">1+MAX(0,Tabla2[[#This Row],[Deuda actual]]/Tabla2[[#This Row],[Liquidez]]+Tabla2[[#This Row],[Liquidez]]/(Tabla2[[#This Row],[Activos]]+Tabla2[[#This Row],[Liquidez]])+Tabla2[[#This Row],[Comunicación]])</f>
        <v>1</v>
      </c>
      <c r="T135">
        <f ca="1">Tabla2[[#This Row],[Deuda actual]]*EXP(Tabla2[[#This Row],[Ki]]*Tabla2[[#This Row],[diferencia de días]])*(1+Tabla2[[#This Row],[Hg]])</f>
        <v>56.881118434506803</v>
      </c>
    </row>
    <row r="136" spans="1:20" ht="14.5" x14ac:dyDescent="0.35">
      <c r="A136">
        <f t="shared" si="22"/>
        <v>135</v>
      </c>
      <c r="B136">
        <f t="shared" ca="1" si="23"/>
        <v>46121</v>
      </c>
      <c r="C136">
        <f t="shared" ca="1" si="24"/>
        <v>46157</v>
      </c>
      <c r="D136">
        <f t="shared" ca="1" si="25"/>
        <v>14</v>
      </c>
      <c r="E136">
        <f t="shared" ca="1" si="26"/>
        <v>0.15076761175310072</v>
      </c>
      <c r="F136">
        <f t="shared" ca="1" si="27"/>
        <v>1657.61</v>
      </c>
      <c r="G136" t="str">
        <f t="shared" ca="1" si="28"/>
        <v>hipotecario</v>
      </c>
      <c r="H13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36" t="str">
        <f t="shared" ca="1" si="29"/>
        <v>No</v>
      </c>
      <c r="J13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165000.14007785235</v>
      </c>
      <c r="K136" t="str">
        <f ca="1">IF(Tabla2[[#This Row],[¿cliente deuda abierta?]]="Sí", Tabla2[[#This Row],[Deuda actual]]*Tabla2[[#This Row],[diferencia de días]], "0")</f>
        <v>0</v>
      </c>
      <c r="L13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3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36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36">
        <f t="shared" ca="1" si="30"/>
        <v>1544.54</v>
      </c>
      <c r="P136">
        <f t="shared" ca="1" si="31"/>
        <v>125736.59</v>
      </c>
      <c r="Q136">
        <f t="shared" ca="1" si="32"/>
        <v>0</v>
      </c>
      <c r="R136">
        <f ca="1">((Tabla2[[#This Row],[Fantasma Comunicación]]+1)/(Tabla2[[#This Row],[Fantasma Comunicación]]+RANDBETWEEN(0,5)+2))-0.5</f>
        <v>-0.3</v>
      </c>
      <c r="S136">
        <f ca="1">1+MAX(0,Tabla2[[#This Row],[Deuda actual]]/Tabla2[[#This Row],[Liquidez]]+Tabla2[[#This Row],[Liquidez]]/(Tabla2[[#This Row],[Activos]]+Tabla2[[#This Row],[Liquidez]])+Tabla2[[#This Row],[Comunicación]])</f>
        <v>1.7853411323257073</v>
      </c>
      <c r="T136">
        <f ca="1">Tabla2[[#This Row],[Deuda actual]]*EXP(Tabla2[[#This Row],[Ki]]*Tabla2[[#This Row],[diferencia de días]])*(1+Tabla2[[#This Row],[Hg]])</f>
        <v>1329.806249520072</v>
      </c>
    </row>
    <row r="137" spans="1:20" ht="14.5" x14ac:dyDescent="0.35">
      <c r="A137">
        <f t="shared" si="22"/>
        <v>136</v>
      </c>
      <c r="B137">
        <f t="shared" ca="1" si="23"/>
        <v>46099</v>
      </c>
      <c r="C137">
        <f t="shared" ca="1" si="24"/>
        <v>46157</v>
      </c>
      <c r="D137">
        <f t="shared" ca="1" si="25"/>
        <v>22</v>
      </c>
      <c r="E137">
        <f t="shared" ca="1" si="26"/>
        <v>0.87522655733598975</v>
      </c>
      <c r="F137">
        <f t="shared" ca="1" si="27"/>
        <v>1326.88</v>
      </c>
      <c r="G137" t="str">
        <f t="shared" ca="1" si="28"/>
        <v>personal</v>
      </c>
      <c r="H13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37" t="str">
        <f t="shared" ca="1" si="29"/>
        <v>Sí</v>
      </c>
      <c r="J13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37">
        <f ca="1">IF(Tabla2[[#This Row],[¿cliente deuda abierta?]]="Sí", Tabla2[[#This Row],[Deuda actual]]*Tabla2[[#This Row],[diferencia de días]], "0")</f>
        <v>29191.360000000001</v>
      </c>
      <c r="L13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3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3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37">
        <f t="shared" ca="1" si="30"/>
        <v>1959.21</v>
      </c>
      <c r="P137">
        <f t="shared" ca="1" si="31"/>
        <v>40848.629999999997</v>
      </c>
      <c r="Q137">
        <f t="shared" ca="1" si="32"/>
        <v>2</v>
      </c>
      <c r="R137">
        <f ca="1">((Tabla2[[#This Row],[Fantasma Comunicación]]+1)/(Tabla2[[#This Row],[Fantasma Comunicación]]+RANDBETWEEN(0,5)+2))-0.5</f>
        <v>0.25</v>
      </c>
      <c r="S137">
        <f ca="1">1+MAX(0,Tabla2[[#This Row],[Deuda actual]]/Tabla2[[#This Row],[Liquidez]]+Tabla2[[#This Row],[Liquidez]]/(Tabla2[[#This Row],[Activos]]+Tabla2[[#This Row],[Liquidez]])+Tabla2[[#This Row],[Comunicación]])</f>
        <v>1.9730201170759696</v>
      </c>
      <c r="T137">
        <f ca="1">Tabla2[[#This Row],[Deuda actual]]*EXP(Tabla2[[#This Row],[Ki]]*Tabla2[[#This Row],[diferencia de días]])*(1+Tabla2[[#This Row],[Hg]])</f>
        <v>1405.5384754225474</v>
      </c>
    </row>
    <row r="138" spans="1:20" ht="14.5" x14ac:dyDescent="0.35">
      <c r="A138">
        <f t="shared" si="22"/>
        <v>137</v>
      </c>
      <c r="B138">
        <f t="shared" ca="1" si="23"/>
        <v>46083</v>
      </c>
      <c r="C138">
        <f t="shared" ca="1" si="24"/>
        <v>46157</v>
      </c>
      <c r="D138">
        <f t="shared" ca="1" si="25"/>
        <v>45</v>
      </c>
      <c r="E138">
        <f t="shared" ca="1" si="26"/>
        <v>0.12075614211433194</v>
      </c>
      <c r="F138">
        <f t="shared" ca="1" si="27"/>
        <v>33.78</v>
      </c>
      <c r="G138" t="str">
        <f t="shared" ca="1" si="28"/>
        <v>personal</v>
      </c>
      <c r="H13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138" t="str">
        <f t="shared" ca="1" si="29"/>
        <v>Sí</v>
      </c>
      <c r="J13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38">
        <f ca="1">IF(Tabla2[[#This Row],[¿cliente deuda abierta?]]="Sí", Tabla2[[#This Row],[Deuda actual]]*Tabla2[[#This Row],[diferencia de días]], "0")</f>
        <v>1520.1000000000001</v>
      </c>
      <c r="L13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3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3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38">
        <f t="shared" ca="1" si="30"/>
        <v>1471.8</v>
      </c>
      <c r="P138">
        <f t="shared" ca="1" si="31"/>
        <v>157449.66</v>
      </c>
      <c r="Q138">
        <f t="shared" ca="1" si="32"/>
        <v>3</v>
      </c>
      <c r="R138">
        <f ca="1">((Tabla2[[#This Row],[Fantasma Comunicación]]+1)/(Tabla2[[#This Row],[Fantasma Comunicación]]+RANDBETWEEN(0,5)+2))-0.5</f>
        <v>7.1428571428571397E-2</v>
      </c>
      <c r="S138">
        <f ca="1">1+MAX(0,Tabla2[[#This Row],[Deuda actual]]/Tabla2[[#This Row],[Liquidez]]+Tabla2[[#This Row],[Liquidez]]/(Tabla2[[#This Row],[Activos]]+Tabla2[[#This Row],[Liquidez]])+Tabla2[[#This Row],[Comunicación]])</f>
        <v>1.1036412378487399</v>
      </c>
      <c r="T138">
        <f ca="1">Tabla2[[#This Row],[Deuda actual]]*EXP(Tabla2[[#This Row],[Ki]]*Tabla2[[#This Row],[diferencia de días]])*(1+Tabla2[[#This Row],[Hg]])</f>
        <v>37.10156216310228</v>
      </c>
    </row>
    <row r="139" spans="1:20" ht="14.5" x14ac:dyDescent="0.35">
      <c r="A139">
        <f t="shared" si="22"/>
        <v>138</v>
      </c>
      <c r="B139">
        <f t="shared" ca="1" si="23"/>
        <v>46134</v>
      </c>
      <c r="C139">
        <f t="shared" ca="1" si="24"/>
        <v>46157</v>
      </c>
      <c r="D139">
        <f t="shared" ca="1" si="25"/>
        <v>43</v>
      </c>
      <c r="E139">
        <f t="shared" ca="1" si="26"/>
        <v>0.54037417856874992</v>
      </c>
      <c r="F139">
        <f t="shared" ca="1" si="27"/>
        <v>6993.13</v>
      </c>
      <c r="G139" t="str">
        <f t="shared" ca="1" si="28"/>
        <v>personal</v>
      </c>
      <c r="H13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139" t="str">
        <f t="shared" ca="1" si="29"/>
        <v>Sí</v>
      </c>
      <c r="J13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39">
        <f ca="1">IF(Tabla2[[#This Row],[¿cliente deuda abierta?]]="Sí", Tabla2[[#This Row],[Deuda actual]]*Tabla2[[#This Row],[diferencia de días]], "0")</f>
        <v>300704.59000000003</v>
      </c>
      <c r="L13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0.2</v>
      </c>
      <c r="M13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39">
        <f ca="1">MAX(Tabla2[[#This Row],[VALORES DE Hg para actuales deudores]:[Valores de HG para deudores cerrados]])*IF(Tabla2[[#This Row],[VALORES DE Hg para actuales deudores]]&gt;Tabla2[[#This Row],[Valores de HG para deudores cerrados]],-1,1)</f>
        <v>0.2</v>
      </c>
      <c r="O139">
        <f t="shared" ca="1" si="30"/>
        <v>1756.43</v>
      </c>
      <c r="P139">
        <f t="shared" ca="1" si="31"/>
        <v>167990.52</v>
      </c>
      <c r="Q139">
        <f t="shared" ca="1" si="32"/>
        <v>0</v>
      </c>
      <c r="R139">
        <f ca="1">((Tabla2[[#This Row],[Fantasma Comunicación]]+1)/(Tabla2[[#This Row],[Fantasma Comunicación]]+RANDBETWEEN(0,5)+2))-0.5</f>
        <v>-0.33333333333333337</v>
      </c>
      <c r="S139">
        <f ca="1">1+MAX(0,Tabla2[[#This Row],[Deuda actual]]/Tabla2[[#This Row],[Liquidez]]+Tabla2[[#This Row],[Liquidez]]/(Tabla2[[#This Row],[Activos]]+Tabla2[[#This Row],[Liquidez]])+Tabla2[[#This Row],[Comunicación]])</f>
        <v>4.6584593282282007</v>
      </c>
      <c r="T139">
        <f ca="1">Tabla2[[#This Row],[Deuda actual]]*EXP(Tabla2[[#This Row],[Ki]]*Tabla2[[#This Row],[diferencia de días]])*(1+Tabla2[[#This Row],[Hg]])</f>
        <v>8760.4720927399976</v>
      </c>
    </row>
    <row r="140" spans="1:20" ht="14.5" x14ac:dyDescent="0.35">
      <c r="A140">
        <f t="shared" si="22"/>
        <v>139</v>
      </c>
      <c r="B140">
        <f t="shared" ca="1" si="23"/>
        <v>46112</v>
      </c>
      <c r="C140">
        <f t="shared" ca="1" si="24"/>
        <v>46157</v>
      </c>
      <c r="D140">
        <f t="shared" ca="1" si="25"/>
        <v>54</v>
      </c>
      <c r="E140">
        <f t="shared" ca="1" si="26"/>
        <v>0.43193311962739001</v>
      </c>
      <c r="F140">
        <f t="shared" ca="1" si="27"/>
        <v>8892.2800000000007</v>
      </c>
      <c r="G140" t="str">
        <f t="shared" ca="1" si="28"/>
        <v>hipotecario</v>
      </c>
      <c r="H14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140" t="str">
        <f t="shared" ca="1" si="29"/>
        <v>No</v>
      </c>
      <c r="J14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164999.97222826167</v>
      </c>
      <c r="K140" t="str">
        <f ca="1">IF(Tabla2[[#This Row],[¿cliente deuda abierta?]]="Sí", Tabla2[[#This Row],[Deuda actual]]*Tabla2[[#This Row],[diferencia de días]], "0")</f>
        <v>0</v>
      </c>
      <c r="L14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4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4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40">
        <f t="shared" ca="1" si="30"/>
        <v>1362.53</v>
      </c>
      <c r="P140">
        <f t="shared" ca="1" si="31"/>
        <v>43683.69</v>
      </c>
      <c r="Q140">
        <f t="shared" ca="1" si="32"/>
        <v>3</v>
      </c>
      <c r="R140">
        <f ca="1">((Tabla2[[#This Row],[Fantasma Comunicación]]+1)/(Tabla2[[#This Row],[Fantasma Comunicación]]+RANDBETWEEN(0,5)+2))-0.5</f>
        <v>7.1428571428571397E-2</v>
      </c>
      <c r="S140">
        <f ca="1">1+MAX(0,Tabla2[[#This Row],[Deuda actual]]/Tabla2[[#This Row],[Liquidez]]+Tabla2[[#This Row],[Liquidez]]/(Tabla2[[#This Row],[Activos]]+Tabla2[[#This Row],[Liquidez]])+Tabla2[[#This Row],[Comunicación]])</f>
        <v>7.6279762867971632</v>
      </c>
      <c r="T140">
        <f ca="1">Tabla2[[#This Row],[Deuda actual]]*EXP(Tabla2[[#This Row],[Ki]]*Tabla2[[#This Row],[diferencia de días]])*(1+Tabla2[[#This Row],[Hg]])</f>
        <v>7714.0237088981394</v>
      </c>
    </row>
    <row r="141" spans="1:20" ht="14.5" x14ac:dyDescent="0.35">
      <c r="A141">
        <f t="shared" si="22"/>
        <v>140</v>
      </c>
      <c r="B141">
        <f t="shared" ca="1" si="23"/>
        <v>46082</v>
      </c>
      <c r="C141">
        <f t="shared" ca="1" si="24"/>
        <v>46157</v>
      </c>
      <c r="D141">
        <f t="shared" ca="1" si="25"/>
        <v>3</v>
      </c>
      <c r="E141">
        <f t="shared" ca="1" si="26"/>
        <v>0.77065828779989343</v>
      </c>
      <c r="F141">
        <f t="shared" ca="1" si="27"/>
        <v>10000</v>
      </c>
      <c r="G141" t="str">
        <f t="shared" ca="1" si="28"/>
        <v>hipotecario</v>
      </c>
      <c r="H14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41" t="str">
        <f t="shared" ca="1" si="29"/>
        <v>Sí</v>
      </c>
      <c r="J14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41">
        <f ca="1">IF(Tabla2[[#This Row],[¿cliente deuda abierta?]]="Sí", Tabla2[[#This Row],[Deuda actual]]*Tabla2[[#This Row],[diferencia de días]], "0")</f>
        <v>30000</v>
      </c>
      <c r="L14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14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41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141">
        <f t="shared" ca="1" si="30"/>
        <v>1460.98</v>
      </c>
      <c r="P141">
        <f t="shared" ca="1" si="31"/>
        <v>232527.37</v>
      </c>
      <c r="Q141">
        <f t="shared" ca="1" si="32"/>
        <v>1</v>
      </c>
      <c r="R141">
        <f ca="1">((Tabla2[[#This Row],[Fantasma Comunicación]]+1)/(Tabla2[[#This Row],[Fantasma Comunicación]]+RANDBETWEEN(0,5)+2))-0.5</f>
        <v>0</v>
      </c>
      <c r="S141">
        <f ca="1">1+MAX(0,Tabla2[[#This Row],[Deuda actual]]/Tabla2[[#This Row],[Liquidez]]+Tabla2[[#This Row],[Liquidez]]/(Tabla2[[#This Row],[Activos]]+Tabla2[[#This Row],[Liquidez]])+Tabla2[[#This Row],[Comunicación]])</f>
        <v>7.8509644820796938</v>
      </c>
      <c r="T141">
        <f ca="1">Tabla2[[#This Row],[Deuda actual]]*EXP(Tabla2[[#This Row],[Ki]]*Tabla2[[#This Row],[diferencia de días]])*(1+Tabla2[[#This Row],[Hg]])</f>
        <v>11006.601980396061</v>
      </c>
    </row>
    <row r="142" spans="1:20" ht="14.5" x14ac:dyDescent="0.35">
      <c r="A142">
        <f t="shared" si="22"/>
        <v>141</v>
      </c>
      <c r="B142">
        <f t="shared" ca="1" si="23"/>
        <v>46084</v>
      </c>
      <c r="C142">
        <f t="shared" ca="1" si="24"/>
        <v>46157</v>
      </c>
      <c r="D142">
        <f t="shared" ca="1" si="25"/>
        <v>1</v>
      </c>
      <c r="E142">
        <f t="shared" ca="1" si="26"/>
        <v>0.77841521955176363</v>
      </c>
      <c r="F142">
        <f t="shared" ca="1" si="27"/>
        <v>1168.8599999999999</v>
      </c>
      <c r="G142" t="str">
        <f t="shared" ca="1" si="28"/>
        <v>personal</v>
      </c>
      <c r="H14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42" t="str">
        <f t="shared" ca="1" si="29"/>
        <v>Sí</v>
      </c>
      <c r="J14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42">
        <f ca="1">IF(Tabla2[[#This Row],[¿cliente deuda abierta?]]="Sí", Tabla2[[#This Row],[Deuda actual]]*Tabla2[[#This Row],[diferencia de días]], "0")</f>
        <v>1168.8599999999999</v>
      </c>
      <c r="L14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4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4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42">
        <f t="shared" ca="1" si="30"/>
        <v>1790.29</v>
      </c>
      <c r="P142">
        <f t="shared" ca="1" si="31"/>
        <v>73844.52</v>
      </c>
      <c r="Q142">
        <f t="shared" ca="1" si="32"/>
        <v>4</v>
      </c>
      <c r="R142">
        <f ca="1">((Tabla2[[#This Row],[Fantasma Comunicación]]+1)/(Tabla2[[#This Row],[Fantasma Comunicación]]+RANDBETWEEN(0,5)+2))-0.5</f>
        <v>-4.545454545454547E-2</v>
      </c>
      <c r="S142">
        <f ca="1">1+MAX(0,Tabla2[[#This Row],[Deuda actual]]/Tabla2[[#This Row],[Liquidez]]+Tabla2[[#This Row],[Liquidez]]/(Tabla2[[#This Row],[Activos]]+Tabla2[[#This Row],[Liquidez]])+Tabla2[[#This Row],[Comunicación]])</f>
        <v>1.6311042784243792</v>
      </c>
      <c r="T142">
        <f ca="1">Tabla2[[#This Row],[Deuda actual]]*EXP(Tabla2[[#This Row],[Ki]]*Tabla2[[#This Row],[diferencia de días]])*(1+Tabla2[[#This Row],[Hg]])</f>
        <v>1227.5484851476965</v>
      </c>
    </row>
    <row r="143" spans="1:20" ht="14.5" x14ac:dyDescent="0.35">
      <c r="A143">
        <f t="shared" si="22"/>
        <v>142</v>
      </c>
      <c r="B143">
        <f t="shared" ca="1" si="23"/>
        <v>46107</v>
      </c>
      <c r="C143">
        <f t="shared" ca="1" si="24"/>
        <v>46157</v>
      </c>
      <c r="D143">
        <f t="shared" ca="1" si="25"/>
        <v>24</v>
      </c>
      <c r="E143">
        <f t="shared" ca="1" si="26"/>
        <v>0.749785121135914</v>
      </c>
      <c r="F143">
        <f t="shared" ca="1" si="27"/>
        <v>234.54</v>
      </c>
      <c r="G143" t="str">
        <f t="shared" ca="1" si="28"/>
        <v>hipotecario</v>
      </c>
      <c r="H14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43" t="str">
        <f t="shared" ca="1" si="29"/>
        <v>No</v>
      </c>
      <c r="J14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165000.0309741619</v>
      </c>
      <c r="K143" t="str">
        <f ca="1">IF(Tabla2[[#This Row],[¿cliente deuda abierta?]]="Sí", Tabla2[[#This Row],[Deuda actual]]*Tabla2[[#This Row],[diferencia de días]], "0")</f>
        <v>0</v>
      </c>
      <c r="L14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4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4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43">
        <f t="shared" ca="1" si="30"/>
        <v>2024.01</v>
      </c>
      <c r="P143">
        <f t="shared" ca="1" si="31"/>
        <v>62934.82</v>
      </c>
      <c r="Q143">
        <f t="shared" ca="1" si="32"/>
        <v>1</v>
      </c>
      <c r="R143">
        <f ca="1">((Tabla2[[#This Row],[Fantasma Comunicación]]+1)/(Tabla2[[#This Row],[Fantasma Comunicación]]+RANDBETWEEN(0,5)+2))-0.5</f>
        <v>0.16666666666666663</v>
      </c>
      <c r="S143">
        <f ca="1">1+MAX(0,Tabla2[[#This Row],[Deuda actual]]/Tabla2[[#This Row],[Liquidez]]+Tabla2[[#This Row],[Liquidez]]/(Tabla2[[#This Row],[Activos]]+Tabla2[[#This Row],[Liquidez]])+Tabla2[[#This Row],[Comunicación]])</f>
        <v>1.3137038913874304</v>
      </c>
      <c r="T143">
        <f ca="1">Tabla2[[#This Row],[Deuda actual]]*EXP(Tabla2[[#This Row],[Ki]]*Tabla2[[#This Row],[diferencia de días]])*(1+Tabla2[[#This Row],[Hg]])</f>
        <v>189.44194101655378</v>
      </c>
    </row>
    <row r="144" spans="1:20" ht="14.5" x14ac:dyDescent="0.35">
      <c r="A144">
        <f t="shared" si="22"/>
        <v>143</v>
      </c>
      <c r="B144">
        <f t="shared" ca="1" si="23"/>
        <v>46142</v>
      </c>
      <c r="C144">
        <f t="shared" ca="1" si="24"/>
        <v>46157</v>
      </c>
      <c r="D144">
        <f t="shared" ca="1" si="25"/>
        <v>33</v>
      </c>
      <c r="E144">
        <f t="shared" ca="1" si="26"/>
        <v>0.1459907107481685</v>
      </c>
      <c r="F144">
        <f t="shared" ca="1" si="27"/>
        <v>1431.27</v>
      </c>
      <c r="G144" t="str">
        <f t="shared" ca="1" si="28"/>
        <v>personal</v>
      </c>
      <c r="H14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144" t="str">
        <f t="shared" ca="1" si="29"/>
        <v>Sí</v>
      </c>
      <c r="J14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44">
        <f ca="1">IF(Tabla2[[#This Row],[¿cliente deuda abierta?]]="Sí", Tabla2[[#This Row],[Deuda actual]]*Tabla2[[#This Row],[diferencia de días]], "0")</f>
        <v>47231.909999999996</v>
      </c>
      <c r="L14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14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44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144">
        <f t="shared" ca="1" si="30"/>
        <v>1290.07</v>
      </c>
      <c r="P144">
        <f t="shared" ca="1" si="31"/>
        <v>265124.93</v>
      </c>
      <c r="Q144">
        <f t="shared" ca="1" si="32"/>
        <v>0</v>
      </c>
      <c r="R144">
        <f ca="1">((Tabla2[[#This Row],[Fantasma Comunicación]]+1)/(Tabla2[[#This Row],[Fantasma Comunicación]]+RANDBETWEEN(0,5)+2))-0.5</f>
        <v>-0.35714285714285715</v>
      </c>
      <c r="S144">
        <f ca="1">1+MAX(0,Tabla2[[#This Row],[Deuda actual]]/Tabla2[[#This Row],[Liquidez]]+Tabla2[[#This Row],[Liquidez]]/(Tabla2[[#This Row],[Activos]]+Tabla2[[#This Row],[Liquidez]])+Tabla2[[#This Row],[Comunicación]])</f>
        <v>1.7571509004248602</v>
      </c>
      <c r="T144">
        <f ca="1">Tabla2[[#This Row],[Deuda actual]]*EXP(Tabla2[[#This Row],[Ki]]*Tabla2[[#This Row],[diferencia de días]])*(1+Tabla2[[#This Row],[Hg]])</f>
        <v>1627.2188683298939</v>
      </c>
    </row>
    <row r="145" spans="1:20" ht="14.5" x14ac:dyDescent="0.35">
      <c r="A145">
        <f t="shared" si="22"/>
        <v>144</v>
      </c>
      <c r="B145">
        <f t="shared" ca="1" si="23"/>
        <v>46106</v>
      </c>
      <c r="C145">
        <f t="shared" ca="1" si="24"/>
        <v>46157</v>
      </c>
      <c r="D145">
        <f t="shared" ca="1" si="25"/>
        <v>26</v>
      </c>
      <c r="E145">
        <f t="shared" ca="1" si="26"/>
        <v>0.68969285060423646</v>
      </c>
      <c r="F145">
        <f t="shared" ca="1" si="27"/>
        <v>657.57</v>
      </c>
      <c r="G145" t="str">
        <f t="shared" ca="1" si="28"/>
        <v>personal</v>
      </c>
      <c r="H14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45" t="str">
        <f t="shared" ca="1" si="29"/>
        <v>Sí</v>
      </c>
      <c r="J14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45">
        <f ca="1">IF(Tabla2[[#This Row],[¿cliente deuda abierta?]]="Sí", Tabla2[[#This Row],[Deuda actual]]*Tabla2[[#This Row],[diferencia de días]], "0")</f>
        <v>17096.82</v>
      </c>
      <c r="L14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4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4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45">
        <f t="shared" ca="1" si="30"/>
        <v>1418.34</v>
      </c>
      <c r="P145">
        <f t="shared" ca="1" si="31"/>
        <v>144525.39000000001</v>
      </c>
      <c r="Q145">
        <f t="shared" ca="1" si="32"/>
        <v>4</v>
      </c>
      <c r="R145">
        <f ca="1">((Tabla2[[#This Row],[Fantasma Comunicación]]+1)/(Tabla2[[#This Row],[Fantasma Comunicación]]+RANDBETWEEN(0,5)+2))-0.5</f>
        <v>0</v>
      </c>
      <c r="S145">
        <f ca="1">1+MAX(0,Tabla2[[#This Row],[Deuda actual]]/Tabla2[[#This Row],[Liquidez]]+Tabla2[[#This Row],[Liquidez]]/(Tabla2[[#This Row],[Activos]]+Tabla2[[#This Row],[Liquidez]])+Tabla2[[#This Row],[Comunicación]])</f>
        <v>1.4733378455601136</v>
      </c>
      <c r="T145">
        <f ca="1">Tabla2[[#This Row],[Deuda actual]]*EXP(Tabla2[[#This Row],[Ki]]*Tabla2[[#This Row],[diferencia de días]])*(1+Tabla2[[#This Row],[Hg]])</f>
        <v>697.6666336355778</v>
      </c>
    </row>
    <row r="146" spans="1:20" ht="14.5" x14ac:dyDescent="0.35">
      <c r="A146">
        <f t="shared" si="22"/>
        <v>145</v>
      </c>
      <c r="B146">
        <f t="shared" ca="1" si="23"/>
        <v>46131</v>
      </c>
      <c r="C146">
        <f t="shared" ca="1" si="24"/>
        <v>46157</v>
      </c>
      <c r="D146">
        <f t="shared" ca="1" si="25"/>
        <v>13</v>
      </c>
      <c r="E146">
        <f t="shared" ca="1" si="26"/>
        <v>0.89985922511832173</v>
      </c>
      <c r="F146">
        <f t="shared" ca="1" si="27"/>
        <v>507.63</v>
      </c>
      <c r="G146" t="str">
        <f t="shared" ca="1" si="28"/>
        <v>hipotecario</v>
      </c>
      <c r="H14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46" t="str">
        <f t="shared" ca="1" si="29"/>
        <v>Sí</v>
      </c>
      <c r="J14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46">
        <f ca="1">IF(Tabla2[[#This Row],[¿cliente deuda abierta?]]="Sí", Tabla2[[#This Row],[Deuda actual]]*Tabla2[[#This Row],[diferencia de días]], "0")</f>
        <v>6599.19</v>
      </c>
      <c r="L14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4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4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46">
        <f t="shared" ca="1" si="30"/>
        <v>2061.0500000000002</v>
      </c>
      <c r="P146">
        <f t="shared" ca="1" si="31"/>
        <v>44829.61</v>
      </c>
      <c r="Q146">
        <f t="shared" ca="1" si="32"/>
        <v>0</v>
      </c>
      <c r="R146">
        <f ca="1">((Tabla2[[#This Row],[Fantasma Comunicación]]+1)/(Tabla2[[#This Row],[Fantasma Comunicación]]+RANDBETWEEN(0,5)+2))-0.5</f>
        <v>-0.25</v>
      </c>
      <c r="S146">
        <f ca="1">1+MAX(0,Tabla2[[#This Row],[Deuda actual]]/Tabla2[[#This Row],[Liquidez]]+Tabla2[[#This Row],[Liquidez]]/(Tabla2[[#This Row],[Activos]]+Tabla2[[#This Row],[Liquidez]])+Tabla2[[#This Row],[Comunicación]])</f>
        <v>1.0402511728574755</v>
      </c>
      <c r="T146">
        <f ca="1">Tabla2[[#This Row],[Deuda actual]]*EXP(Tabla2[[#This Row],[Ki]]*Tabla2[[#This Row],[diferencia de días]])*(1+Tabla2[[#This Row],[Hg]])</f>
        <v>534.39913304125378</v>
      </c>
    </row>
    <row r="147" spans="1:20" ht="14.5" x14ac:dyDescent="0.35">
      <c r="A147">
        <f t="shared" si="22"/>
        <v>146</v>
      </c>
      <c r="B147">
        <f t="shared" ca="1" si="23"/>
        <v>46108</v>
      </c>
      <c r="C147">
        <f t="shared" ca="1" si="24"/>
        <v>46157</v>
      </c>
      <c r="D147">
        <f t="shared" ca="1" si="25"/>
        <v>16</v>
      </c>
      <c r="E147">
        <f t="shared" ca="1" si="26"/>
        <v>0.87155053060059462</v>
      </c>
      <c r="F147">
        <f t="shared" ca="1" si="27"/>
        <v>4543.0600000000004</v>
      </c>
      <c r="G147" t="str">
        <f t="shared" ca="1" si="28"/>
        <v>personal</v>
      </c>
      <c r="H14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47" t="str">
        <f t="shared" ca="1" si="29"/>
        <v>No</v>
      </c>
      <c r="J14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11998.401683799937</v>
      </c>
      <c r="K147" t="str">
        <f ca="1">IF(Tabla2[[#This Row],[¿cliente deuda abierta?]]="Sí", Tabla2[[#This Row],[Deuda actual]]*Tabla2[[#This Row],[diferencia de días]], "0")</f>
        <v>0</v>
      </c>
      <c r="L14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4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147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147">
        <f t="shared" ca="1" si="30"/>
        <v>1970.93</v>
      </c>
      <c r="P147">
        <f t="shared" ca="1" si="31"/>
        <v>103660.19</v>
      </c>
      <c r="Q147">
        <f t="shared" ca="1" si="32"/>
        <v>3</v>
      </c>
      <c r="R147">
        <f ca="1">((Tabla2[[#This Row],[Fantasma Comunicación]]+1)/(Tabla2[[#This Row],[Fantasma Comunicación]]+RANDBETWEEN(0,5)+2))-0.5</f>
        <v>0.16666666666666663</v>
      </c>
      <c r="S147">
        <f ca="1">1+MAX(0,Tabla2[[#This Row],[Deuda actual]]/Tabla2[[#This Row],[Liquidez]]+Tabla2[[#This Row],[Liquidez]]/(Tabla2[[#This Row],[Activos]]+Tabla2[[#This Row],[Liquidez]])+Tabla2[[#This Row],[Comunicación]])</f>
        <v>3.4903589421897254</v>
      </c>
      <c r="T147">
        <f ca="1">Tabla2[[#This Row],[Deuda actual]]*EXP(Tabla2[[#This Row],[Ki]]*Tabla2[[#This Row],[diferencia de días]])*(1+Tabla2[[#This Row],[Hg]])</f>
        <v>4115.0059422084996</v>
      </c>
    </row>
    <row r="148" spans="1:20" ht="14.5" x14ac:dyDescent="0.35">
      <c r="A148">
        <f t="shared" si="22"/>
        <v>147</v>
      </c>
      <c r="B148">
        <f t="shared" ca="1" si="23"/>
        <v>46102</v>
      </c>
      <c r="C148">
        <f t="shared" ca="1" si="24"/>
        <v>46157</v>
      </c>
      <c r="D148">
        <f t="shared" ca="1" si="25"/>
        <v>16</v>
      </c>
      <c r="E148">
        <f t="shared" ca="1" si="26"/>
        <v>0.49424871004815407</v>
      </c>
      <c r="F148">
        <f t="shared" ca="1" si="27"/>
        <v>2604.0100000000002</v>
      </c>
      <c r="G148" t="str">
        <f t="shared" ca="1" si="28"/>
        <v>hipotecario</v>
      </c>
      <c r="H14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48" t="str">
        <f t="shared" ca="1" si="29"/>
        <v>No</v>
      </c>
      <c r="J14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165000.83224973964</v>
      </c>
      <c r="K148" t="str">
        <f ca="1">IF(Tabla2[[#This Row],[¿cliente deuda abierta?]]="Sí", Tabla2[[#This Row],[Deuda actual]]*Tabla2[[#This Row],[diferencia de días]], "0")</f>
        <v>0</v>
      </c>
      <c r="L14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4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48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48">
        <f t="shared" ca="1" si="30"/>
        <v>1410.75</v>
      </c>
      <c r="P148">
        <f t="shared" ca="1" si="31"/>
        <v>67409.88</v>
      </c>
      <c r="Q148">
        <f t="shared" ca="1" si="32"/>
        <v>1</v>
      </c>
      <c r="R148">
        <f ca="1">((Tabla2[[#This Row],[Fantasma Comunicación]]+1)/(Tabla2[[#This Row],[Fantasma Comunicación]]+RANDBETWEEN(0,5)+2))-0.5</f>
        <v>-9.9999999999999978E-2</v>
      </c>
      <c r="S148">
        <f ca="1">1+MAX(0,Tabla2[[#This Row],[Deuda actual]]/Tabla2[[#This Row],[Liquidez]]+Tabla2[[#This Row],[Liquidez]]/(Tabla2[[#This Row],[Activos]]+Tabla2[[#This Row],[Liquidez]])+Tabla2[[#This Row],[Comunicación]])</f>
        <v>2.76633271686674</v>
      </c>
      <c r="T148">
        <f ca="1">Tabla2[[#This Row],[Deuda actual]]*EXP(Tabla2[[#This Row],[Ki]]*Tabla2[[#This Row],[diferencia de días]])*(1+Tabla2[[#This Row],[Hg]])</f>
        <v>2096.5832864624003</v>
      </c>
    </row>
    <row r="149" spans="1:20" ht="14.5" x14ac:dyDescent="0.35">
      <c r="A149">
        <f t="shared" si="22"/>
        <v>148</v>
      </c>
      <c r="B149">
        <f t="shared" ca="1" si="23"/>
        <v>46097</v>
      </c>
      <c r="C149">
        <f t="shared" ca="1" si="24"/>
        <v>46157</v>
      </c>
      <c r="D149">
        <f t="shared" ca="1" si="25"/>
        <v>17</v>
      </c>
      <c r="E149">
        <f t="shared" ca="1" si="26"/>
        <v>0.95913071770689418</v>
      </c>
      <c r="F149">
        <f t="shared" ca="1" si="27"/>
        <v>10000</v>
      </c>
      <c r="G149" t="str">
        <f t="shared" ca="1" si="28"/>
        <v>hipotecario</v>
      </c>
      <c r="H14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49" t="str">
        <f t="shared" ca="1" si="29"/>
        <v>No</v>
      </c>
      <c r="J14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165001.50901051212</v>
      </c>
      <c r="K149" t="str">
        <f ca="1">IF(Tabla2[[#This Row],[¿cliente deuda abierta?]]="Sí", Tabla2[[#This Row],[Deuda actual]]*Tabla2[[#This Row],[diferencia de días]], "0")</f>
        <v>0</v>
      </c>
      <c r="L14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4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49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49">
        <f t="shared" ca="1" si="30"/>
        <v>1767.56</v>
      </c>
      <c r="P149">
        <f t="shared" ca="1" si="31"/>
        <v>72948.460000000006</v>
      </c>
      <c r="Q149">
        <f t="shared" ca="1" si="32"/>
        <v>3</v>
      </c>
      <c r="R149">
        <f ca="1">((Tabla2[[#This Row],[Fantasma Comunicación]]+1)/(Tabla2[[#This Row],[Fantasma Comunicación]]+RANDBETWEEN(0,5)+2))-0.5</f>
        <v>7.1428571428571397E-2</v>
      </c>
      <c r="S149">
        <f ca="1">1+MAX(0,Tabla2[[#This Row],[Deuda actual]]/Tabla2[[#This Row],[Liquidez]]+Tabla2[[#This Row],[Liquidez]]/(Tabla2[[#This Row],[Activos]]+Tabla2[[#This Row],[Liquidez]])+Tabla2[[#This Row],[Comunicación]])</f>
        <v>6.7526021896414594</v>
      </c>
      <c r="T149">
        <f ca="1">Tabla2[[#This Row],[Deuda actual]]*EXP(Tabla2[[#This Row],[Ki]]*Tabla2[[#This Row],[diferencia de días]])*(1+Tabla2[[#This Row],[Hg]])</f>
        <v>8054.5853799563502</v>
      </c>
    </row>
    <row r="150" spans="1:20" ht="14.5" x14ac:dyDescent="0.35">
      <c r="A150">
        <f t="shared" si="22"/>
        <v>149</v>
      </c>
      <c r="B150">
        <f t="shared" ca="1" si="23"/>
        <v>46103</v>
      </c>
      <c r="C150">
        <f t="shared" ca="1" si="24"/>
        <v>46157</v>
      </c>
      <c r="D150">
        <f t="shared" ca="1" si="25"/>
        <v>16</v>
      </c>
      <c r="E150">
        <f t="shared" ca="1" si="26"/>
        <v>0.91488363806291828</v>
      </c>
      <c r="F150">
        <f t="shared" ca="1" si="27"/>
        <v>566.55999999999995</v>
      </c>
      <c r="G150" t="str">
        <f t="shared" ca="1" si="28"/>
        <v>personal</v>
      </c>
      <c r="H15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50" t="str">
        <f t="shared" ca="1" si="29"/>
        <v>No</v>
      </c>
      <c r="J15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12000.172304776057</v>
      </c>
      <c r="K150" t="str">
        <f ca="1">IF(Tabla2[[#This Row],[¿cliente deuda abierta?]]="Sí", Tabla2[[#This Row],[Deuda actual]]*Tabla2[[#This Row],[diferencia de días]], "0")</f>
        <v>0</v>
      </c>
      <c r="L15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5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150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150">
        <f t="shared" ca="1" si="30"/>
        <v>1943.8</v>
      </c>
      <c r="P150">
        <f t="shared" ca="1" si="31"/>
        <v>66468.009999999995</v>
      </c>
      <c r="Q150">
        <f t="shared" ca="1" si="32"/>
        <v>0</v>
      </c>
      <c r="R150">
        <f ca="1">((Tabla2[[#This Row],[Fantasma Comunicación]]+1)/(Tabla2[[#This Row],[Fantasma Comunicación]]+RANDBETWEEN(0,5)+2))-0.5</f>
        <v>0</v>
      </c>
      <c r="S150">
        <f ca="1">1+MAX(0,Tabla2[[#This Row],[Deuda actual]]/Tabla2[[#This Row],[Liquidez]]+Tabla2[[#This Row],[Liquidez]]/(Tabla2[[#This Row],[Activos]]+Tabla2[[#This Row],[Liquidez]])+Tabla2[[#This Row],[Comunicación]])</f>
        <v>1.3198835386807779</v>
      </c>
      <c r="T150">
        <f ca="1">Tabla2[[#This Row],[Deuda actual]]*EXP(Tabla2[[#This Row],[Ki]]*Tabla2[[#This Row],[diferencia de días]])*(1+Tabla2[[#This Row],[Hg]])</f>
        <v>513.17785074765629</v>
      </c>
    </row>
    <row r="151" spans="1:20" ht="14.5" x14ac:dyDescent="0.35">
      <c r="A151">
        <f t="shared" si="22"/>
        <v>150</v>
      </c>
      <c r="B151">
        <f t="shared" ca="1" si="23"/>
        <v>46086</v>
      </c>
      <c r="C151">
        <f t="shared" ca="1" si="24"/>
        <v>46157</v>
      </c>
      <c r="D151">
        <f t="shared" ca="1" si="25"/>
        <v>12</v>
      </c>
      <c r="E151">
        <f t="shared" ca="1" si="26"/>
        <v>0.48691326631874665</v>
      </c>
      <c r="F151">
        <f t="shared" ca="1" si="27"/>
        <v>208.22</v>
      </c>
      <c r="G151" t="str">
        <f t="shared" ca="1" si="28"/>
        <v>personal</v>
      </c>
      <c r="H15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51" t="str">
        <f t="shared" ca="1" si="29"/>
        <v>Sí</v>
      </c>
      <c r="J15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51">
        <f ca="1">IF(Tabla2[[#This Row],[¿cliente deuda abierta?]]="Sí", Tabla2[[#This Row],[Deuda actual]]*Tabla2[[#This Row],[diferencia de días]], "0")</f>
        <v>2498.64</v>
      </c>
      <c r="L15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5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5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51">
        <f t="shared" ca="1" si="30"/>
        <v>1535.68</v>
      </c>
      <c r="P151">
        <f t="shared" ca="1" si="31"/>
        <v>112733.02</v>
      </c>
      <c r="Q151">
        <f t="shared" ca="1" si="32"/>
        <v>2</v>
      </c>
      <c r="R151">
        <f ca="1">((Tabla2[[#This Row],[Fantasma Comunicación]]+1)/(Tabla2[[#This Row],[Fantasma Comunicación]]+RANDBETWEEN(0,5)+2))-0.5</f>
        <v>0.25</v>
      </c>
      <c r="S151">
        <f ca="1">1+MAX(0,Tabla2[[#This Row],[Deuda actual]]/Tabla2[[#This Row],[Liquidez]]+Tabla2[[#This Row],[Liquidez]]/(Tabla2[[#This Row],[Activos]]+Tabla2[[#This Row],[Liquidez]])+Tabla2[[#This Row],[Comunicación]])</f>
        <v>1.3990273441242138</v>
      </c>
      <c r="T151">
        <f ca="1">Tabla2[[#This Row],[Deuda actual]]*EXP(Tabla2[[#This Row],[Ki]]*Tabla2[[#This Row],[diferencia de días]])*(1+Tabla2[[#This Row],[Hg]])</f>
        <v>219.1563445613082</v>
      </c>
    </row>
    <row r="152" spans="1:20" ht="14.5" x14ac:dyDescent="0.35">
      <c r="A152">
        <f t="shared" si="22"/>
        <v>151</v>
      </c>
      <c r="B152">
        <f t="shared" ca="1" si="23"/>
        <v>46100</v>
      </c>
      <c r="C152">
        <f t="shared" ca="1" si="24"/>
        <v>46157</v>
      </c>
      <c r="D152">
        <f t="shared" ca="1" si="25"/>
        <v>2</v>
      </c>
      <c r="E152">
        <f t="shared" ca="1" si="26"/>
        <v>0.63677786967611139</v>
      </c>
      <c r="F152">
        <f t="shared" ca="1" si="27"/>
        <v>5478.48</v>
      </c>
      <c r="G152" t="str">
        <f t="shared" ca="1" si="28"/>
        <v>personal</v>
      </c>
      <c r="H15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52" t="str">
        <f t="shared" ca="1" si="29"/>
        <v>No</v>
      </c>
      <c r="J15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12000.954185203736</v>
      </c>
      <c r="K152" t="str">
        <f ca="1">IF(Tabla2[[#This Row],[¿cliente deuda abierta?]]="Sí", Tabla2[[#This Row],[Deuda actual]]*Tabla2[[#This Row],[diferencia de días]], "0")</f>
        <v>0</v>
      </c>
      <c r="L15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5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152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152">
        <f t="shared" ca="1" si="30"/>
        <v>1880.87</v>
      </c>
      <c r="P152">
        <f t="shared" ca="1" si="31"/>
        <v>167849.77</v>
      </c>
      <c r="Q152">
        <f t="shared" ca="1" si="32"/>
        <v>5</v>
      </c>
      <c r="R152">
        <f ca="1">((Tabla2[[#This Row],[Fantasma Comunicación]]+1)/(Tabla2[[#This Row],[Fantasma Comunicación]]+RANDBETWEEN(0,5)+2))-0.5</f>
        <v>0</v>
      </c>
      <c r="S152">
        <f ca="1">1+MAX(0,Tabla2[[#This Row],[Deuda actual]]/Tabla2[[#This Row],[Liquidez]]+Tabla2[[#This Row],[Liquidez]]/(Tabla2[[#This Row],[Activos]]+Tabla2[[#This Row],[Liquidez]])+Tabla2[[#This Row],[Comunicación]])</f>
        <v>3.9238186902545826</v>
      </c>
      <c r="T152">
        <f ca="1">Tabla2[[#This Row],[Deuda actual]]*EXP(Tabla2[[#This Row],[Ki]]*Tabla2[[#This Row],[diferencia de días]])*(1+Tabla2[[#This Row],[Hg]])</f>
        <v>4932.6046473031593</v>
      </c>
    </row>
    <row r="153" spans="1:20" ht="14.5" x14ac:dyDescent="0.35">
      <c r="A153">
        <f t="shared" si="22"/>
        <v>152</v>
      </c>
      <c r="B153">
        <f t="shared" ca="1" si="23"/>
        <v>46110</v>
      </c>
      <c r="C153">
        <f t="shared" ca="1" si="24"/>
        <v>46157</v>
      </c>
      <c r="D153">
        <f t="shared" ca="1" si="25"/>
        <v>18</v>
      </c>
      <c r="E153">
        <f t="shared" ca="1" si="26"/>
        <v>0.12185492156232369</v>
      </c>
      <c r="F153">
        <f t="shared" ca="1" si="27"/>
        <v>10000</v>
      </c>
      <c r="G153" t="str">
        <f t="shared" ca="1" si="28"/>
        <v>personal</v>
      </c>
      <c r="H15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53" t="str">
        <f t="shared" ca="1" si="29"/>
        <v>No</v>
      </c>
      <c r="J15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11999.66756881262</v>
      </c>
      <c r="K153" t="str">
        <f ca="1">IF(Tabla2[[#This Row],[¿cliente deuda abierta?]]="Sí", Tabla2[[#This Row],[Deuda actual]]*Tabla2[[#This Row],[diferencia de días]], "0")</f>
        <v>0</v>
      </c>
      <c r="L15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5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15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153">
        <f t="shared" ca="1" si="30"/>
        <v>1699.49</v>
      </c>
      <c r="P153">
        <f t="shared" ca="1" si="31"/>
        <v>176683.51</v>
      </c>
      <c r="Q153">
        <f t="shared" ca="1" si="32"/>
        <v>5</v>
      </c>
      <c r="R153">
        <f ca="1">((Tabla2[[#This Row],[Fantasma Comunicación]]+1)/(Tabla2[[#This Row],[Fantasma Comunicación]]+RANDBETWEEN(0,5)+2))-0.5</f>
        <v>0</v>
      </c>
      <c r="S153">
        <f ca="1">1+MAX(0,Tabla2[[#This Row],[Deuda actual]]/Tabla2[[#This Row],[Liquidez]]+Tabla2[[#This Row],[Liquidez]]/(Tabla2[[#This Row],[Activos]]+Tabla2[[#This Row],[Liquidez]])+Tabla2[[#This Row],[Comunicación]])</f>
        <v>6.8936453737278374</v>
      </c>
      <c r="T153">
        <f ca="1">Tabla2[[#This Row],[Deuda actual]]*EXP(Tabla2[[#This Row],[Ki]]*Tabla2[[#This Row],[diferencia de días]])*(1+Tabla2[[#This Row],[Hg]])</f>
        <v>9065.033840881224</v>
      </c>
    </row>
    <row r="154" spans="1:20" ht="14.5" x14ac:dyDescent="0.35">
      <c r="A154">
        <f t="shared" si="22"/>
        <v>153</v>
      </c>
      <c r="B154">
        <f t="shared" ca="1" si="23"/>
        <v>46137</v>
      </c>
      <c r="C154">
        <f t="shared" ca="1" si="24"/>
        <v>46157</v>
      </c>
      <c r="D154">
        <f t="shared" ca="1" si="25"/>
        <v>4</v>
      </c>
      <c r="E154">
        <f t="shared" ca="1" si="26"/>
        <v>0.65416920376494891</v>
      </c>
      <c r="F154">
        <f t="shared" ca="1" si="27"/>
        <v>5363.71</v>
      </c>
      <c r="G154" t="str">
        <f t="shared" ca="1" si="28"/>
        <v>hipotecario</v>
      </c>
      <c r="H15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54" t="str">
        <f t="shared" ca="1" si="29"/>
        <v>No</v>
      </c>
      <c r="J15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165001.47188828356</v>
      </c>
      <c r="K154" t="str">
        <f ca="1">IF(Tabla2[[#This Row],[¿cliente deuda abierta?]]="Sí", Tabla2[[#This Row],[Deuda actual]]*Tabla2[[#This Row],[diferencia de días]], "0")</f>
        <v>0</v>
      </c>
      <c r="L15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5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54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54">
        <f t="shared" ca="1" si="30"/>
        <v>1287.2</v>
      </c>
      <c r="P154">
        <f t="shared" ca="1" si="31"/>
        <v>136466.87</v>
      </c>
      <c r="Q154">
        <f t="shared" ca="1" si="32"/>
        <v>2</v>
      </c>
      <c r="R154">
        <f ca="1">((Tabla2[[#This Row],[Fantasma Comunicación]]+1)/(Tabla2[[#This Row],[Fantasma Comunicación]]+RANDBETWEEN(0,5)+2))-0.5</f>
        <v>-7.1428571428571452E-2</v>
      </c>
      <c r="S154">
        <f ca="1">1+MAX(0,Tabla2[[#This Row],[Deuda actual]]/Tabla2[[#This Row],[Liquidez]]+Tabla2[[#This Row],[Liquidez]]/(Tabla2[[#This Row],[Activos]]+Tabla2[[#This Row],[Liquidez]])+Tabla2[[#This Row],[Comunicación]])</f>
        <v>5.1048749085806175</v>
      </c>
      <c r="T154">
        <f ca="1">Tabla2[[#This Row],[Deuda actual]]*EXP(Tabla2[[#This Row],[Ki]]*Tabla2[[#This Row],[diferencia de días]])*(1+Tabla2[[#This Row],[Hg]])</f>
        <v>4294.402147875996</v>
      </c>
    </row>
    <row r="155" spans="1:20" ht="14.5" x14ac:dyDescent="0.35">
      <c r="A155">
        <f t="shared" si="22"/>
        <v>154</v>
      </c>
      <c r="B155">
        <f t="shared" ca="1" si="23"/>
        <v>46133</v>
      </c>
      <c r="C155">
        <f t="shared" ca="1" si="24"/>
        <v>46157</v>
      </c>
      <c r="D155">
        <f t="shared" ca="1" si="25"/>
        <v>2</v>
      </c>
      <c r="E155">
        <f t="shared" ca="1" si="26"/>
        <v>0.52914277916280572</v>
      </c>
      <c r="F155">
        <f t="shared" ca="1" si="27"/>
        <v>3777.11</v>
      </c>
      <c r="G155" t="str">
        <f t="shared" ca="1" si="28"/>
        <v>hipotecario</v>
      </c>
      <c r="H15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55" t="str">
        <f t="shared" ca="1" si="29"/>
        <v>Sí</v>
      </c>
      <c r="J15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55">
        <f ca="1">IF(Tabla2[[#This Row],[¿cliente deuda abierta?]]="Sí", Tabla2[[#This Row],[Deuda actual]]*Tabla2[[#This Row],[diferencia de días]], "0")</f>
        <v>7554.22</v>
      </c>
      <c r="L15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5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5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55">
        <f t="shared" ca="1" si="30"/>
        <v>1722.08</v>
      </c>
      <c r="P155">
        <f t="shared" ca="1" si="31"/>
        <v>40222.879999999997</v>
      </c>
      <c r="Q155">
        <f t="shared" ca="1" si="32"/>
        <v>5</v>
      </c>
      <c r="R155">
        <f ca="1">((Tabla2[[#This Row],[Fantasma Comunicación]]+1)/(Tabla2[[#This Row],[Fantasma Comunicación]]+RANDBETWEEN(0,5)+2))-0.5</f>
        <v>0.16666666666666663</v>
      </c>
      <c r="S155">
        <f ca="1">1+MAX(0,Tabla2[[#This Row],[Deuda actual]]/Tabla2[[#This Row],[Liquidez]]+Tabla2[[#This Row],[Liquidez]]/(Tabla2[[#This Row],[Activos]]+Tabla2[[#This Row],[Liquidez]])+Tabla2[[#This Row],[Comunicación]])</f>
        <v>3.4010641466953988</v>
      </c>
      <c r="T155">
        <f ca="1">Tabla2[[#This Row],[Deuda actual]]*EXP(Tabla2[[#This Row],[Ki]]*Tabla2[[#This Row],[diferencia de días]])*(1+Tabla2[[#This Row],[Hg]])</f>
        <v>3967.5522035195486</v>
      </c>
    </row>
    <row r="156" spans="1:20" ht="14.5" x14ac:dyDescent="0.35">
      <c r="A156">
        <f t="shared" si="22"/>
        <v>155</v>
      </c>
      <c r="B156">
        <f t="shared" ca="1" si="23"/>
        <v>46108</v>
      </c>
      <c r="C156">
        <f t="shared" ca="1" si="24"/>
        <v>46157</v>
      </c>
      <c r="D156">
        <f t="shared" ca="1" si="25"/>
        <v>55</v>
      </c>
      <c r="E156">
        <f t="shared" ca="1" si="26"/>
        <v>0.47480270991250706</v>
      </c>
      <c r="F156">
        <f t="shared" ca="1" si="27"/>
        <v>687.64</v>
      </c>
      <c r="G156" t="str">
        <f t="shared" ca="1" si="28"/>
        <v>personal</v>
      </c>
      <c r="H15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156" t="str">
        <f t="shared" ca="1" si="29"/>
        <v>No</v>
      </c>
      <c r="J15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11999.829360739686</v>
      </c>
      <c r="K156" t="str">
        <f ca="1">IF(Tabla2[[#This Row],[¿cliente deuda abierta?]]="Sí", Tabla2[[#This Row],[Deuda actual]]*Tabla2[[#This Row],[diferencia de días]], "0")</f>
        <v>0</v>
      </c>
      <c r="L15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5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156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156">
        <f t="shared" ca="1" si="30"/>
        <v>1648.31</v>
      </c>
      <c r="P156">
        <f t="shared" ca="1" si="31"/>
        <v>60727.839999999997</v>
      </c>
      <c r="Q156">
        <f t="shared" ca="1" si="32"/>
        <v>5</v>
      </c>
      <c r="R156">
        <f ca="1">((Tabla2[[#This Row],[Fantasma Comunicación]]+1)/(Tabla2[[#This Row],[Fantasma Comunicación]]+RANDBETWEEN(0,5)+2))-0.5</f>
        <v>0.16666666666666663</v>
      </c>
      <c r="S156">
        <f ca="1">1+MAX(0,Tabla2[[#This Row],[Deuda actual]]/Tabla2[[#This Row],[Liquidez]]+Tabla2[[#This Row],[Liquidez]]/(Tabla2[[#This Row],[Activos]]+Tabla2[[#This Row],[Liquidez]])+Tabla2[[#This Row],[Comunicación]])</f>
        <v>1.6102707984740763</v>
      </c>
      <c r="T156">
        <f ca="1">Tabla2[[#This Row],[Deuda actual]]*EXP(Tabla2[[#This Row],[Ki]]*Tabla2[[#This Row],[diferencia de días]])*(1+Tabla2[[#This Row],[Hg]])</f>
        <v>672.09851502326956</v>
      </c>
    </row>
    <row r="157" spans="1:20" ht="14.5" x14ac:dyDescent="0.35">
      <c r="A157">
        <f t="shared" si="22"/>
        <v>156</v>
      </c>
      <c r="B157">
        <f t="shared" ca="1" si="23"/>
        <v>46092</v>
      </c>
      <c r="C157">
        <f t="shared" ca="1" si="24"/>
        <v>46157</v>
      </c>
      <c r="D157">
        <f t="shared" ca="1" si="25"/>
        <v>0</v>
      </c>
      <c r="E157">
        <f t="shared" ca="1" si="26"/>
        <v>8.6706278282451477E-2</v>
      </c>
      <c r="F157">
        <f t="shared" ca="1" si="27"/>
        <v>268.54000000000002</v>
      </c>
      <c r="G157" t="str">
        <f t="shared" ca="1" si="28"/>
        <v>hipotecario</v>
      </c>
      <c r="H15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57" t="str">
        <f t="shared" ca="1" si="29"/>
        <v>No</v>
      </c>
      <c r="J15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164999.6742101702</v>
      </c>
      <c r="K157" t="str">
        <f ca="1">IF(Tabla2[[#This Row],[¿cliente deuda abierta?]]="Sí", Tabla2[[#This Row],[Deuda actual]]*Tabla2[[#This Row],[diferencia de días]], "0")</f>
        <v>0</v>
      </c>
      <c r="L15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5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5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57">
        <f t="shared" ca="1" si="30"/>
        <v>2094.36</v>
      </c>
      <c r="P157">
        <f t="shared" ca="1" si="31"/>
        <v>228484.74</v>
      </c>
      <c r="Q157">
        <f t="shared" ca="1" si="32"/>
        <v>4</v>
      </c>
      <c r="R157">
        <f ca="1">((Tabla2[[#This Row],[Fantasma Comunicación]]+1)/(Tabla2[[#This Row],[Fantasma Comunicación]]+RANDBETWEEN(0,5)+2))-0.5</f>
        <v>0</v>
      </c>
      <c r="S157">
        <f ca="1">1+MAX(0,Tabla2[[#This Row],[Deuda actual]]/Tabla2[[#This Row],[Liquidez]]+Tabla2[[#This Row],[Liquidez]]/(Tabla2[[#This Row],[Activos]]+Tabla2[[#This Row],[Liquidez]])+Tabla2[[#This Row],[Comunicación]])</f>
        <v>1.137303597770019</v>
      </c>
      <c r="T157">
        <f ca="1">Tabla2[[#This Row],[Deuda actual]]*EXP(Tabla2[[#This Row],[Ki]]*Tabla2[[#This Row],[diferencia de días]])*(1+Tabla2[[#This Row],[Hg]])</f>
        <v>214.83200000000002</v>
      </c>
    </row>
    <row r="158" spans="1:20" ht="14.5" x14ac:dyDescent="0.35">
      <c r="A158">
        <f t="shared" si="22"/>
        <v>157</v>
      </c>
      <c r="B158">
        <f t="shared" ca="1" si="23"/>
        <v>46122</v>
      </c>
      <c r="C158">
        <f t="shared" ca="1" si="24"/>
        <v>46157</v>
      </c>
      <c r="D158">
        <f t="shared" ca="1" si="25"/>
        <v>38</v>
      </c>
      <c r="E158">
        <f t="shared" ca="1" si="26"/>
        <v>1.5989174072560508E-2</v>
      </c>
      <c r="F158">
        <f t="shared" ca="1" si="27"/>
        <v>4335.3900000000003</v>
      </c>
      <c r="G158" t="str">
        <f t="shared" ca="1" si="28"/>
        <v>hipotecario</v>
      </c>
      <c r="H15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158" t="str">
        <f t="shared" ca="1" si="29"/>
        <v>No</v>
      </c>
      <c r="J15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165001.78236105866</v>
      </c>
      <c r="K158" t="str">
        <f ca="1">IF(Tabla2[[#This Row],[¿cliente deuda abierta?]]="Sí", Tabla2[[#This Row],[Deuda actual]]*Tabla2[[#This Row],[diferencia de días]], "0")</f>
        <v>0</v>
      </c>
      <c r="L15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5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58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58">
        <f t="shared" ca="1" si="30"/>
        <v>1457.56</v>
      </c>
      <c r="P158">
        <f t="shared" ca="1" si="31"/>
        <v>120232.6</v>
      </c>
      <c r="Q158">
        <f t="shared" ca="1" si="32"/>
        <v>0</v>
      </c>
      <c r="R158">
        <f ca="1">((Tabla2[[#This Row],[Fantasma Comunicación]]+1)/(Tabla2[[#This Row],[Fantasma Comunicación]]+RANDBETWEEN(0,5)+2))-0.5</f>
        <v>-0.33333333333333337</v>
      </c>
      <c r="S158">
        <f ca="1">1+MAX(0,Tabla2[[#This Row],[Deuda actual]]/Tabla2[[#This Row],[Liquidez]]+Tabla2[[#This Row],[Liquidez]]/(Tabla2[[#This Row],[Activos]]+Tabla2[[#This Row],[Liquidez]])+Tabla2[[#This Row],[Comunicación]])</f>
        <v>3.6530604465747936</v>
      </c>
      <c r="T158">
        <f ca="1">Tabla2[[#This Row],[Deuda actual]]*EXP(Tabla2[[#This Row],[Ki]]*Tabla2[[#This Row],[diferencia de días]])*(1+Tabla2[[#This Row],[Hg]])</f>
        <v>3602.6439997672883</v>
      </c>
    </row>
    <row r="159" spans="1:20" ht="14.5" x14ac:dyDescent="0.35">
      <c r="A159">
        <f t="shared" si="22"/>
        <v>158</v>
      </c>
      <c r="B159">
        <f t="shared" ca="1" si="23"/>
        <v>46139</v>
      </c>
      <c r="C159">
        <f t="shared" ca="1" si="24"/>
        <v>46157</v>
      </c>
      <c r="D159">
        <f t="shared" ca="1" si="25"/>
        <v>2</v>
      </c>
      <c r="E159">
        <f t="shared" ca="1" si="26"/>
        <v>0.65104436818622691</v>
      </c>
      <c r="F159">
        <f t="shared" ca="1" si="27"/>
        <v>359.77</v>
      </c>
      <c r="G159" t="str">
        <f t="shared" ca="1" si="28"/>
        <v>hipotecario</v>
      </c>
      <c r="H15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59" t="str">
        <f t="shared" ca="1" si="29"/>
        <v>No</v>
      </c>
      <c r="J15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165001.59243114211</v>
      </c>
      <c r="K159" t="str">
        <f ca="1">IF(Tabla2[[#This Row],[¿cliente deuda abierta?]]="Sí", Tabla2[[#This Row],[Deuda actual]]*Tabla2[[#This Row],[diferencia de días]], "0")</f>
        <v>0</v>
      </c>
      <c r="L15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5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59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59">
        <f t="shared" ca="1" si="30"/>
        <v>1241.1600000000001</v>
      </c>
      <c r="P159">
        <f t="shared" ca="1" si="31"/>
        <v>207853.01</v>
      </c>
      <c r="Q159">
        <f t="shared" ca="1" si="32"/>
        <v>5</v>
      </c>
      <c r="R159">
        <f ca="1">((Tabla2[[#This Row],[Fantasma Comunicación]]+1)/(Tabla2[[#This Row],[Fantasma Comunicación]]+RANDBETWEEN(0,5)+2))-0.5</f>
        <v>4.5454545454545414E-2</v>
      </c>
      <c r="S159">
        <f ca="1">1+MAX(0,Tabla2[[#This Row],[Deuda actual]]/Tabla2[[#This Row],[Liquidez]]+Tabla2[[#This Row],[Liquidez]]/(Tabla2[[#This Row],[Activos]]+Tabla2[[#This Row],[Liquidez]])+Tabla2[[#This Row],[Comunicación]])</f>
        <v>1.3412563673593507</v>
      </c>
      <c r="T159">
        <f ca="1">Tabla2[[#This Row],[Deuda actual]]*EXP(Tabla2[[#This Row],[Ki]]*Tabla2[[#This Row],[diferencia de días]])*(1+Tabla2[[#This Row],[Hg]])</f>
        <v>287.93114942835035</v>
      </c>
    </row>
    <row r="160" spans="1:20" ht="14.5" x14ac:dyDescent="0.35">
      <c r="A160">
        <f t="shared" si="22"/>
        <v>159</v>
      </c>
      <c r="B160">
        <f t="shared" ca="1" si="23"/>
        <v>46103</v>
      </c>
      <c r="C160">
        <f t="shared" ca="1" si="24"/>
        <v>46157</v>
      </c>
      <c r="D160">
        <f t="shared" ca="1" si="25"/>
        <v>32</v>
      </c>
      <c r="E160">
        <f t="shared" ca="1" si="26"/>
        <v>0.91322805869176382</v>
      </c>
      <c r="F160">
        <f t="shared" ca="1" si="27"/>
        <v>4546.83</v>
      </c>
      <c r="G160" t="str">
        <f t="shared" ca="1" si="28"/>
        <v>personal</v>
      </c>
      <c r="H16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160" t="str">
        <f t="shared" ca="1" si="29"/>
        <v>Sí</v>
      </c>
      <c r="J16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60">
        <f ca="1">IF(Tabla2[[#This Row],[¿cliente deuda abierta?]]="Sí", Tabla2[[#This Row],[Deuda actual]]*Tabla2[[#This Row],[diferencia de días]], "0")</f>
        <v>145498.56</v>
      </c>
      <c r="L16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16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60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160">
        <f t="shared" ca="1" si="30"/>
        <v>1345.15</v>
      </c>
      <c r="P160">
        <f t="shared" ca="1" si="31"/>
        <v>122086.32</v>
      </c>
      <c r="Q160">
        <f t="shared" ca="1" si="32"/>
        <v>5</v>
      </c>
      <c r="R160">
        <f ca="1">((Tabla2[[#This Row],[Fantasma Comunicación]]+1)/(Tabla2[[#This Row],[Fantasma Comunicación]]+RANDBETWEEN(0,5)+2))-0.5</f>
        <v>0.3571428571428571</v>
      </c>
      <c r="S160">
        <f ca="1">1+MAX(0,Tabla2[[#This Row],[Deuda actual]]/Tabla2[[#This Row],[Liquidez]]+Tabla2[[#This Row],[Liquidez]]/(Tabla2[[#This Row],[Activos]]+Tabla2[[#This Row],[Liquidez]])+Tabla2[[#This Row],[Comunicación]])</f>
        <v>4.7482065880040798</v>
      </c>
      <c r="T160">
        <f ca="1">Tabla2[[#This Row],[Deuda actual]]*EXP(Tabla2[[#This Row],[Ki]]*Tabla2[[#This Row],[diferencia de días]])*(1+Tabla2[[#This Row],[Hg]])</f>
        <v>5398.8838039434404</v>
      </c>
    </row>
    <row r="161" spans="1:20" ht="14.5" x14ac:dyDescent="0.35">
      <c r="A161">
        <f t="shared" si="22"/>
        <v>160</v>
      </c>
      <c r="B161">
        <f t="shared" ca="1" si="23"/>
        <v>46125</v>
      </c>
      <c r="C161">
        <f t="shared" ca="1" si="24"/>
        <v>46157</v>
      </c>
      <c r="D161">
        <f t="shared" ca="1" si="25"/>
        <v>11</v>
      </c>
      <c r="E161">
        <f t="shared" ca="1" si="26"/>
        <v>0.77095473358139266</v>
      </c>
      <c r="F161">
        <f t="shared" ca="1" si="27"/>
        <v>6014.86</v>
      </c>
      <c r="G161" t="str">
        <f t="shared" ca="1" si="28"/>
        <v>hipotecario</v>
      </c>
      <c r="H16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61" t="str">
        <f t="shared" ca="1" si="29"/>
        <v>Sí</v>
      </c>
      <c r="J16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61">
        <f ca="1">IF(Tabla2[[#This Row],[¿cliente deuda abierta?]]="Sí", Tabla2[[#This Row],[Deuda actual]]*Tabla2[[#This Row],[diferencia de días]], "0")</f>
        <v>66163.459999999992</v>
      </c>
      <c r="L16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16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61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161">
        <f t="shared" ca="1" si="30"/>
        <v>2008.28</v>
      </c>
      <c r="P161">
        <f t="shared" ca="1" si="31"/>
        <v>91976.26</v>
      </c>
      <c r="Q161">
        <f t="shared" ca="1" si="32"/>
        <v>5</v>
      </c>
      <c r="R161">
        <f ca="1">((Tabla2[[#This Row],[Fantasma Comunicación]]+1)/(Tabla2[[#This Row],[Fantasma Comunicación]]+RANDBETWEEN(0,5)+2))-0.5</f>
        <v>0.25</v>
      </c>
      <c r="S161">
        <f ca="1">1+MAX(0,Tabla2[[#This Row],[Deuda actual]]/Tabla2[[#This Row],[Liquidez]]+Tabla2[[#This Row],[Liquidez]]/(Tabla2[[#This Row],[Activos]]+Tabla2[[#This Row],[Liquidez]])+Tabla2[[#This Row],[Comunicación]])</f>
        <v>4.2663987686632332</v>
      </c>
      <c r="T161">
        <f ca="1">Tabla2[[#This Row],[Deuda actual]]*EXP(Tabla2[[#This Row],[Ki]]*Tabla2[[#This Row],[diferencia de días]])*(1+Tabla2[[#This Row],[Hg]])</f>
        <v>6932.3233474376611</v>
      </c>
    </row>
    <row r="162" spans="1:20" ht="14.5" x14ac:dyDescent="0.35">
      <c r="A162">
        <f t="shared" si="22"/>
        <v>161</v>
      </c>
      <c r="B162">
        <f t="shared" ca="1" si="23"/>
        <v>46127</v>
      </c>
      <c r="C162">
        <f t="shared" ca="1" si="24"/>
        <v>46157</v>
      </c>
      <c r="D162">
        <f t="shared" ca="1" si="25"/>
        <v>25</v>
      </c>
      <c r="E162">
        <f t="shared" ca="1" si="26"/>
        <v>0.9331918719009652</v>
      </c>
      <c r="F162">
        <f t="shared" ca="1" si="27"/>
        <v>367.23</v>
      </c>
      <c r="G162" t="str">
        <f t="shared" ca="1" si="28"/>
        <v>personal</v>
      </c>
      <c r="H16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62" t="str">
        <f t="shared" ca="1" si="29"/>
        <v>Sí</v>
      </c>
      <c r="J16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62">
        <f ca="1">IF(Tabla2[[#This Row],[¿cliente deuda abierta?]]="Sí", Tabla2[[#This Row],[Deuda actual]]*Tabla2[[#This Row],[diferencia de días]], "0")</f>
        <v>9180.75</v>
      </c>
      <c r="L16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6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6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62">
        <f t="shared" ca="1" si="30"/>
        <v>1745.1</v>
      </c>
      <c r="P162">
        <f t="shared" ca="1" si="31"/>
        <v>269994.48</v>
      </c>
      <c r="Q162">
        <f t="shared" ca="1" si="32"/>
        <v>1</v>
      </c>
      <c r="R162">
        <f ca="1">((Tabla2[[#This Row],[Fantasma Comunicación]]+1)/(Tabla2[[#This Row],[Fantasma Comunicación]]+RANDBETWEEN(0,5)+2))-0.5</f>
        <v>0</v>
      </c>
      <c r="S162">
        <f ca="1">1+MAX(0,Tabla2[[#This Row],[Deuda actual]]/Tabla2[[#This Row],[Liquidez]]+Tabla2[[#This Row],[Liquidez]]/(Tabla2[[#This Row],[Activos]]+Tabla2[[#This Row],[Liquidez]])+Tabla2[[#This Row],[Comunicación]])</f>
        <v>1.2168568894710956</v>
      </c>
      <c r="T162">
        <f ca="1">Tabla2[[#This Row],[Deuda actual]]*EXP(Tabla2[[#This Row],[Ki]]*Tabla2[[#This Row],[diferencia de días]])*(1+Tabla2[[#This Row],[Hg]])</f>
        <v>389.466759001235</v>
      </c>
    </row>
    <row r="163" spans="1:20" ht="14.5" x14ac:dyDescent="0.35">
      <c r="A163">
        <f t="shared" si="22"/>
        <v>162</v>
      </c>
      <c r="B163">
        <f t="shared" ca="1" si="23"/>
        <v>46118</v>
      </c>
      <c r="C163">
        <f t="shared" ca="1" si="24"/>
        <v>46157</v>
      </c>
      <c r="D163">
        <f t="shared" ca="1" si="25"/>
        <v>17</v>
      </c>
      <c r="E163">
        <f t="shared" ca="1" si="26"/>
        <v>0.54189446084302828</v>
      </c>
      <c r="F163">
        <f t="shared" ca="1" si="27"/>
        <v>218.74</v>
      </c>
      <c r="G163" t="str">
        <f t="shared" ca="1" si="28"/>
        <v>hipotecario</v>
      </c>
      <c r="H16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63" t="str">
        <f t="shared" ca="1" si="29"/>
        <v>Sí</v>
      </c>
      <c r="J16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63">
        <f ca="1">IF(Tabla2[[#This Row],[¿cliente deuda abierta?]]="Sí", Tabla2[[#This Row],[Deuda actual]]*Tabla2[[#This Row],[diferencia de días]], "0")</f>
        <v>3718.58</v>
      </c>
      <c r="L16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6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6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63">
        <f t="shared" ca="1" si="30"/>
        <v>1527.31</v>
      </c>
      <c r="P163">
        <f t="shared" ca="1" si="31"/>
        <v>78052.06</v>
      </c>
      <c r="Q163">
        <f t="shared" ca="1" si="32"/>
        <v>3</v>
      </c>
      <c r="R163">
        <f ca="1">((Tabla2[[#This Row],[Fantasma Comunicación]]+1)/(Tabla2[[#This Row],[Fantasma Comunicación]]+RANDBETWEEN(0,5)+2))-0.5</f>
        <v>-5.555555555555558E-2</v>
      </c>
      <c r="S163">
        <f ca="1">1+MAX(0,Tabla2[[#This Row],[Deuda actual]]/Tabla2[[#This Row],[Liquidez]]+Tabla2[[#This Row],[Liquidez]]/(Tabla2[[#This Row],[Activos]]+Tabla2[[#This Row],[Liquidez]])+Tabla2[[#This Row],[Comunicación]])</f>
        <v>1.1068558539022999</v>
      </c>
      <c r="T163">
        <f ca="1">Tabla2[[#This Row],[Deuda actual]]*EXP(Tabla2[[#This Row],[Ki]]*Tabla2[[#This Row],[diferencia de días]])*(1+Tabla2[[#This Row],[Hg]])</f>
        <v>231.24412578902934</v>
      </c>
    </row>
    <row r="164" spans="1:20" ht="14.5" x14ac:dyDescent="0.35">
      <c r="A164">
        <f t="shared" si="22"/>
        <v>163</v>
      </c>
      <c r="B164">
        <f t="shared" ca="1" si="23"/>
        <v>46107</v>
      </c>
      <c r="C164">
        <f t="shared" ca="1" si="24"/>
        <v>46157</v>
      </c>
      <c r="D164">
        <f t="shared" ca="1" si="25"/>
        <v>10</v>
      </c>
      <c r="E164">
        <f t="shared" ca="1" si="26"/>
        <v>2.0468156504252932E-2</v>
      </c>
      <c r="F164">
        <f t="shared" ca="1" si="27"/>
        <v>4212.9799999999996</v>
      </c>
      <c r="G164" t="str">
        <f t="shared" ca="1" si="28"/>
        <v>personal</v>
      </c>
      <c r="H16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64" t="str">
        <f t="shared" ca="1" si="29"/>
        <v>Sí</v>
      </c>
      <c r="J16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64">
        <f ca="1">IF(Tabla2[[#This Row],[¿cliente deuda abierta?]]="Sí", Tabla2[[#This Row],[Deuda actual]]*Tabla2[[#This Row],[diferencia de días]], "0")</f>
        <v>42129.799999999996</v>
      </c>
      <c r="L16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16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64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164">
        <f t="shared" ca="1" si="30"/>
        <v>1742.03</v>
      </c>
      <c r="P164">
        <f t="shared" ca="1" si="31"/>
        <v>65014.41</v>
      </c>
      <c r="Q164">
        <f t="shared" ca="1" si="32"/>
        <v>5</v>
      </c>
      <c r="R164">
        <f ca="1">((Tabla2[[#This Row],[Fantasma Comunicación]]+1)/(Tabla2[[#This Row],[Fantasma Comunicación]]+RANDBETWEEN(0,5)+2))-0.5</f>
        <v>0</v>
      </c>
      <c r="S164">
        <f ca="1">1+MAX(0,Tabla2[[#This Row],[Deuda actual]]/Tabla2[[#This Row],[Liquidez]]+Tabla2[[#This Row],[Liquidez]]/(Tabla2[[#This Row],[Activos]]+Tabla2[[#This Row],[Liquidez]])+Tabla2[[#This Row],[Comunicación]])</f>
        <v>3.4445266803533499</v>
      </c>
      <c r="T164">
        <f ca="1">Tabla2[[#This Row],[Deuda actual]]*EXP(Tabla2[[#This Row],[Ki]]*Tabla2[[#This Row],[diferencia de días]])*(1+Tabla2[[#This Row],[Hg]])</f>
        <v>4643.555830738128</v>
      </c>
    </row>
    <row r="165" spans="1:20" ht="14.5" x14ac:dyDescent="0.35">
      <c r="A165">
        <f t="shared" si="22"/>
        <v>164</v>
      </c>
      <c r="B165">
        <f t="shared" ca="1" si="23"/>
        <v>46104</v>
      </c>
      <c r="C165">
        <f t="shared" ca="1" si="24"/>
        <v>46157</v>
      </c>
      <c r="D165">
        <f t="shared" ca="1" si="25"/>
        <v>11</v>
      </c>
      <c r="E165">
        <f t="shared" ca="1" si="26"/>
        <v>8.2198497034832174E-3</v>
      </c>
      <c r="F165">
        <f t="shared" ca="1" si="27"/>
        <v>2138.94</v>
      </c>
      <c r="G165" t="str">
        <f t="shared" ca="1" si="28"/>
        <v>personal</v>
      </c>
      <c r="H16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65" t="str">
        <f t="shared" ca="1" si="29"/>
        <v>No</v>
      </c>
      <c r="J16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11999.049415224797</v>
      </c>
      <c r="K165" t="str">
        <f ca="1">IF(Tabla2[[#This Row],[¿cliente deuda abierta?]]="Sí", Tabla2[[#This Row],[Deuda actual]]*Tabla2[[#This Row],[diferencia de días]], "0")</f>
        <v>0</v>
      </c>
      <c r="L16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6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16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165">
        <f t="shared" ca="1" si="30"/>
        <v>1561.09</v>
      </c>
      <c r="P165">
        <f t="shared" ca="1" si="31"/>
        <v>84378.12</v>
      </c>
      <c r="Q165">
        <f t="shared" ca="1" si="32"/>
        <v>3</v>
      </c>
      <c r="R165">
        <f ca="1">((Tabla2[[#This Row],[Fantasma Comunicación]]+1)/(Tabla2[[#This Row],[Fantasma Comunicación]]+RANDBETWEEN(0,5)+2))-0.5</f>
        <v>-5.555555555555558E-2</v>
      </c>
      <c r="S165">
        <f ca="1">1+MAX(0,Tabla2[[#This Row],[Deuda actual]]/Tabla2[[#This Row],[Liquidez]]+Tabla2[[#This Row],[Liquidez]]/(Tabla2[[#This Row],[Activos]]+Tabla2[[#This Row],[Liquidez]])+Tabla2[[#This Row],[Comunicación]])</f>
        <v>2.3327675245088981</v>
      </c>
      <c r="T165">
        <f ca="1">Tabla2[[#This Row],[Deuda actual]]*EXP(Tabla2[[#This Row],[Ki]]*Tabla2[[#This Row],[diferencia de días]])*(1+Tabla2[[#This Row],[Hg]])</f>
        <v>1929.2857632295149</v>
      </c>
    </row>
    <row r="166" spans="1:20" ht="14.5" x14ac:dyDescent="0.35">
      <c r="A166">
        <f t="shared" si="22"/>
        <v>165</v>
      </c>
      <c r="B166">
        <f t="shared" ca="1" si="23"/>
        <v>46119</v>
      </c>
      <c r="C166">
        <f t="shared" ca="1" si="24"/>
        <v>46157</v>
      </c>
      <c r="D166">
        <f t="shared" ca="1" si="25"/>
        <v>32</v>
      </c>
      <c r="E166">
        <f t="shared" ca="1" si="26"/>
        <v>0.32566996675900217</v>
      </c>
      <c r="F166">
        <f t="shared" ca="1" si="27"/>
        <v>4500.62</v>
      </c>
      <c r="G166" t="str">
        <f t="shared" ca="1" si="28"/>
        <v>hipotecario</v>
      </c>
      <c r="H16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166" t="str">
        <f t="shared" ca="1" si="29"/>
        <v>No</v>
      </c>
      <c r="J16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165000.40227465358</v>
      </c>
      <c r="K166" t="str">
        <f ca="1">IF(Tabla2[[#This Row],[¿cliente deuda abierta?]]="Sí", Tabla2[[#This Row],[Deuda actual]]*Tabla2[[#This Row],[diferencia de días]], "0")</f>
        <v>0</v>
      </c>
      <c r="L16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6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66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66">
        <f t="shared" ca="1" si="30"/>
        <v>1272.58</v>
      </c>
      <c r="P166">
        <f t="shared" ca="1" si="31"/>
        <v>362922.78</v>
      </c>
      <c r="Q166">
        <f t="shared" ca="1" si="32"/>
        <v>4</v>
      </c>
      <c r="R166">
        <f ca="1">((Tabla2[[#This Row],[Fantasma Comunicación]]+1)/(Tabla2[[#This Row],[Fantasma Comunicación]]+RANDBETWEEN(0,5)+2))-0.5</f>
        <v>0.2142857142857143</v>
      </c>
      <c r="S166">
        <f ca="1">1+MAX(0,Tabla2[[#This Row],[Deuda actual]]/Tabla2[[#This Row],[Liquidez]]+Tabla2[[#This Row],[Liquidez]]/(Tabla2[[#This Row],[Activos]]+Tabla2[[#This Row],[Liquidez]])+Tabla2[[#This Row],[Comunicación]])</f>
        <v>4.7543906027738929</v>
      </c>
      <c r="T166">
        <f ca="1">Tabla2[[#This Row],[Deuda actual]]*EXP(Tabla2[[#This Row],[Ki]]*Tabla2[[#This Row],[diferencia de días]])*(1+Tabla2[[#This Row],[Hg]])</f>
        <v>3717.5751477810572</v>
      </c>
    </row>
    <row r="167" spans="1:20" ht="14.5" x14ac:dyDescent="0.35">
      <c r="A167">
        <f t="shared" si="22"/>
        <v>166</v>
      </c>
      <c r="B167">
        <f t="shared" ca="1" si="23"/>
        <v>46110</v>
      </c>
      <c r="C167">
        <f t="shared" ca="1" si="24"/>
        <v>46157</v>
      </c>
      <c r="D167">
        <f t="shared" ca="1" si="25"/>
        <v>11</v>
      </c>
      <c r="E167">
        <f t="shared" ca="1" si="26"/>
        <v>0.80847254731910578</v>
      </c>
      <c r="F167">
        <f t="shared" ca="1" si="27"/>
        <v>878.5</v>
      </c>
      <c r="G167" t="str">
        <f t="shared" ca="1" si="28"/>
        <v>hipotecario</v>
      </c>
      <c r="H16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67" t="str">
        <f t="shared" ca="1" si="29"/>
        <v>Sí</v>
      </c>
      <c r="J16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67">
        <f ca="1">IF(Tabla2[[#This Row],[¿cliente deuda abierta?]]="Sí", Tabla2[[#This Row],[Deuda actual]]*Tabla2[[#This Row],[diferencia de días]], "0")</f>
        <v>9663.5</v>
      </c>
      <c r="L16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6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6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67">
        <f t="shared" ca="1" si="30"/>
        <v>1621.08</v>
      </c>
      <c r="P167">
        <f t="shared" ca="1" si="31"/>
        <v>209908.99</v>
      </c>
      <c r="Q167">
        <f t="shared" ca="1" si="32"/>
        <v>4</v>
      </c>
      <c r="R167">
        <f ca="1">((Tabla2[[#This Row],[Fantasma Comunicación]]+1)/(Tabla2[[#This Row],[Fantasma Comunicación]]+RANDBETWEEN(0,5)+2))-0.5</f>
        <v>0.125</v>
      </c>
      <c r="S167">
        <f ca="1">1+MAX(0,Tabla2[[#This Row],[Deuda actual]]/Tabla2[[#This Row],[Liquidez]]+Tabla2[[#This Row],[Liquidez]]/(Tabla2[[#This Row],[Activos]]+Tabla2[[#This Row],[Liquidez]])+Tabla2[[#This Row],[Comunicación]])</f>
        <v>1.6745862601184851</v>
      </c>
      <c r="T167">
        <f ca="1">Tabla2[[#This Row],[Deuda actual]]*EXP(Tabla2[[#This Row],[Ki]]*Tabla2[[#This Row],[diferencia de días]])*(1+Tabla2[[#This Row],[Hg]])</f>
        <v>924.45656890639759</v>
      </c>
    </row>
    <row r="168" spans="1:20" ht="14.5" x14ac:dyDescent="0.35">
      <c r="A168">
        <f t="shared" si="22"/>
        <v>167</v>
      </c>
      <c r="B168">
        <f t="shared" ca="1" si="23"/>
        <v>46129</v>
      </c>
      <c r="C168">
        <f t="shared" ca="1" si="24"/>
        <v>46157</v>
      </c>
      <c r="D168">
        <f t="shared" ca="1" si="25"/>
        <v>12</v>
      </c>
      <c r="E168">
        <f t="shared" ca="1" si="26"/>
        <v>0.42916577174206805</v>
      </c>
      <c r="F168">
        <f t="shared" ca="1" si="27"/>
        <v>381.26</v>
      </c>
      <c r="G168" t="str">
        <f t="shared" ca="1" si="28"/>
        <v>hipotecario</v>
      </c>
      <c r="H16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68" t="str">
        <f t="shared" ca="1" si="29"/>
        <v>Sí</v>
      </c>
      <c r="J16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68">
        <f ca="1">IF(Tabla2[[#This Row],[¿cliente deuda abierta?]]="Sí", Tabla2[[#This Row],[Deuda actual]]*Tabla2[[#This Row],[diferencia de días]], "0")</f>
        <v>4575.12</v>
      </c>
      <c r="L16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6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6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68">
        <f t="shared" ca="1" si="30"/>
        <v>1429.59</v>
      </c>
      <c r="P168">
        <f t="shared" ca="1" si="31"/>
        <v>27127.06</v>
      </c>
      <c r="Q168">
        <f t="shared" ca="1" si="32"/>
        <v>1</v>
      </c>
      <c r="R168">
        <f ca="1">((Tabla2[[#This Row],[Fantasma Comunicación]]+1)/(Tabla2[[#This Row],[Fantasma Comunicación]]+RANDBETWEEN(0,5)+2))-0.5</f>
        <v>-0.16666666666666669</v>
      </c>
      <c r="S168">
        <f ca="1">1+MAX(0,Tabla2[[#This Row],[Deuda actual]]/Tabla2[[#This Row],[Liquidez]]+Tabla2[[#This Row],[Liquidez]]/(Tabla2[[#This Row],[Activos]]+Tabla2[[#This Row],[Liquidez]])+Tabla2[[#This Row],[Comunicación]])</f>
        <v>1.1500867263790084</v>
      </c>
      <c r="T168">
        <f ca="1">Tabla2[[#This Row],[Deuda actual]]*EXP(Tabla2[[#This Row],[Ki]]*Tabla2[[#This Row],[diferencia de días]])*(1+Tabla2[[#This Row],[Hg]])</f>
        <v>401.28492905313783</v>
      </c>
    </row>
    <row r="169" spans="1:20" ht="14.5" x14ac:dyDescent="0.35">
      <c r="A169">
        <f t="shared" si="22"/>
        <v>168</v>
      </c>
      <c r="B169">
        <f t="shared" ca="1" si="23"/>
        <v>46089</v>
      </c>
      <c r="C169">
        <f t="shared" ca="1" si="24"/>
        <v>46157</v>
      </c>
      <c r="D169">
        <f t="shared" ca="1" si="25"/>
        <v>19</v>
      </c>
      <c r="E169">
        <f t="shared" ca="1" si="26"/>
        <v>0.59386554891990495</v>
      </c>
      <c r="F169">
        <f t="shared" ca="1" si="27"/>
        <v>9835.6299999999992</v>
      </c>
      <c r="G169" t="str">
        <f t="shared" ca="1" si="28"/>
        <v>personal</v>
      </c>
      <c r="H16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69" t="str">
        <f t="shared" ca="1" si="29"/>
        <v>Sí</v>
      </c>
      <c r="J16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69">
        <f ca="1">IF(Tabla2[[#This Row],[¿cliente deuda abierta?]]="Sí", Tabla2[[#This Row],[Deuda actual]]*Tabla2[[#This Row],[diferencia de días]], "0")</f>
        <v>186876.96999999997</v>
      </c>
      <c r="L16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16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69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169">
        <f t="shared" ca="1" si="30"/>
        <v>1374.22</v>
      </c>
      <c r="P169">
        <f t="shared" ca="1" si="31"/>
        <v>154536.85999999999</v>
      </c>
      <c r="Q169">
        <f t="shared" ca="1" si="32"/>
        <v>1</v>
      </c>
      <c r="R169">
        <f ca="1">((Tabla2[[#This Row],[Fantasma Comunicación]]+1)/(Tabla2[[#This Row],[Fantasma Comunicación]]+RANDBETWEEN(0,5)+2))-0.5</f>
        <v>0</v>
      </c>
      <c r="S169">
        <f ca="1">1+MAX(0,Tabla2[[#This Row],[Deuda actual]]/Tabla2[[#This Row],[Liquidez]]+Tabla2[[#This Row],[Liquidez]]/(Tabla2[[#This Row],[Activos]]+Tabla2[[#This Row],[Liquidez]])+Tabla2[[#This Row],[Comunicación]])</f>
        <v>8.1660596913730075</v>
      </c>
      <c r="T169">
        <f ca="1">Tabla2[[#This Row],[Deuda actual]]*EXP(Tabla2[[#This Row],[Ki]]*Tabla2[[#This Row],[diferencia de días]])*(1+Tabla2[[#This Row],[Hg]])</f>
        <v>11397.265396259338</v>
      </c>
    </row>
    <row r="170" spans="1:20" ht="14.5" x14ac:dyDescent="0.35">
      <c r="A170">
        <f t="shared" si="22"/>
        <v>169</v>
      </c>
      <c r="B170">
        <f t="shared" ca="1" si="23"/>
        <v>46103</v>
      </c>
      <c r="C170">
        <f t="shared" ca="1" si="24"/>
        <v>46157</v>
      </c>
      <c r="D170">
        <f t="shared" ca="1" si="25"/>
        <v>6</v>
      </c>
      <c r="E170">
        <f t="shared" ca="1" si="26"/>
        <v>0.90787325653826068</v>
      </c>
      <c r="F170">
        <f t="shared" ca="1" si="27"/>
        <v>267.79000000000002</v>
      </c>
      <c r="G170" t="str">
        <f t="shared" ca="1" si="28"/>
        <v>personal</v>
      </c>
      <c r="H17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70" t="str">
        <f t="shared" ca="1" si="29"/>
        <v>Sí</v>
      </c>
      <c r="J17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70">
        <f ca="1">IF(Tabla2[[#This Row],[¿cliente deuda abierta?]]="Sí", Tabla2[[#This Row],[Deuda actual]]*Tabla2[[#This Row],[diferencia de días]], "0")</f>
        <v>1606.7400000000002</v>
      </c>
      <c r="L17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7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7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70">
        <f t="shared" ca="1" si="30"/>
        <v>1898.31</v>
      </c>
      <c r="P170">
        <f t="shared" ca="1" si="31"/>
        <v>434998.61</v>
      </c>
      <c r="Q170">
        <f t="shared" ca="1" si="32"/>
        <v>5</v>
      </c>
      <c r="R170">
        <f ca="1">((Tabla2[[#This Row],[Fantasma Comunicación]]+1)/(Tabla2[[#This Row],[Fantasma Comunicación]]+RANDBETWEEN(0,5)+2))-0.5</f>
        <v>0</v>
      </c>
      <c r="S170">
        <f ca="1">1+MAX(0,Tabla2[[#This Row],[Deuda actual]]/Tabla2[[#This Row],[Liquidez]]+Tabla2[[#This Row],[Liquidez]]/(Tabla2[[#This Row],[Activos]]+Tabla2[[#This Row],[Liquidez]])+Tabla2[[#This Row],[Comunicación]])</f>
        <v>1.1454125648734996</v>
      </c>
      <c r="T170">
        <f ca="1">Tabla2[[#This Row],[Deuda actual]]*EXP(Tabla2[[#This Row],[Ki]]*Tabla2[[#This Row],[diferencia de días]])*(1+Tabla2[[#This Row],[Hg]])</f>
        <v>281.51711793024401</v>
      </c>
    </row>
    <row r="171" spans="1:20" ht="14.5" x14ac:dyDescent="0.35">
      <c r="A171">
        <f t="shared" si="22"/>
        <v>170</v>
      </c>
      <c r="B171">
        <f t="shared" ca="1" si="23"/>
        <v>46139</v>
      </c>
      <c r="C171">
        <f t="shared" ca="1" si="24"/>
        <v>46157</v>
      </c>
      <c r="D171">
        <f t="shared" ca="1" si="25"/>
        <v>17</v>
      </c>
      <c r="E171">
        <f t="shared" ca="1" si="26"/>
        <v>0.66484225113002782</v>
      </c>
      <c r="F171">
        <f t="shared" ca="1" si="27"/>
        <v>454.48</v>
      </c>
      <c r="G171" t="str">
        <f t="shared" ca="1" si="28"/>
        <v>hipotecario</v>
      </c>
      <c r="H17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71" t="str">
        <f t="shared" ca="1" si="29"/>
        <v>Sí</v>
      </c>
      <c r="J17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71">
        <f ca="1">IF(Tabla2[[#This Row],[¿cliente deuda abierta?]]="Sí", Tabla2[[#This Row],[Deuda actual]]*Tabla2[[#This Row],[diferencia de días]], "0")</f>
        <v>7726.16</v>
      </c>
      <c r="L17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7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7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71">
        <f t="shared" ca="1" si="30"/>
        <v>1336.12</v>
      </c>
      <c r="P171">
        <f t="shared" ca="1" si="31"/>
        <v>240940.54</v>
      </c>
      <c r="Q171">
        <f t="shared" ca="1" si="32"/>
        <v>5</v>
      </c>
      <c r="R171">
        <f ca="1">((Tabla2[[#This Row],[Fantasma Comunicación]]+1)/(Tabla2[[#This Row],[Fantasma Comunicación]]+RANDBETWEEN(0,5)+2))-0.5</f>
        <v>0.16666666666666663</v>
      </c>
      <c r="S171">
        <f ca="1">1+MAX(0,Tabla2[[#This Row],[Deuda actual]]/Tabla2[[#This Row],[Liquidez]]+Tabla2[[#This Row],[Liquidez]]/(Tabla2[[#This Row],[Activos]]+Tabla2[[#This Row],[Liquidez]])+Tabla2[[#This Row],[Comunicación]])</f>
        <v>1.5123306073899068</v>
      </c>
      <c r="T171">
        <f ca="1">Tabla2[[#This Row],[Deuda actual]]*EXP(Tabla2[[#This Row],[Ki]]*Tabla2[[#This Row],[diferencia de días]])*(1+Tabla2[[#This Row],[Hg]])</f>
        <v>480.46004520708635</v>
      </c>
    </row>
    <row r="172" spans="1:20" ht="14.5" x14ac:dyDescent="0.35">
      <c r="A172">
        <f t="shared" si="22"/>
        <v>171</v>
      </c>
      <c r="B172">
        <f t="shared" ca="1" si="23"/>
        <v>46124</v>
      </c>
      <c r="C172">
        <f t="shared" ca="1" si="24"/>
        <v>46157</v>
      </c>
      <c r="D172">
        <f t="shared" ca="1" si="25"/>
        <v>9</v>
      </c>
      <c r="E172">
        <f t="shared" ca="1" si="26"/>
        <v>0.70332623454200582</v>
      </c>
      <c r="F172">
        <f t="shared" ca="1" si="27"/>
        <v>641.16999999999996</v>
      </c>
      <c r="G172" t="str">
        <f t="shared" ca="1" si="28"/>
        <v>hipotecario</v>
      </c>
      <c r="H17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72" t="str">
        <f t="shared" ca="1" si="29"/>
        <v>Sí</v>
      </c>
      <c r="J17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72">
        <f ca="1">IF(Tabla2[[#This Row],[¿cliente deuda abierta?]]="Sí", Tabla2[[#This Row],[Deuda actual]]*Tabla2[[#This Row],[diferencia de días]], "0")</f>
        <v>5770.53</v>
      </c>
      <c r="L17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7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7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72">
        <f t="shared" ca="1" si="30"/>
        <v>1207.6099999999999</v>
      </c>
      <c r="P172">
        <f t="shared" ca="1" si="31"/>
        <v>350103.89</v>
      </c>
      <c r="Q172">
        <f t="shared" ca="1" si="32"/>
        <v>2</v>
      </c>
      <c r="R172">
        <f ca="1">((Tabla2[[#This Row],[Fantasma Comunicación]]+1)/(Tabla2[[#This Row],[Fantasma Comunicación]]+RANDBETWEEN(0,5)+2))-0.5</f>
        <v>-0.125</v>
      </c>
      <c r="S172">
        <f ca="1">1+MAX(0,Tabla2[[#This Row],[Deuda actual]]/Tabla2[[#This Row],[Liquidez]]+Tabla2[[#This Row],[Liquidez]]/(Tabla2[[#This Row],[Activos]]+Tabla2[[#This Row],[Liquidez]])+Tabla2[[#This Row],[Comunicación]])</f>
        <v>1.4093787144419521</v>
      </c>
      <c r="T172">
        <f ca="1">Tabla2[[#This Row],[Deuda actual]]*EXP(Tabla2[[#This Row],[Ki]]*Tabla2[[#This Row],[diferencia de días]])*(1+Tabla2[[#This Row],[Hg]])</f>
        <v>674.44140258484276</v>
      </c>
    </row>
    <row r="173" spans="1:20" ht="14.5" x14ac:dyDescent="0.35">
      <c r="A173">
        <f t="shared" si="22"/>
        <v>172</v>
      </c>
      <c r="B173">
        <f t="shared" ca="1" si="23"/>
        <v>46129</v>
      </c>
      <c r="C173">
        <f t="shared" ca="1" si="24"/>
        <v>46157</v>
      </c>
      <c r="D173">
        <f t="shared" ca="1" si="25"/>
        <v>19</v>
      </c>
      <c r="E173">
        <f t="shared" ca="1" si="26"/>
        <v>0.28755178326059594</v>
      </c>
      <c r="F173">
        <f t="shared" ca="1" si="27"/>
        <v>590.38</v>
      </c>
      <c r="G173" t="str">
        <f t="shared" ca="1" si="28"/>
        <v>hipotecario</v>
      </c>
      <c r="H17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73" t="str">
        <f t="shared" ca="1" si="29"/>
        <v>No</v>
      </c>
      <c r="J17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165000.69686033696</v>
      </c>
      <c r="K173" t="str">
        <f ca="1">IF(Tabla2[[#This Row],[¿cliente deuda abierta?]]="Sí", Tabla2[[#This Row],[Deuda actual]]*Tabla2[[#This Row],[diferencia de días]], "0")</f>
        <v>0</v>
      </c>
      <c r="L17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7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7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73">
        <f t="shared" ca="1" si="30"/>
        <v>1919.87</v>
      </c>
      <c r="P173">
        <f t="shared" ca="1" si="31"/>
        <v>108742.42</v>
      </c>
      <c r="Q173">
        <f t="shared" ca="1" si="32"/>
        <v>1</v>
      </c>
      <c r="R173">
        <f ca="1">((Tabla2[[#This Row],[Fantasma Comunicación]]+1)/(Tabla2[[#This Row],[Fantasma Comunicación]]+RANDBETWEEN(0,5)+2))-0.5</f>
        <v>-9.9999999999999978E-2</v>
      </c>
      <c r="S173">
        <f ca="1">1+MAX(0,Tabla2[[#This Row],[Deuda actual]]/Tabla2[[#This Row],[Liquidez]]+Tabla2[[#This Row],[Liquidez]]/(Tabla2[[#This Row],[Activos]]+Tabla2[[#This Row],[Liquidez]])+Tabla2[[#This Row],[Comunicación]])</f>
        <v>1.2248593133598589</v>
      </c>
      <c r="T173">
        <f ca="1">Tabla2[[#This Row],[Deuda actual]]*EXP(Tabla2[[#This Row],[Ki]]*Tabla2[[#This Row],[diferencia de días]])*(1+Tabla2[[#This Row],[Hg]])</f>
        <v>475.90718516029466</v>
      </c>
    </row>
    <row r="174" spans="1:20" ht="14.5" x14ac:dyDescent="0.35">
      <c r="A174">
        <f t="shared" si="22"/>
        <v>173</v>
      </c>
      <c r="B174">
        <f t="shared" ca="1" si="23"/>
        <v>46117</v>
      </c>
      <c r="C174">
        <f t="shared" ca="1" si="24"/>
        <v>46157</v>
      </c>
      <c r="D174">
        <f t="shared" ca="1" si="25"/>
        <v>9</v>
      </c>
      <c r="E174">
        <f t="shared" ca="1" si="26"/>
        <v>0.34622001912021783</v>
      </c>
      <c r="F174">
        <f t="shared" ca="1" si="27"/>
        <v>339.19</v>
      </c>
      <c r="G174" t="str">
        <f t="shared" ca="1" si="28"/>
        <v>personal</v>
      </c>
      <c r="H17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74" t="str">
        <f t="shared" ca="1" si="29"/>
        <v>No</v>
      </c>
      <c r="J17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12001.341496111188</v>
      </c>
      <c r="K174" t="str">
        <f ca="1">IF(Tabla2[[#This Row],[¿cliente deuda abierta?]]="Sí", Tabla2[[#This Row],[Deuda actual]]*Tabla2[[#This Row],[diferencia de días]], "0")</f>
        <v>0</v>
      </c>
      <c r="L17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7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17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174">
        <f t="shared" ca="1" si="30"/>
        <v>1655.22</v>
      </c>
      <c r="P174">
        <f t="shared" ca="1" si="31"/>
        <v>198354.2</v>
      </c>
      <c r="Q174">
        <f t="shared" ca="1" si="32"/>
        <v>3</v>
      </c>
      <c r="R174">
        <f ca="1">((Tabla2[[#This Row],[Fantasma Comunicación]]+1)/(Tabla2[[#This Row],[Fantasma Comunicación]]+RANDBETWEEN(0,5)+2))-0.5</f>
        <v>-9.9999999999999978E-2</v>
      </c>
      <c r="S174">
        <f ca="1">1+MAX(0,Tabla2[[#This Row],[Deuda actual]]/Tabla2[[#This Row],[Liquidez]]+Tabla2[[#This Row],[Liquidez]]/(Tabla2[[#This Row],[Activos]]+Tabla2[[#This Row],[Liquidez]])+Tabla2[[#This Row],[Comunicación]])</f>
        <v>1.1131971103904605</v>
      </c>
      <c r="T174">
        <f ca="1">Tabla2[[#This Row],[Deuda actual]]*EXP(Tabla2[[#This Row],[Ki]]*Tabla2[[#This Row],[diferencia de días]])*(1+Tabla2[[#This Row],[Hg]])</f>
        <v>305.82098263587704</v>
      </c>
    </row>
    <row r="175" spans="1:20" ht="14.5" x14ac:dyDescent="0.35">
      <c r="A175">
        <f t="shared" si="22"/>
        <v>174</v>
      </c>
      <c r="B175">
        <f t="shared" ca="1" si="23"/>
        <v>46104</v>
      </c>
      <c r="C175">
        <f t="shared" ca="1" si="24"/>
        <v>46157</v>
      </c>
      <c r="D175">
        <f t="shared" ca="1" si="25"/>
        <v>6</v>
      </c>
      <c r="E175">
        <f t="shared" ca="1" si="26"/>
        <v>0.21511199740561326</v>
      </c>
      <c r="F175">
        <f t="shared" ca="1" si="27"/>
        <v>2900.32</v>
      </c>
      <c r="G175" t="str">
        <f t="shared" ca="1" si="28"/>
        <v>personal</v>
      </c>
      <c r="H17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75" t="str">
        <f t="shared" ca="1" si="29"/>
        <v>Sí</v>
      </c>
      <c r="J17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75">
        <f ca="1">IF(Tabla2[[#This Row],[¿cliente deuda abierta?]]="Sí", Tabla2[[#This Row],[Deuda actual]]*Tabla2[[#This Row],[diferencia de días]], "0")</f>
        <v>17401.920000000002</v>
      </c>
      <c r="L17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7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7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75">
        <f t="shared" ca="1" si="30"/>
        <v>1919.9</v>
      </c>
      <c r="P175">
        <f t="shared" ca="1" si="31"/>
        <v>118497.75</v>
      </c>
      <c r="Q175">
        <f t="shared" ca="1" si="32"/>
        <v>2</v>
      </c>
      <c r="R175">
        <f ca="1">((Tabla2[[#This Row],[Fantasma Comunicación]]+1)/(Tabla2[[#This Row],[Fantasma Comunicación]]+RANDBETWEEN(0,5)+2))-0.5</f>
        <v>0</v>
      </c>
      <c r="S175">
        <f ca="1">1+MAX(0,Tabla2[[#This Row],[Deuda actual]]/Tabla2[[#This Row],[Liquidez]]+Tabla2[[#This Row],[Liquidez]]/(Tabla2[[#This Row],[Activos]]+Tabla2[[#This Row],[Liquidez]])+Tabla2[[#This Row],[Comunicación]])</f>
        <v>2.5266056896774249</v>
      </c>
      <c r="T175">
        <f ca="1">Tabla2[[#This Row],[Deuda actual]]*EXP(Tabla2[[#This Row],[Ki]]*Tabla2[[#This Row],[diferencia de días]])*(1+Tabla2[[#This Row],[Hg]])</f>
        <v>3048.9925967192398</v>
      </c>
    </row>
    <row r="176" spans="1:20" ht="14.5" x14ac:dyDescent="0.35">
      <c r="A176">
        <f t="shared" si="22"/>
        <v>175</v>
      </c>
      <c r="B176">
        <f t="shared" ca="1" si="23"/>
        <v>46105</v>
      </c>
      <c r="C176">
        <f t="shared" ca="1" si="24"/>
        <v>46157</v>
      </c>
      <c r="D176">
        <f t="shared" ca="1" si="25"/>
        <v>2</v>
      </c>
      <c r="E176">
        <f t="shared" ca="1" si="26"/>
        <v>0.75967047305274915</v>
      </c>
      <c r="F176">
        <f t="shared" ca="1" si="27"/>
        <v>1631.65</v>
      </c>
      <c r="G176" t="str">
        <f t="shared" ca="1" si="28"/>
        <v>hipotecario</v>
      </c>
      <c r="H17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76" t="str">
        <f t="shared" ca="1" si="29"/>
        <v>No</v>
      </c>
      <c r="J17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164999.37198407142</v>
      </c>
      <c r="K176" t="str">
        <f ca="1">IF(Tabla2[[#This Row],[¿cliente deuda abierta?]]="Sí", Tabla2[[#This Row],[Deuda actual]]*Tabla2[[#This Row],[diferencia de días]], "0")</f>
        <v>0</v>
      </c>
      <c r="L17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7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76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76">
        <f t="shared" ca="1" si="30"/>
        <v>1888.89</v>
      </c>
      <c r="P176">
        <f t="shared" ca="1" si="31"/>
        <v>33170.36</v>
      </c>
      <c r="Q176">
        <f t="shared" ca="1" si="32"/>
        <v>2</v>
      </c>
      <c r="R176">
        <f ca="1">((Tabla2[[#This Row],[Fantasma Comunicación]]+1)/(Tabla2[[#This Row],[Fantasma Comunicación]]+RANDBETWEEN(0,5)+2))-0.5</f>
        <v>0</v>
      </c>
      <c r="S176">
        <f ca="1">1+MAX(0,Tabla2[[#This Row],[Deuda actual]]/Tabla2[[#This Row],[Liquidez]]+Tabla2[[#This Row],[Liquidez]]/(Tabla2[[#This Row],[Activos]]+Tabla2[[#This Row],[Liquidez]])+Tabla2[[#This Row],[Comunicación]])</f>
        <v>1.917691277271746</v>
      </c>
      <c r="T176">
        <f ca="1">Tabla2[[#This Row],[Deuda actual]]*EXP(Tabla2[[#This Row],[Ki]]*Tabla2[[#This Row],[diferencia de días]])*(1+Tabla2[[#This Row],[Hg]])</f>
        <v>1305.8422324395251</v>
      </c>
    </row>
    <row r="177" spans="1:20" ht="14.5" x14ac:dyDescent="0.35">
      <c r="A177">
        <f t="shared" si="22"/>
        <v>176</v>
      </c>
      <c r="B177">
        <f t="shared" ca="1" si="23"/>
        <v>46103</v>
      </c>
      <c r="C177">
        <f t="shared" ca="1" si="24"/>
        <v>46157</v>
      </c>
      <c r="D177">
        <f t="shared" ca="1" si="25"/>
        <v>11</v>
      </c>
      <c r="E177">
        <f t="shared" ca="1" si="26"/>
        <v>0.36062295520555987</v>
      </c>
      <c r="F177">
        <f t="shared" ca="1" si="27"/>
        <v>10000</v>
      </c>
      <c r="G177" t="str">
        <f t="shared" ca="1" si="28"/>
        <v>hipotecario</v>
      </c>
      <c r="H17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77" t="str">
        <f t="shared" ca="1" si="29"/>
        <v>Sí</v>
      </c>
      <c r="J17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77">
        <f ca="1">IF(Tabla2[[#This Row],[¿cliente deuda abierta?]]="Sí", Tabla2[[#This Row],[Deuda actual]]*Tabla2[[#This Row],[diferencia de días]], "0")</f>
        <v>110000</v>
      </c>
      <c r="L17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17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77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177">
        <f t="shared" ca="1" si="30"/>
        <v>1466.29</v>
      </c>
      <c r="P177">
        <f t="shared" ca="1" si="31"/>
        <v>160490.5</v>
      </c>
      <c r="Q177">
        <f t="shared" ca="1" si="32"/>
        <v>3</v>
      </c>
      <c r="R177">
        <f ca="1">((Tabla2[[#This Row],[Fantasma Comunicación]]+1)/(Tabla2[[#This Row],[Fantasma Comunicación]]+RANDBETWEEN(0,5)+2))-0.5</f>
        <v>0.30000000000000004</v>
      </c>
      <c r="S177">
        <f ca="1">1+MAX(0,Tabla2[[#This Row],[Deuda actual]]/Tabla2[[#This Row],[Liquidez]]+Tabla2[[#This Row],[Liquidez]]/(Tabla2[[#This Row],[Activos]]+Tabla2[[#This Row],[Liquidez]])+Tabla2[[#This Row],[Comunicación]])</f>
        <v>8.1289868887407355</v>
      </c>
      <c r="T177">
        <f ca="1">Tabla2[[#This Row],[Deuda actual]]*EXP(Tabla2[[#This Row],[Ki]]*Tabla2[[#This Row],[diferencia de días]])*(1+Tabla2[[#This Row],[Hg]])</f>
        <v>11525.327850419893</v>
      </c>
    </row>
    <row r="178" spans="1:20" ht="14.5" x14ac:dyDescent="0.35">
      <c r="A178">
        <f t="shared" si="22"/>
        <v>177</v>
      </c>
      <c r="B178">
        <f t="shared" ca="1" si="23"/>
        <v>46139</v>
      </c>
      <c r="C178">
        <f t="shared" ca="1" si="24"/>
        <v>46157</v>
      </c>
      <c r="D178">
        <f t="shared" ca="1" si="25"/>
        <v>2</v>
      </c>
      <c r="E178">
        <f t="shared" ca="1" si="26"/>
        <v>0.64358518618953253</v>
      </c>
      <c r="F178">
        <f t="shared" ca="1" si="27"/>
        <v>482.59</v>
      </c>
      <c r="G178" t="str">
        <f t="shared" ca="1" si="28"/>
        <v>personal</v>
      </c>
      <c r="H17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78" t="str">
        <f t="shared" ca="1" si="29"/>
        <v>Sí</v>
      </c>
      <c r="J17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78">
        <f ca="1">IF(Tabla2[[#This Row],[¿cliente deuda abierta?]]="Sí", Tabla2[[#This Row],[Deuda actual]]*Tabla2[[#This Row],[diferencia de días]], "0")</f>
        <v>965.18</v>
      </c>
      <c r="L17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7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7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78">
        <f t="shared" ca="1" si="30"/>
        <v>2010.93</v>
      </c>
      <c r="P178">
        <f t="shared" ca="1" si="31"/>
        <v>92091</v>
      </c>
      <c r="Q178">
        <f t="shared" ca="1" si="32"/>
        <v>5</v>
      </c>
      <c r="R178">
        <f ca="1">((Tabla2[[#This Row],[Fantasma Comunicación]]+1)/(Tabla2[[#This Row],[Fantasma Comunicación]]+RANDBETWEEN(0,5)+2))-0.5</f>
        <v>0.16666666666666663</v>
      </c>
      <c r="S178">
        <f ca="1">1+MAX(0,Tabla2[[#This Row],[Deuda actual]]/Tabla2[[#This Row],[Liquidez]]+Tabla2[[#This Row],[Liquidez]]/(Tabla2[[#This Row],[Activos]]+Tabla2[[#This Row],[Liquidez]])+Tabla2[[#This Row],[Comunicación]])</f>
        <v>1.4280198567488973</v>
      </c>
      <c r="T178">
        <f ca="1">Tabla2[[#This Row],[Deuda actual]]*EXP(Tabla2[[#This Row],[Ki]]*Tabla2[[#This Row],[diferencia de días]])*(1+Tabla2[[#This Row],[Hg]])</f>
        <v>506.92222834296558</v>
      </c>
    </row>
    <row r="179" spans="1:20" ht="14.5" x14ac:dyDescent="0.35">
      <c r="A179">
        <f t="shared" si="22"/>
        <v>178</v>
      </c>
      <c r="B179">
        <f t="shared" ca="1" si="23"/>
        <v>46095</v>
      </c>
      <c r="C179">
        <f t="shared" ca="1" si="24"/>
        <v>46157</v>
      </c>
      <c r="D179">
        <f t="shared" ca="1" si="25"/>
        <v>33</v>
      </c>
      <c r="E179">
        <f t="shared" ca="1" si="26"/>
        <v>0.81430262900117101</v>
      </c>
      <c r="F179">
        <f t="shared" ca="1" si="27"/>
        <v>399.44</v>
      </c>
      <c r="G179" t="str">
        <f t="shared" ca="1" si="28"/>
        <v>personal</v>
      </c>
      <c r="H17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179" t="str">
        <f t="shared" ca="1" si="29"/>
        <v>Sí</v>
      </c>
      <c r="J17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79">
        <f ca="1">IF(Tabla2[[#This Row],[¿cliente deuda abierta?]]="Sí", Tabla2[[#This Row],[Deuda actual]]*Tabla2[[#This Row],[diferencia de días]], "0")</f>
        <v>13181.52</v>
      </c>
      <c r="L17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7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7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79">
        <f t="shared" ca="1" si="30"/>
        <v>1977.71</v>
      </c>
      <c r="P179">
        <f t="shared" ca="1" si="31"/>
        <v>73200.61</v>
      </c>
      <c r="Q179">
        <f t="shared" ca="1" si="32"/>
        <v>5</v>
      </c>
      <c r="R179">
        <f ca="1">((Tabla2[[#This Row],[Fantasma Comunicación]]+1)/(Tabla2[[#This Row],[Fantasma Comunicación]]+RANDBETWEEN(0,5)+2))-0.5</f>
        <v>9.9999999999999978E-2</v>
      </c>
      <c r="S179">
        <f ca="1">1+MAX(0,Tabla2[[#This Row],[Deuda actual]]/Tabla2[[#This Row],[Liquidez]]+Tabla2[[#This Row],[Liquidez]]/(Tabla2[[#This Row],[Activos]]+Tabla2[[#This Row],[Liquidez]])+Tabla2[[#This Row],[Comunicación]])</f>
        <v>1.3282778857560145</v>
      </c>
      <c r="T179">
        <f ca="1">Tabla2[[#This Row],[Deuda actual]]*EXP(Tabla2[[#This Row],[Ki]]*Tabla2[[#This Row],[diferencia de días]])*(1+Tabla2[[#This Row],[Hg]])</f>
        <v>433.48349876427449</v>
      </c>
    </row>
    <row r="180" spans="1:20" ht="14.5" x14ac:dyDescent="0.35">
      <c r="A180">
        <f t="shared" si="22"/>
        <v>179</v>
      </c>
      <c r="B180">
        <f t="shared" ca="1" si="23"/>
        <v>46088</v>
      </c>
      <c r="C180">
        <f t="shared" ca="1" si="24"/>
        <v>46157</v>
      </c>
      <c r="D180">
        <f t="shared" ca="1" si="25"/>
        <v>10</v>
      </c>
      <c r="E180">
        <f t="shared" ca="1" si="26"/>
        <v>0.55331986787431464</v>
      </c>
      <c r="F180">
        <f t="shared" ca="1" si="27"/>
        <v>3802.35</v>
      </c>
      <c r="G180" t="str">
        <f t="shared" ca="1" si="28"/>
        <v>personal</v>
      </c>
      <c r="H18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80" t="str">
        <f t="shared" ca="1" si="29"/>
        <v>Sí</v>
      </c>
      <c r="J18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80">
        <f ca="1">IF(Tabla2[[#This Row],[¿cliente deuda abierta?]]="Sí", Tabla2[[#This Row],[Deuda actual]]*Tabla2[[#This Row],[diferencia de días]], "0")</f>
        <v>38023.5</v>
      </c>
      <c r="L18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18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80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180">
        <f t="shared" ca="1" si="30"/>
        <v>1842.44</v>
      </c>
      <c r="P180">
        <f t="shared" ca="1" si="31"/>
        <v>56606.96</v>
      </c>
      <c r="Q180">
        <f t="shared" ca="1" si="32"/>
        <v>2</v>
      </c>
      <c r="R180">
        <f ca="1">((Tabla2[[#This Row],[Fantasma Comunicación]]+1)/(Tabla2[[#This Row],[Fantasma Comunicación]]+RANDBETWEEN(0,5)+2))-0.5</f>
        <v>9.9999999999999978E-2</v>
      </c>
      <c r="S180">
        <f ca="1">1+MAX(0,Tabla2[[#This Row],[Deuda actual]]/Tabla2[[#This Row],[Liquidez]]+Tabla2[[#This Row],[Liquidez]]/(Tabla2[[#This Row],[Activos]]+Tabla2[[#This Row],[Liquidez]])+Tabla2[[#This Row],[Comunicación]])</f>
        <v>3.1952798088687602</v>
      </c>
      <c r="T180">
        <f ca="1">Tabla2[[#This Row],[Deuda actual]]*EXP(Tabla2[[#This Row],[Ki]]*Tabla2[[#This Row],[diferencia de días]])*(1+Tabla2[[#This Row],[Hg]])</f>
        <v>4190.9585407495697</v>
      </c>
    </row>
    <row r="181" spans="1:20" ht="14.5" x14ac:dyDescent="0.35">
      <c r="A181">
        <f t="shared" si="22"/>
        <v>180</v>
      </c>
      <c r="B181">
        <f t="shared" ca="1" si="23"/>
        <v>46122</v>
      </c>
      <c r="C181">
        <f t="shared" ca="1" si="24"/>
        <v>46157</v>
      </c>
      <c r="D181">
        <f t="shared" ca="1" si="25"/>
        <v>19</v>
      </c>
      <c r="E181">
        <f t="shared" ca="1" si="26"/>
        <v>0.87475214678928737</v>
      </c>
      <c r="F181">
        <f t="shared" ca="1" si="27"/>
        <v>1044.92</v>
      </c>
      <c r="G181" t="str">
        <f t="shared" ca="1" si="28"/>
        <v>hipotecario</v>
      </c>
      <c r="H18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81" t="str">
        <f t="shared" ca="1" si="29"/>
        <v>Sí</v>
      </c>
      <c r="J18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81">
        <f ca="1">IF(Tabla2[[#This Row],[¿cliente deuda abierta?]]="Sí", Tabla2[[#This Row],[Deuda actual]]*Tabla2[[#This Row],[diferencia de días]], "0")</f>
        <v>19853.480000000003</v>
      </c>
      <c r="L18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8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8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81">
        <f t="shared" ca="1" si="30"/>
        <v>1678.39</v>
      </c>
      <c r="P181">
        <f t="shared" ca="1" si="31"/>
        <v>266515.21999999997</v>
      </c>
      <c r="Q181">
        <f t="shared" ca="1" si="32"/>
        <v>4</v>
      </c>
      <c r="R181">
        <f ca="1">((Tabla2[[#This Row],[Fantasma Comunicación]]+1)/(Tabla2[[#This Row],[Fantasma Comunicación]]+RANDBETWEEN(0,5)+2))-0.5</f>
        <v>-4.545454545454547E-2</v>
      </c>
      <c r="S181">
        <f ca="1">1+MAX(0,Tabla2[[#This Row],[Deuda actual]]/Tabla2[[#This Row],[Liquidez]]+Tabla2[[#This Row],[Liquidez]]/(Tabla2[[#This Row],[Activos]]+Tabla2[[#This Row],[Liquidez]])+Tabla2[[#This Row],[Comunicación]])</f>
        <v>1.5833764055332424</v>
      </c>
      <c r="T181">
        <f ca="1">Tabla2[[#This Row],[Deuda actual]]*EXP(Tabla2[[#This Row],[Ki]]*Tabla2[[#This Row],[diferencia de días]])*(1+Tabla2[[#This Row],[Hg]])</f>
        <v>1105.5362281784187</v>
      </c>
    </row>
    <row r="182" spans="1:20" ht="14.5" x14ac:dyDescent="0.35">
      <c r="A182">
        <f t="shared" si="22"/>
        <v>181</v>
      </c>
      <c r="B182">
        <f t="shared" ca="1" si="23"/>
        <v>46121</v>
      </c>
      <c r="C182">
        <f t="shared" ca="1" si="24"/>
        <v>46157</v>
      </c>
      <c r="D182">
        <f t="shared" ca="1" si="25"/>
        <v>23</v>
      </c>
      <c r="E182">
        <f t="shared" ca="1" si="26"/>
        <v>0.73118048566755034</v>
      </c>
      <c r="F182">
        <f t="shared" ca="1" si="27"/>
        <v>985.53</v>
      </c>
      <c r="G182" t="str">
        <f t="shared" ca="1" si="28"/>
        <v>personal</v>
      </c>
      <c r="H18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82" t="str">
        <f t="shared" ca="1" si="29"/>
        <v>Sí</v>
      </c>
      <c r="J18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82">
        <f ca="1">IF(Tabla2[[#This Row],[¿cliente deuda abierta?]]="Sí", Tabla2[[#This Row],[Deuda actual]]*Tabla2[[#This Row],[diferencia de días]], "0")</f>
        <v>22667.19</v>
      </c>
      <c r="L18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8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8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82">
        <f t="shared" ca="1" si="30"/>
        <v>1349.3</v>
      </c>
      <c r="P182">
        <f t="shared" ca="1" si="31"/>
        <v>235117.76</v>
      </c>
      <c r="Q182">
        <f t="shared" ca="1" si="32"/>
        <v>5</v>
      </c>
      <c r="R182">
        <f ca="1">((Tabla2[[#This Row],[Fantasma Comunicación]]+1)/(Tabla2[[#This Row],[Fantasma Comunicación]]+RANDBETWEEN(0,5)+2))-0.5</f>
        <v>0</v>
      </c>
      <c r="S182">
        <f ca="1">1+MAX(0,Tabla2[[#This Row],[Deuda actual]]/Tabla2[[#This Row],[Liquidez]]+Tabla2[[#This Row],[Liquidez]]/(Tabla2[[#This Row],[Activos]]+Tabla2[[#This Row],[Liquidez]])+Tabla2[[#This Row],[Comunicación]])</f>
        <v>1.7361070288018983</v>
      </c>
      <c r="T182">
        <f ca="1">Tabla2[[#This Row],[Deuda actual]]*EXP(Tabla2[[#This Row],[Ki]]*Tabla2[[#This Row],[diferencia de días]])*(1+Tabla2[[#This Row],[Hg]])</f>
        <v>1044.3706474191033</v>
      </c>
    </row>
    <row r="183" spans="1:20" ht="14.5" x14ac:dyDescent="0.35">
      <c r="A183">
        <f t="shared" si="22"/>
        <v>182</v>
      </c>
      <c r="B183">
        <f t="shared" ca="1" si="23"/>
        <v>46132</v>
      </c>
      <c r="C183">
        <f t="shared" ca="1" si="24"/>
        <v>46157</v>
      </c>
      <c r="D183">
        <f t="shared" ca="1" si="25"/>
        <v>22</v>
      </c>
      <c r="E183">
        <f t="shared" ca="1" si="26"/>
        <v>4.2196122729850294E-2</v>
      </c>
      <c r="F183">
        <f t="shared" ca="1" si="27"/>
        <v>295.16000000000003</v>
      </c>
      <c r="G183" t="str">
        <f t="shared" ca="1" si="28"/>
        <v>hipotecario</v>
      </c>
      <c r="H18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83" t="str">
        <f t="shared" ca="1" si="29"/>
        <v>No</v>
      </c>
      <c r="J18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164999.80144042507</v>
      </c>
      <c r="K183" t="str">
        <f ca="1">IF(Tabla2[[#This Row],[¿cliente deuda abierta?]]="Sí", Tabla2[[#This Row],[Deuda actual]]*Tabla2[[#This Row],[diferencia de días]], "0")</f>
        <v>0</v>
      </c>
      <c r="L18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8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8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83">
        <f t="shared" ca="1" si="30"/>
        <v>1580.75</v>
      </c>
      <c r="P183">
        <f t="shared" ca="1" si="31"/>
        <v>166660.17000000001</v>
      </c>
      <c r="Q183">
        <f t="shared" ca="1" si="32"/>
        <v>5</v>
      </c>
      <c r="R183">
        <f ca="1">((Tabla2[[#This Row],[Fantasma Comunicación]]+1)/(Tabla2[[#This Row],[Fantasma Comunicación]]+RANDBETWEEN(0,5)+2))-0.5</f>
        <v>0.16666666666666663</v>
      </c>
      <c r="S183">
        <f ca="1">1+MAX(0,Tabla2[[#This Row],[Deuda actual]]/Tabla2[[#This Row],[Liquidez]]+Tabla2[[#This Row],[Liquidez]]/(Tabla2[[#This Row],[Activos]]+Tabla2[[#This Row],[Liquidez]])+Tabla2[[#This Row],[Comunicación]])</f>
        <v>1.3627839118632235</v>
      </c>
      <c r="T183">
        <f ca="1">Tabla2[[#This Row],[Deuda actual]]*EXP(Tabla2[[#This Row],[Ki]]*Tabla2[[#This Row],[diferencia de días]])*(1+Tabla2[[#This Row],[Hg]])</f>
        <v>238.21509615436946</v>
      </c>
    </row>
    <row r="184" spans="1:20" ht="14.5" x14ac:dyDescent="0.35">
      <c r="A184">
        <f t="shared" si="22"/>
        <v>183</v>
      </c>
      <c r="B184">
        <f t="shared" ca="1" si="23"/>
        <v>46138</v>
      </c>
      <c r="C184">
        <f t="shared" ca="1" si="24"/>
        <v>46157</v>
      </c>
      <c r="D184">
        <f t="shared" ca="1" si="25"/>
        <v>11</v>
      </c>
      <c r="E184">
        <f t="shared" ca="1" si="26"/>
        <v>0.60131734898867961</v>
      </c>
      <c r="F184">
        <f t="shared" ca="1" si="27"/>
        <v>3860.72</v>
      </c>
      <c r="G184" t="str">
        <f t="shared" ca="1" si="28"/>
        <v>personal</v>
      </c>
      <c r="H18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84" t="str">
        <f t="shared" ca="1" si="29"/>
        <v>Sí</v>
      </c>
      <c r="J18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84">
        <f ca="1">IF(Tabla2[[#This Row],[¿cliente deuda abierta?]]="Sí", Tabla2[[#This Row],[Deuda actual]]*Tabla2[[#This Row],[diferencia de días]], "0")</f>
        <v>42467.92</v>
      </c>
      <c r="L18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18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84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184">
        <f t="shared" ca="1" si="30"/>
        <v>1551.01</v>
      </c>
      <c r="P184">
        <f t="shared" ca="1" si="31"/>
        <v>198174.89</v>
      </c>
      <c r="Q184">
        <f t="shared" ca="1" si="32"/>
        <v>5</v>
      </c>
      <c r="R184">
        <f ca="1">((Tabla2[[#This Row],[Fantasma Comunicación]]+1)/(Tabla2[[#This Row],[Fantasma Comunicación]]+RANDBETWEEN(0,5)+2))-0.5</f>
        <v>0.3571428571428571</v>
      </c>
      <c r="S184">
        <f ca="1">1+MAX(0,Tabla2[[#This Row],[Deuda actual]]/Tabla2[[#This Row],[Liquidez]]+Tabla2[[#This Row],[Liquidez]]/(Tabla2[[#This Row],[Activos]]+Tabla2[[#This Row],[Liquidez]])+Tabla2[[#This Row],[Comunicación]])</f>
        <v>3.8540736746856568</v>
      </c>
      <c r="T184">
        <f ca="1">Tabla2[[#This Row],[Deuda actual]]*EXP(Tabla2[[#This Row],[Ki]]*Tabla2[[#This Row],[diferencia de días]])*(1+Tabla2[[#This Row],[Hg]])</f>
        <v>4256.1452271774269</v>
      </c>
    </row>
    <row r="185" spans="1:20" ht="14.5" x14ac:dyDescent="0.35">
      <c r="A185">
        <f t="shared" si="22"/>
        <v>184</v>
      </c>
      <c r="B185">
        <f t="shared" ca="1" si="23"/>
        <v>46124</v>
      </c>
      <c r="C185">
        <f t="shared" ca="1" si="24"/>
        <v>46157</v>
      </c>
      <c r="D185">
        <f t="shared" ca="1" si="25"/>
        <v>9</v>
      </c>
      <c r="E185">
        <f t="shared" ca="1" si="26"/>
        <v>0.16469089701921413</v>
      </c>
      <c r="F185">
        <f t="shared" ca="1" si="27"/>
        <v>509.3</v>
      </c>
      <c r="G185" t="str">
        <f t="shared" ca="1" si="28"/>
        <v>hipotecario</v>
      </c>
      <c r="H18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85" t="str">
        <f t="shared" ca="1" si="29"/>
        <v>No</v>
      </c>
      <c r="J18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165000.24746570995</v>
      </c>
      <c r="K185" t="str">
        <f ca="1">IF(Tabla2[[#This Row],[¿cliente deuda abierta?]]="Sí", Tabla2[[#This Row],[Deuda actual]]*Tabla2[[#This Row],[diferencia de días]], "0")</f>
        <v>0</v>
      </c>
      <c r="L18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8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85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85">
        <f t="shared" ca="1" si="30"/>
        <v>2324.88</v>
      </c>
      <c r="P185">
        <f t="shared" ca="1" si="31"/>
        <v>261387.17</v>
      </c>
      <c r="Q185">
        <f t="shared" ca="1" si="32"/>
        <v>3</v>
      </c>
      <c r="R185">
        <f ca="1">((Tabla2[[#This Row],[Fantasma Comunicación]]+1)/(Tabla2[[#This Row],[Fantasma Comunicación]]+RANDBETWEEN(0,5)+2))-0.5</f>
        <v>7.1428571428571397E-2</v>
      </c>
      <c r="S185">
        <f ca="1">1+MAX(0,Tabla2[[#This Row],[Deuda actual]]/Tabla2[[#This Row],[Liquidez]]+Tabla2[[#This Row],[Liquidez]]/(Tabla2[[#This Row],[Activos]]+Tabla2[[#This Row],[Liquidez]])+Tabla2[[#This Row],[Comunicación]])</f>
        <v>1.2993096208524328</v>
      </c>
      <c r="T185">
        <f ca="1">Tabla2[[#This Row],[Deuda actual]]*EXP(Tabla2[[#This Row],[Ki]]*Tabla2[[#This Row],[diferencia de días]])*(1+Tabla2[[#This Row],[Hg]])</f>
        <v>408.17405244901005</v>
      </c>
    </row>
    <row r="186" spans="1:20" ht="14.5" x14ac:dyDescent="0.35">
      <c r="A186">
        <f t="shared" si="22"/>
        <v>185</v>
      </c>
      <c r="B186">
        <f t="shared" ca="1" si="23"/>
        <v>46086</v>
      </c>
      <c r="C186">
        <f t="shared" ca="1" si="24"/>
        <v>46157</v>
      </c>
      <c r="D186">
        <f t="shared" ca="1" si="25"/>
        <v>11</v>
      </c>
      <c r="E186">
        <f t="shared" ca="1" si="26"/>
        <v>0.93712687972618836</v>
      </c>
      <c r="F186">
        <f t="shared" ca="1" si="27"/>
        <v>1153.4100000000001</v>
      </c>
      <c r="G186" t="str">
        <f t="shared" ca="1" si="28"/>
        <v>hipotecario</v>
      </c>
      <c r="H18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86" t="str">
        <f t="shared" ca="1" si="29"/>
        <v>No</v>
      </c>
      <c r="J18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164998.77513029086</v>
      </c>
      <c r="K186" t="str">
        <f ca="1">IF(Tabla2[[#This Row],[¿cliente deuda abierta?]]="Sí", Tabla2[[#This Row],[Deuda actual]]*Tabla2[[#This Row],[diferencia de días]], "0")</f>
        <v>0</v>
      </c>
      <c r="L18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8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86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86">
        <f t="shared" ca="1" si="30"/>
        <v>1249.51</v>
      </c>
      <c r="P186">
        <f t="shared" ca="1" si="31"/>
        <v>52357.15</v>
      </c>
      <c r="Q186">
        <f t="shared" ca="1" si="32"/>
        <v>4</v>
      </c>
      <c r="R186">
        <f ca="1">((Tabla2[[#This Row],[Fantasma Comunicación]]+1)/(Tabla2[[#This Row],[Fantasma Comunicación]]+RANDBETWEEN(0,5)+2))-0.5</f>
        <v>0.2142857142857143</v>
      </c>
      <c r="S186">
        <f ca="1">1+MAX(0,Tabla2[[#This Row],[Deuda actual]]/Tabla2[[#This Row],[Liquidez]]+Tabla2[[#This Row],[Liquidez]]/(Tabla2[[#This Row],[Activos]]+Tabla2[[#This Row],[Liquidez]])+Tabla2[[#This Row],[Comunicación]])</f>
        <v>2.1606844230262165</v>
      </c>
      <c r="T186">
        <f ca="1">Tabla2[[#This Row],[Deuda actual]]*EXP(Tabla2[[#This Row],[Ki]]*Tabla2[[#This Row],[diferencia de días]])*(1+Tabla2[[#This Row],[Hg]])</f>
        <v>924.7602362401957</v>
      </c>
    </row>
    <row r="187" spans="1:20" ht="14.5" x14ac:dyDescent="0.35">
      <c r="A187">
        <f t="shared" si="22"/>
        <v>186</v>
      </c>
      <c r="B187">
        <f t="shared" ca="1" si="23"/>
        <v>46090</v>
      </c>
      <c r="C187">
        <f t="shared" ca="1" si="24"/>
        <v>46157</v>
      </c>
      <c r="D187">
        <f t="shared" ca="1" si="25"/>
        <v>22</v>
      </c>
      <c r="E187">
        <f t="shared" ca="1" si="26"/>
        <v>0.77202017006298684</v>
      </c>
      <c r="F187">
        <f t="shared" ca="1" si="27"/>
        <v>434.91</v>
      </c>
      <c r="G187" t="str">
        <f t="shared" ca="1" si="28"/>
        <v>hipotecario</v>
      </c>
      <c r="H18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87" t="str">
        <f t="shared" ca="1" si="29"/>
        <v>Sí</v>
      </c>
      <c r="J18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87">
        <f ca="1">IF(Tabla2[[#This Row],[¿cliente deuda abierta?]]="Sí", Tabla2[[#This Row],[Deuda actual]]*Tabla2[[#This Row],[diferencia de días]], "0")</f>
        <v>9568.02</v>
      </c>
      <c r="L18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8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8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87">
        <f t="shared" ca="1" si="30"/>
        <v>1370.69</v>
      </c>
      <c r="P187">
        <f t="shared" ca="1" si="31"/>
        <v>113661.45</v>
      </c>
      <c r="Q187">
        <f t="shared" ca="1" si="32"/>
        <v>2</v>
      </c>
      <c r="R187">
        <f ca="1">((Tabla2[[#This Row],[Fantasma Comunicación]]+1)/(Tabla2[[#This Row],[Fantasma Comunicación]]+RANDBETWEEN(0,5)+2))-0.5</f>
        <v>0.25</v>
      </c>
      <c r="S187">
        <f ca="1">1+MAX(0,Tabla2[[#This Row],[Deuda actual]]/Tabla2[[#This Row],[Liquidez]]+Tabla2[[#This Row],[Liquidez]]/(Tabla2[[#This Row],[Activos]]+Tabla2[[#This Row],[Liquidez]])+Tabla2[[#This Row],[Comunicación]])</f>
        <v>1.5792084636620358</v>
      </c>
      <c r="T187">
        <f ca="1">Tabla2[[#This Row],[Deuda actual]]*EXP(Tabla2[[#This Row],[Ki]]*Tabla2[[#This Row],[diferencia de días]])*(1+Tabla2[[#This Row],[Hg]])</f>
        <v>460.69180208158991</v>
      </c>
    </row>
    <row r="188" spans="1:20" ht="14.5" x14ac:dyDescent="0.35">
      <c r="A188">
        <f t="shared" si="22"/>
        <v>187</v>
      </c>
      <c r="B188">
        <f t="shared" ca="1" si="23"/>
        <v>46132</v>
      </c>
      <c r="C188">
        <f t="shared" ca="1" si="24"/>
        <v>46157</v>
      </c>
      <c r="D188">
        <f t="shared" ca="1" si="25"/>
        <v>8</v>
      </c>
      <c r="E188">
        <f t="shared" ca="1" si="26"/>
        <v>0.31954228156004094</v>
      </c>
      <c r="F188">
        <f t="shared" ca="1" si="27"/>
        <v>545.84</v>
      </c>
      <c r="G188" t="str">
        <f t="shared" ca="1" si="28"/>
        <v>hipotecario</v>
      </c>
      <c r="H18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88" t="str">
        <f t="shared" ca="1" si="29"/>
        <v>No</v>
      </c>
      <c r="J18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164999.89282081244</v>
      </c>
      <c r="K188" t="str">
        <f ca="1">IF(Tabla2[[#This Row],[¿cliente deuda abierta?]]="Sí", Tabla2[[#This Row],[Deuda actual]]*Tabla2[[#This Row],[diferencia de días]], "0")</f>
        <v>0</v>
      </c>
      <c r="L18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8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88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88">
        <f t="shared" ca="1" si="30"/>
        <v>1682.32</v>
      </c>
      <c r="P188">
        <f t="shared" ca="1" si="31"/>
        <v>37290.589999999997</v>
      </c>
      <c r="Q188">
        <f t="shared" ca="1" si="32"/>
        <v>4</v>
      </c>
      <c r="R188">
        <f ca="1">((Tabla2[[#This Row],[Fantasma Comunicación]]+1)/(Tabla2[[#This Row],[Fantasma Comunicación]]+RANDBETWEEN(0,5)+2))-0.5</f>
        <v>0.2142857142857143</v>
      </c>
      <c r="S188">
        <f ca="1">1+MAX(0,Tabla2[[#This Row],[Deuda actual]]/Tabla2[[#This Row],[Liquidez]]+Tabla2[[#This Row],[Liquidez]]/(Tabla2[[#This Row],[Activos]]+Tabla2[[#This Row],[Liquidez]])+Tabla2[[#This Row],[Comunicación]])</f>
        <v>1.5819088112324255</v>
      </c>
      <c r="T188">
        <f ca="1">Tabla2[[#This Row],[Deuda actual]]*EXP(Tabla2[[#This Row],[Ki]]*Tabla2[[#This Row],[diferencia de días]])*(1+Tabla2[[#This Row],[Hg]])</f>
        <v>437.37123443838072</v>
      </c>
    </row>
    <row r="189" spans="1:20" ht="14.5" x14ac:dyDescent="0.35">
      <c r="A189">
        <f t="shared" si="22"/>
        <v>188</v>
      </c>
      <c r="B189">
        <f t="shared" ca="1" si="23"/>
        <v>46082</v>
      </c>
      <c r="C189">
        <f t="shared" ca="1" si="24"/>
        <v>46157</v>
      </c>
      <c r="D189">
        <f t="shared" ca="1" si="25"/>
        <v>31</v>
      </c>
      <c r="E189">
        <f t="shared" ca="1" si="26"/>
        <v>0.79516717753680077</v>
      </c>
      <c r="F189">
        <f t="shared" ca="1" si="27"/>
        <v>2341.4299999999998</v>
      </c>
      <c r="G189" t="str">
        <f t="shared" ca="1" si="28"/>
        <v>personal</v>
      </c>
      <c r="H18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189" t="str">
        <f t="shared" ca="1" si="29"/>
        <v>Sí</v>
      </c>
      <c r="J18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89">
        <f ca="1">IF(Tabla2[[#This Row],[¿cliente deuda abierta?]]="Sí", Tabla2[[#This Row],[Deuda actual]]*Tabla2[[#This Row],[diferencia de días]], "0")</f>
        <v>72584.33</v>
      </c>
      <c r="L18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18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89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189">
        <f t="shared" ca="1" si="30"/>
        <v>1182.17</v>
      </c>
      <c r="P189">
        <f t="shared" ca="1" si="31"/>
        <v>113433.61</v>
      </c>
      <c r="Q189">
        <f t="shared" ca="1" si="32"/>
        <v>2</v>
      </c>
      <c r="R189">
        <f ca="1">((Tabla2[[#This Row],[Fantasma Comunicación]]+1)/(Tabla2[[#This Row],[Fantasma Comunicación]]+RANDBETWEEN(0,5)+2))-0.5</f>
        <v>0</v>
      </c>
      <c r="S189">
        <f ca="1">1+MAX(0,Tabla2[[#This Row],[Deuda actual]]/Tabla2[[#This Row],[Liquidez]]+Tabla2[[#This Row],[Liquidez]]/(Tabla2[[#This Row],[Activos]]+Tabla2[[#This Row],[Liquidez]])+Tabla2[[#This Row],[Comunicación]])</f>
        <v>2.9909345838658639</v>
      </c>
      <c r="T189">
        <f ca="1">Tabla2[[#This Row],[Deuda actual]]*EXP(Tabla2[[#This Row],[Ki]]*Tabla2[[#This Row],[diferencia de días]])*(1+Tabla2[[#This Row],[Hg]])</f>
        <v>2777.4237688697735</v>
      </c>
    </row>
    <row r="190" spans="1:20" ht="14.5" x14ac:dyDescent="0.35">
      <c r="A190">
        <f t="shared" si="22"/>
        <v>189</v>
      </c>
      <c r="B190">
        <f t="shared" ca="1" si="23"/>
        <v>46104</v>
      </c>
      <c r="C190">
        <f t="shared" ca="1" si="24"/>
        <v>46157</v>
      </c>
      <c r="D190">
        <f t="shared" ca="1" si="25"/>
        <v>9</v>
      </c>
      <c r="E190">
        <f t="shared" ca="1" si="26"/>
        <v>0.74705534237924931</v>
      </c>
      <c r="F190">
        <f t="shared" ca="1" si="27"/>
        <v>151.78</v>
      </c>
      <c r="G190" t="str">
        <f t="shared" ca="1" si="28"/>
        <v>hipotecario</v>
      </c>
      <c r="H19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90" t="str">
        <f t="shared" ca="1" si="29"/>
        <v>Sí</v>
      </c>
      <c r="J19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90">
        <f ca="1">IF(Tabla2[[#This Row],[¿cliente deuda abierta?]]="Sí", Tabla2[[#This Row],[Deuda actual]]*Tabla2[[#This Row],[diferencia de días]], "0")</f>
        <v>1366.02</v>
      </c>
      <c r="L19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9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9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90">
        <f t="shared" ca="1" si="30"/>
        <v>1690.94</v>
      </c>
      <c r="P190">
        <f t="shared" ca="1" si="31"/>
        <v>123126.85</v>
      </c>
      <c r="Q190">
        <f t="shared" ca="1" si="32"/>
        <v>0</v>
      </c>
      <c r="R190">
        <f ca="1">((Tabla2[[#This Row],[Fantasma Comunicación]]+1)/(Tabla2[[#This Row],[Fantasma Comunicación]]+RANDBETWEEN(0,5)+2))-0.5</f>
        <v>-0.25</v>
      </c>
      <c r="S190">
        <f ca="1">1+MAX(0,Tabla2[[#This Row],[Deuda actual]]/Tabla2[[#This Row],[Liquidez]]+Tabla2[[#This Row],[Liquidez]]/(Tabla2[[#This Row],[Activos]]+Tabla2[[#This Row],[Liquidez]])+Tabla2[[#This Row],[Comunicación]])</f>
        <v>1</v>
      </c>
      <c r="T190">
        <f ca="1">Tabla2[[#This Row],[Deuda actual]]*EXP(Tabla2[[#This Row],[Ki]]*Tabla2[[#This Row],[diferencia de días]])*(1+Tabla2[[#This Row],[Hg]])</f>
        <v>159.6561225327564</v>
      </c>
    </row>
    <row r="191" spans="1:20" ht="14.5" x14ac:dyDescent="0.35">
      <c r="A191">
        <f t="shared" si="22"/>
        <v>190</v>
      </c>
      <c r="B191">
        <f t="shared" ca="1" si="23"/>
        <v>46084</v>
      </c>
      <c r="C191">
        <f t="shared" ca="1" si="24"/>
        <v>46157</v>
      </c>
      <c r="D191">
        <f t="shared" ca="1" si="25"/>
        <v>3</v>
      </c>
      <c r="E191">
        <f t="shared" ca="1" si="26"/>
        <v>0.97612948844934333</v>
      </c>
      <c r="F191">
        <f t="shared" ca="1" si="27"/>
        <v>1157.6300000000001</v>
      </c>
      <c r="G191" t="str">
        <f t="shared" ca="1" si="28"/>
        <v>hipotecario</v>
      </c>
      <c r="H19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91" t="str">
        <f t="shared" ca="1" si="29"/>
        <v>Sí</v>
      </c>
      <c r="J19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91">
        <f ca="1">IF(Tabla2[[#This Row],[¿cliente deuda abierta?]]="Sí", Tabla2[[#This Row],[Deuda actual]]*Tabla2[[#This Row],[diferencia de días]], "0")</f>
        <v>3472.8900000000003</v>
      </c>
      <c r="L19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9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9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91">
        <f t="shared" ca="1" si="30"/>
        <v>1438.83</v>
      </c>
      <c r="P191">
        <f t="shared" ca="1" si="31"/>
        <v>32902.75</v>
      </c>
      <c r="Q191">
        <f t="shared" ca="1" si="32"/>
        <v>0</v>
      </c>
      <c r="R191">
        <f ca="1">((Tabla2[[#This Row],[Fantasma Comunicación]]+1)/(Tabla2[[#This Row],[Fantasma Comunicación]]+RANDBETWEEN(0,5)+2))-0.5</f>
        <v>-0.25</v>
      </c>
      <c r="S191">
        <f ca="1">1+MAX(0,Tabla2[[#This Row],[Deuda actual]]/Tabla2[[#This Row],[Liquidez]]+Tabla2[[#This Row],[Liquidez]]/(Tabla2[[#This Row],[Activos]]+Tabla2[[#This Row],[Liquidez]])+Tabla2[[#This Row],[Comunicación]])</f>
        <v>1.5964610363510376</v>
      </c>
      <c r="T191">
        <f ca="1">Tabla2[[#This Row],[Deuda actual]]*EXP(Tabla2[[#This Row],[Ki]]*Tabla2[[#This Row],[diferencia de días]])*(1+Tabla2[[#This Row],[Hg]])</f>
        <v>1216.2410257358351</v>
      </c>
    </row>
    <row r="192" spans="1:20" ht="14.5" x14ac:dyDescent="0.35">
      <c r="A192">
        <f t="shared" si="22"/>
        <v>191</v>
      </c>
      <c r="B192">
        <f t="shared" ca="1" si="23"/>
        <v>46107</v>
      </c>
      <c r="C192">
        <f t="shared" ca="1" si="24"/>
        <v>46157</v>
      </c>
      <c r="D192">
        <f t="shared" ca="1" si="25"/>
        <v>5</v>
      </c>
      <c r="E192">
        <f t="shared" ca="1" si="26"/>
        <v>0.71106727850379603</v>
      </c>
      <c r="F192">
        <f t="shared" ca="1" si="27"/>
        <v>5229.58</v>
      </c>
      <c r="G192" t="str">
        <f t="shared" ca="1" si="28"/>
        <v>personal</v>
      </c>
      <c r="H19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92" t="str">
        <f t="shared" ca="1" si="29"/>
        <v>No</v>
      </c>
      <c r="J19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12000.469937188585</v>
      </c>
      <c r="K192" t="str">
        <f ca="1">IF(Tabla2[[#This Row],[¿cliente deuda abierta?]]="Sí", Tabla2[[#This Row],[Deuda actual]]*Tabla2[[#This Row],[diferencia de días]], "0")</f>
        <v>0</v>
      </c>
      <c r="L19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9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192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192">
        <f t="shared" ca="1" si="30"/>
        <v>1315.42</v>
      </c>
      <c r="P192">
        <f t="shared" ca="1" si="31"/>
        <v>42906.47</v>
      </c>
      <c r="Q192">
        <f t="shared" ca="1" si="32"/>
        <v>4</v>
      </c>
      <c r="R192">
        <f ca="1">((Tabla2[[#This Row],[Fantasma Comunicación]]+1)/(Tabla2[[#This Row],[Fantasma Comunicación]]+RANDBETWEEN(0,5)+2))-0.5</f>
        <v>0.33333333333333337</v>
      </c>
      <c r="S192">
        <f ca="1">1+MAX(0,Tabla2[[#This Row],[Deuda actual]]/Tabla2[[#This Row],[Liquidez]]+Tabla2[[#This Row],[Liquidez]]/(Tabla2[[#This Row],[Activos]]+Tabla2[[#This Row],[Liquidez]])+Tabla2[[#This Row],[Comunicación]])</f>
        <v>5.3386763828723174</v>
      </c>
      <c r="T192">
        <f ca="1">Tabla2[[#This Row],[Deuda actual]]*EXP(Tabla2[[#This Row],[Ki]]*Tabla2[[#This Row],[diferencia de días]])*(1+Tabla2[[#This Row],[Hg]])</f>
        <v>4711.3309760956336</v>
      </c>
    </row>
    <row r="193" spans="1:20" ht="14.5" x14ac:dyDescent="0.35">
      <c r="A193">
        <f t="shared" si="22"/>
        <v>192</v>
      </c>
      <c r="B193">
        <f t="shared" ca="1" si="23"/>
        <v>46134</v>
      </c>
      <c r="C193">
        <f t="shared" ca="1" si="24"/>
        <v>46157</v>
      </c>
      <c r="D193">
        <f t="shared" ca="1" si="25"/>
        <v>4</v>
      </c>
      <c r="E193">
        <f t="shared" ca="1" si="26"/>
        <v>0.62837645119914376</v>
      </c>
      <c r="F193">
        <f t="shared" ca="1" si="27"/>
        <v>4954.58</v>
      </c>
      <c r="G193" t="str">
        <f t="shared" ca="1" si="28"/>
        <v>personal</v>
      </c>
      <c r="H19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93" t="str">
        <f t="shared" ca="1" si="29"/>
        <v>Sí</v>
      </c>
      <c r="J19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93">
        <f ca="1">IF(Tabla2[[#This Row],[¿cliente deuda abierta?]]="Sí", Tabla2[[#This Row],[Deuda actual]]*Tabla2[[#This Row],[diferencia de días]], "0")</f>
        <v>19818.32</v>
      </c>
      <c r="L19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9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9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93">
        <f t="shared" ca="1" si="30"/>
        <v>1382.3</v>
      </c>
      <c r="P193">
        <f t="shared" ca="1" si="31"/>
        <v>139965.49</v>
      </c>
      <c r="Q193">
        <f t="shared" ca="1" si="32"/>
        <v>2</v>
      </c>
      <c r="R193">
        <f ca="1">((Tabla2[[#This Row],[Fantasma Comunicación]]+1)/(Tabla2[[#This Row],[Fantasma Comunicación]]+RANDBETWEEN(0,5)+2))-0.5</f>
        <v>-0.125</v>
      </c>
      <c r="S193">
        <f ca="1">1+MAX(0,Tabla2[[#This Row],[Deuda actual]]/Tabla2[[#This Row],[Liquidez]]+Tabla2[[#This Row],[Liquidez]]/(Tabla2[[#This Row],[Activos]]+Tabla2[[#This Row],[Liquidez]])+Tabla2[[#This Row],[Comunicación]])</f>
        <v>4.469080950654579</v>
      </c>
      <c r="T193">
        <f ca="1">Tabla2[[#This Row],[Deuda actual]]*EXP(Tabla2[[#This Row],[Ki]]*Tabla2[[#This Row],[diferencia de días]])*(1+Tabla2[[#This Row],[Hg]])</f>
        <v>5206.4725123828994</v>
      </c>
    </row>
    <row r="194" spans="1:20" ht="14.5" x14ac:dyDescent="0.35">
      <c r="A194">
        <f t="shared" ref="A194:A257" si="33">A193+1</f>
        <v>193</v>
      </c>
      <c r="B194">
        <f t="shared" ref="B194:B257" ca="1" si="34">RANDBETWEEN(DATE(2026,3,1), DATE(2026,5,1))</f>
        <v>46115</v>
      </c>
      <c r="C194">
        <f t="shared" ref="C194:C257" ca="1" si="35">TODAY()</f>
        <v>46157</v>
      </c>
      <c r="D194">
        <f t="shared" ref="D194:D257" ca="1" si="36">ROUND((-(15) * LN(RAND())),0)</f>
        <v>24</v>
      </c>
      <c r="E194">
        <f t="shared" ref="E194:E257" ca="1" si="37">RAND()</f>
        <v>0.89434209890884198</v>
      </c>
      <c r="F194">
        <f t="shared" ref="F194:F257" ca="1" si="38">ROUND(MIN(10000, _xlfn.LOGNORM.INV(RAND(), 69/10, 13/10)),2)</f>
        <v>563.48</v>
      </c>
      <c r="G194" t="str">
        <f t="shared" ref="G194:G257" ca="1" si="39">IF(RAND()&lt;=0.5,"personal","hipotecario")</f>
        <v>hipotecario</v>
      </c>
      <c r="H19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94" t="str">
        <f t="shared" ref="I194:I257" ca="1" si="40">IF(RAND()&lt;=0.65, "Sí", "No")</f>
        <v>No</v>
      </c>
      <c r="J19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165000.17782291357</v>
      </c>
      <c r="K194" t="str">
        <f ca="1">IF(Tabla2[[#This Row],[¿cliente deuda abierta?]]="Sí", Tabla2[[#This Row],[Deuda actual]]*Tabla2[[#This Row],[diferencia de días]], "0")</f>
        <v>0</v>
      </c>
      <c r="L19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19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194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194">
        <f t="shared" ref="O194:O257" ca="1" si="41">ROUND(1000*(_xlfn.LOGNORM.INV(RAND(), 0.5, 0.2)),2)</f>
        <v>1408.24</v>
      </c>
      <c r="P194">
        <f t="shared" ref="P194:P257" ca="1" si="42">ROUND(50000*(_xlfn.LOGNORM.INV(RAND(), 1, 0.75)),2)</f>
        <v>97344.05</v>
      </c>
      <c r="Q194">
        <f t="shared" ref="Q194:Q257" ca="1" si="43">RANDBETWEEN(0,5)</f>
        <v>1</v>
      </c>
      <c r="R194">
        <f ca="1">((Tabla2[[#This Row],[Fantasma Comunicación]]+1)/(Tabla2[[#This Row],[Fantasma Comunicación]]+RANDBETWEEN(0,5)+2))-0.5</f>
        <v>0.16666666666666663</v>
      </c>
      <c r="S194">
        <f ca="1">1+MAX(0,Tabla2[[#This Row],[Deuda actual]]/Tabla2[[#This Row],[Liquidez]]+Tabla2[[#This Row],[Liquidez]]/(Tabla2[[#This Row],[Activos]]+Tabla2[[#This Row],[Liquidez]])+Tabla2[[#This Row],[Comunicación]])</f>
        <v>1.5810576537459926</v>
      </c>
      <c r="T194">
        <f ca="1">Tabla2[[#This Row],[Deuda actual]]*EXP(Tabla2[[#This Row],[Ki]]*Tabla2[[#This Row],[diferencia de días]])*(1+Tabla2[[#This Row],[Hg]])</f>
        <v>455.13236515736219</v>
      </c>
    </row>
    <row r="195" spans="1:20" ht="14.5" x14ac:dyDescent="0.35">
      <c r="A195">
        <f t="shared" si="33"/>
        <v>194</v>
      </c>
      <c r="B195">
        <f t="shared" ca="1" si="34"/>
        <v>46088</v>
      </c>
      <c r="C195">
        <f t="shared" ca="1" si="35"/>
        <v>46157</v>
      </c>
      <c r="D195">
        <f t="shared" ca="1" si="36"/>
        <v>4</v>
      </c>
      <c r="E195">
        <f t="shared" ca="1" si="37"/>
        <v>2.3960274118529523E-2</v>
      </c>
      <c r="F195">
        <f t="shared" ca="1" si="38"/>
        <v>2897.16</v>
      </c>
      <c r="G195" t="str">
        <f t="shared" ca="1" si="39"/>
        <v>hipotecario</v>
      </c>
      <c r="H19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95" t="str">
        <f t="shared" ca="1" si="40"/>
        <v>Sí</v>
      </c>
      <c r="J19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95">
        <f ca="1">IF(Tabla2[[#This Row],[¿cliente deuda abierta?]]="Sí", Tabla2[[#This Row],[Deuda actual]]*Tabla2[[#This Row],[diferencia de días]], "0")</f>
        <v>11588.64</v>
      </c>
      <c r="L19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9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9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95">
        <f t="shared" ca="1" si="41"/>
        <v>1429.42</v>
      </c>
      <c r="P195">
        <f t="shared" ca="1" si="42"/>
        <v>65817.98</v>
      </c>
      <c r="Q195">
        <f t="shared" ca="1" si="43"/>
        <v>2</v>
      </c>
      <c r="R195">
        <f ca="1">((Tabla2[[#This Row],[Fantasma Comunicación]]+1)/(Tabla2[[#This Row],[Fantasma Comunicación]]+RANDBETWEEN(0,5)+2))-0.5</f>
        <v>-0.16666666666666669</v>
      </c>
      <c r="S195">
        <f ca="1">1+MAX(0,Tabla2[[#This Row],[Deuda actual]]/Tabla2[[#This Row],[Liquidez]]+Tabla2[[#This Row],[Liquidez]]/(Tabla2[[#This Row],[Activos]]+Tabla2[[#This Row],[Liquidez]])+Tabla2[[#This Row],[Comunicación]])</f>
        <v>2.8813975471199527</v>
      </c>
      <c r="T195">
        <f ca="1">Tabla2[[#This Row],[Deuda actual]]*EXP(Tabla2[[#This Row],[Ki]]*Tabla2[[#This Row],[diferencia de días]])*(1+Tabla2[[#This Row],[Hg]])</f>
        <v>3044.4525881053974</v>
      </c>
    </row>
    <row r="196" spans="1:20" ht="14.5" x14ac:dyDescent="0.35">
      <c r="A196">
        <f t="shared" si="33"/>
        <v>195</v>
      </c>
      <c r="B196">
        <f t="shared" ca="1" si="34"/>
        <v>46104</v>
      </c>
      <c r="C196">
        <f t="shared" ca="1" si="35"/>
        <v>46157</v>
      </c>
      <c r="D196">
        <f t="shared" ca="1" si="36"/>
        <v>4</v>
      </c>
      <c r="E196">
        <f t="shared" ca="1" si="37"/>
        <v>9.4298233642487683E-2</v>
      </c>
      <c r="F196">
        <f t="shared" ca="1" si="38"/>
        <v>176.93</v>
      </c>
      <c r="G196" t="str">
        <f t="shared" ca="1" si="39"/>
        <v>personal</v>
      </c>
      <c r="H19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96" t="str">
        <f t="shared" ca="1" si="40"/>
        <v>Sí</v>
      </c>
      <c r="J19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96">
        <f ca="1">IF(Tabla2[[#This Row],[¿cliente deuda abierta?]]="Sí", Tabla2[[#This Row],[Deuda actual]]*Tabla2[[#This Row],[diferencia de días]], "0")</f>
        <v>707.72</v>
      </c>
      <c r="L19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9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9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96">
        <f t="shared" ca="1" si="41"/>
        <v>1204.3599999999999</v>
      </c>
      <c r="P196">
        <f t="shared" ca="1" si="42"/>
        <v>244033.03</v>
      </c>
      <c r="Q196">
        <f t="shared" ca="1" si="43"/>
        <v>2</v>
      </c>
      <c r="R196">
        <f ca="1">((Tabla2[[#This Row],[Fantasma Comunicación]]+1)/(Tabla2[[#This Row],[Fantasma Comunicación]]+RANDBETWEEN(0,5)+2))-0.5</f>
        <v>-7.1428571428571452E-2</v>
      </c>
      <c r="S196">
        <f ca="1">1+MAX(0,Tabla2[[#This Row],[Deuda actual]]/Tabla2[[#This Row],[Liquidez]]+Tabla2[[#This Row],[Liquidez]]/(Tabla2[[#This Row],[Activos]]+Tabla2[[#This Row],[Liquidez]])+Tabla2[[#This Row],[Comunicación]])</f>
        <v>1.0803903265103643</v>
      </c>
      <c r="T196">
        <f ca="1">Tabla2[[#This Row],[Deuda actual]]*EXP(Tabla2[[#This Row],[Ki]]*Tabla2[[#This Row],[diferencia de días]])*(1+Tabla2[[#This Row],[Hg]])</f>
        <v>185.9251806643361</v>
      </c>
    </row>
    <row r="197" spans="1:20" ht="14.5" x14ac:dyDescent="0.35">
      <c r="A197">
        <f t="shared" si="33"/>
        <v>196</v>
      </c>
      <c r="B197">
        <f t="shared" ca="1" si="34"/>
        <v>46116</v>
      </c>
      <c r="C197">
        <f t="shared" ca="1" si="35"/>
        <v>46157</v>
      </c>
      <c r="D197">
        <f t="shared" ca="1" si="36"/>
        <v>19</v>
      </c>
      <c r="E197">
        <f t="shared" ca="1" si="37"/>
        <v>0.40660586675910937</v>
      </c>
      <c r="F197">
        <f t="shared" ca="1" si="38"/>
        <v>1532.4</v>
      </c>
      <c r="G197" t="str">
        <f t="shared" ca="1" si="39"/>
        <v>personal</v>
      </c>
      <c r="H19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197" t="str">
        <f t="shared" ca="1" si="40"/>
        <v>Sí</v>
      </c>
      <c r="J19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97">
        <f ca="1">IF(Tabla2[[#This Row],[¿cliente deuda abierta?]]="Sí", Tabla2[[#This Row],[Deuda actual]]*Tabla2[[#This Row],[diferencia de días]], "0")</f>
        <v>29115.600000000002</v>
      </c>
      <c r="L19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9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9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97">
        <f t="shared" ca="1" si="41"/>
        <v>1999.14</v>
      </c>
      <c r="P197">
        <f t="shared" ca="1" si="42"/>
        <v>111039.22</v>
      </c>
      <c r="Q197">
        <f t="shared" ca="1" si="43"/>
        <v>1</v>
      </c>
      <c r="R197">
        <f ca="1">((Tabla2[[#This Row],[Fantasma Comunicación]]+1)/(Tabla2[[#This Row],[Fantasma Comunicación]]+RANDBETWEEN(0,5)+2))-0.5</f>
        <v>-0.16666666666666669</v>
      </c>
      <c r="S197">
        <f ca="1">1+MAX(0,Tabla2[[#This Row],[Deuda actual]]/Tabla2[[#This Row],[Liquidez]]+Tabla2[[#This Row],[Liquidez]]/(Tabla2[[#This Row],[Activos]]+Tabla2[[#This Row],[Liquidez]])+Tabla2[[#This Row],[Comunicación]])</f>
        <v>1.6175484418097146</v>
      </c>
      <c r="T197">
        <f ca="1">Tabla2[[#This Row],[Deuda actual]]*EXP(Tabla2[[#This Row],[Ki]]*Tabla2[[#This Row],[diferencia de días]])*(1+Tabla2[[#This Row],[Hg]])</f>
        <v>1621.2951384418031</v>
      </c>
    </row>
    <row r="198" spans="1:20" ht="14.5" x14ac:dyDescent="0.35">
      <c r="A198">
        <f t="shared" si="33"/>
        <v>197</v>
      </c>
      <c r="B198">
        <f t="shared" ca="1" si="34"/>
        <v>46101</v>
      </c>
      <c r="C198">
        <f t="shared" ca="1" si="35"/>
        <v>46157</v>
      </c>
      <c r="D198">
        <f t="shared" ca="1" si="36"/>
        <v>2</v>
      </c>
      <c r="E198">
        <f t="shared" ca="1" si="37"/>
        <v>1.5914169326078254E-2</v>
      </c>
      <c r="F198">
        <f t="shared" ca="1" si="38"/>
        <v>223.13</v>
      </c>
      <c r="G198" t="str">
        <f t="shared" ca="1" si="39"/>
        <v>hipotecario</v>
      </c>
      <c r="H19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98" t="str">
        <f t="shared" ca="1" si="40"/>
        <v>Sí</v>
      </c>
      <c r="J19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98">
        <f ca="1">IF(Tabla2[[#This Row],[¿cliente deuda abierta?]]="Sí", Tabla2[[#This Row],[Deuda actual]]*Tabla2[[#This Row],[diferencia de días]], "0")</f>
        <v>446.26</v>
      </c>
      <c r="L19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9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9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98">
        <f t="shared" ca="1" si="41"/>
        <v>1641.24</v>
      </c>
      <c r="P198">
        <f t="shared" ca="1" si="42"/>
        <v>130156.35</v>
      </c>
      <c r="Q198">
        <f t="shared" ca="1" si="43"/>
        <v>5</v>
      </c>
      <c r="R198">
        <f ca="1">((Tabla2[[#This Row],[Fantasma Comunicación]]+1)/(Tabla2[[#This Row],[Fantasma Comunicación]]+RANDBETWEEN(0,5)+2))-0.5</f>
        <v>0.25</v>
      </c>
      <c r="S198">
        <f ca="1">1+MAX(0,Tabla2[[#This Row],[Deuda actual]]/Tabla2[[#This Row],[Liquidez]]+Tabla2[[#This Row],[Liquidez]]/(Tabla2[[#This Row],[Activos]]+Tabla2[[#This Row],[Liquidez]])+Tabla2[[#This Row],[Comunicación]])</f>
        <v>1.3984048165042138</v>
      </c>
      <c r="T198">
        <f ca="1">Tabla2[[#This Row],[Deuda actual]]*EXP(Tabla2[[#This Row],[Ki]]*Tabla2[[#This Row],[diferencia de días]])*(1+Tabla2[[#This Row],[Hg]])</f>
        <v>234.38023334541933</v>
      </c>
    </row>
    <row r="199" spans="1:20" ht="14.5" x14ac:dyDescent="0.35">
      <c r="A199">
        <f t="shared" si="33"/>
        <v>198</v>
      </c>
      <c r="B199">
        <f t="shared" ca="1" si="34"/>
        <v>46082</v>
      </c>
      <c r="C199">
        <f t="shared" ca="1" si="35"/>
        <v>46157</v>
      </c>
      <c r="D199">
        <f t="shared" ca="1" si="36"/>
        <v>3</v>
      </c>
      <c r="E199">
        <f t="shared" ca="1" si="37"/>
        <v>0.6269380487776457</v>
      </c>
      <c r="F199">
        <f t="shared" ca="1" si="38"/>
        <v>1357.65</v>
      </c>
      <c r="G199" t="str">
        <f t="shared" ca="1" si="39"/>
        <v>personal</v>
      </c>
      <c r="H19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99" t="str">
        <f t="shared" ca="1" si="40"/>
        <v>Sí</v>
      </c>
      <c r="J19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99">
        <f ca="1">IF(Tabla2[[#This Row],[¿cliente deuda abierta?]]="Sí", Tabla2[[#This Row],[Deuda actual]]*Tabla2[[#This Row],[diferencia de días]], "0")</f>
        <v>4072.9500000000003</v>
      </c>
      <c r="L19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9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9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99">
        <f t="shared" ca="1" si="41"/>
        <v>2089.0700000000002</v>
      </c>
      <c r="P199">
        <f t="shared" ca="1" si="42"/>
        <v>223129.57</v>
      </c>
      <c r="Q199">
        <f t="shared" ca="1" si="43"/>
        <v>4</v>
      </c>
      <c r="R199">
        <f ca="1">((Tabla2[[#This Row],[Fantasma Comunicación]]+1)/(Tabla2[[#This Row],[Fantasma Comunicación]]+RANDBETWEEN(0,5)+2))-0.5</f>
        <v>0.2142857142857143</v>
      </c>
      <c r="S199">
        <f ca="1">1+MAX(0,Tabla2[[#This Row],[Deuda actual]]/Tabla2[[#This Row],[Liquidez]]+Tabla2[[#This Row],[Liquidez]]/(Tabla2[[#This Row],[Activos]]+Tabla2[[#This Row],[Liquidez]])+Tabla2[[#This Row],[Comunicación]])</f>
        <v>1.8734439398867471</v>
      </c>
      <c r="T199">
        <f ca="1">Tabla2[[#This Row],[Deuda actual]]*EXP(Tabla2[[#This Row],[Ki]]*Tabla2[[#This Row],[diferencia de días]])*(1+Tabla2[[#This Row],[Hg]])</f>
        <v>1426.3880761471771</v>
      </c>
    </row>
    <row r="200" spans="1:20" ht="14.5" x14ac:dyDescent="0.35">
      <c r="A200">
        <f t="shared" si="33"/>
        <v>199</v>
      </c>
      <c r="B200">
        <f t="shared" ca="1" si="34"/>
        <v>46137</v>
      </c>
      <c r="C200">
        <f t="shared" ca="1" si="35"/>
        <v>46157</v>
      </c>
      <c r="D200">
        <f t="shared" ca="1" si="36"/>
        <v>20</v>
      </c>
      <c r="E200">
        <f t="shared" ca="1" si="37"/>
        <v>0.82299718592146121</v>
      </c>
      <c r="F200">
        <f t="shared" ca="1" si="38"/>
        <v>218.67</v>
      </c>
      <c r="G200" t="str">
        <f t="shared" ca="1" si="39"/>
        <v>personal</v>
      </c>
      <c r="H20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00" t="str">
        <f t="shared" ca="1" si="40"/>
        <v>Sí</v>
      </c>
      <c r="J20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00">
        <f ca="1">IF(Tabla2[[#This Row],[¿cliente deuda abierta?]]="Sí", Tabla2[[#This Row],[Deuda actual]]*Tabla2[[#This Row],[diferencia de días]], "0")</f>
        <v>4373.3999999999996</v>
      </c>
      <c r="L20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0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0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00">
        <f t="shared" ca="1" si="41"/>
        <v>1610.87</v>
      </c>
      <c r="P200">
        <f t="shared" ca="1" si="42"/>
        <v>418638.12</v>
      </c>
      <c r="Q200">
        <f t="shared" ca="1" si="43"/>
        <v>1</v>
      </c>
      <c r="R200">
        <f ca="1">((Tabla2[[#This Row],[Fantasma Comunicación]]+1)/(Tabla2[[#This Row],[Fantasma Comunicación]]+RANDBETWEEN(0,5)+2))-0.5</f>
        <v>-0.2142857142857143</v>
      </c>
      <c r="S200">
        <f ca="1">1+MAX(0,Tabla2[[#This Row],[Deuda actual]]/Tabla2[[#This Row],[Liquidez]]+Tabla2[[#This Row],[Liquidez]]/(Tabla2[[#This Row],[Activos]]+Tabla2[[#This Row],[Liquidez]])+Tabla2[[#This Row],[Comunicación]])</f>
        <v>1</v>
      </c>
      <c r="T200">
        <f ca="1">Tabla2[[#This Row],[Deuda actual]]*EXP(Tabla2[[#This Row],[Ki]]*Tabla2[[#This Row],[diferencia de días]])*(1+Tabla2[[#This Row],[Hg]])</f>
        <v>231.44769494408047</v>
      </c>
    </row>
    <row r="201" spans="1:20" ht="14.5" x14ac:dyDescent="0.35">
      <c r="A201">
        <f t="shared" si="33"/>
        <v>200</v>
      </c>
      <c r="B201">
        <f t="shared" ca="1" si="34"/>
        <v>46098</v>
      </c>
      <c r="C201">
        <f t="shared" ca="1" si="35"/>
        <v>46157</v>
      </c>
      <c r="D201">
        <f t="shared" ca="1" si="36"/>
        <v>4</v>
      </c>
      <c r="E201">
        <f t="shared" ca="1" si="37"/>
        <v>0.9242730490354425</v>
      </c>
      <c r="F201">
        <f t="shared" ca="1" si="38"/>
        <v>1666.18</v>
      </c>
      <c r="G201" t="str">
        <f t="shared" ca="1" si="39"/>
        <v>hipotecario</v>
      </c>
      <c r="H20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01" t="str">
        <f t="shared" ca="1" si="40"/>
        <v>Sí</v>
      </c>
      <c r="J20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01">
        <f ca="1">IF(Tabla2[[#This Row],[¿cliente deuda abierta?]]="Sí", Tabla2[[#This Row],[Deuda actual]]*Tabla2[[#This Row],[diferencia de días]], "0")</f>
        <v>6664.72</v>
      </c>
      <c r="L20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0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0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01">
        <f t="shared" ca="1" si="41"/>
        <v>2461.5700000000002</v>
      </c>
      <c r="P201">
        <f t="shared" ca="1" si="42"/>
        <v>950870.56</v>
      </c>
      <c r="Q201">
        <f t="shared" ca="1" si="43"/>
        <v>0</v>
      </c>
      <c r="R201">
        <f ca="1">((Tabla2[[#This Row],[Fantasma Comunicación]]+1)/(Tabla2[[#This Row],[Fantasma Comunicación]]+RANDBETWEEN(0,5)+2))-0.5</f>
        <v>0</v>
      </c>
      <c r="S201">
        <f ca="1">1+MAX(0,Tabla2[[#This Row],[Deuda actual]]/Tabla2[[#This Row],[Liquidez]]+Tabla2[[#This Row],[Liquidez]]/(Tabla2[[#This Row],[Activos]]+Tabla2[[#This Row],[Liquidez]])+Tabla2[[#This Row],[Comunicación]])</f>
        <v>1.6794590222067982</v>
      </c>
      <c r="T201">
        <f ca="1">Tabla2[[#This Row],[Deuda actual]]*EXP(Tabla2[[#This Row],[Ki]]*Tabla2[[#This Row],[diferencia de días]])*(1+Tabla2[[#This Row],[Hg]])</f>
        <v>1750.8891511857998</v>
      </c>
    </row>
    <row r="202" spans="1:20" ht="14.5" x14ac:dyDescent="0.35">
      <c r="A202">
        <f t="shared" si="33"/>
        <v>201</v>
      </c>
      <c r="B202">
        <f t="shared" ca="1" si="34"/>
        <v>46095</v>
      </c>
      <c r="C202">
        <f t="shared" ca="1" si="35"/>
        <v>46157</v>
      </c>
      <c r="D202">
        <f t="shared" ca="1" si="36"/>
        <v>51</v>
      </c>
      <c r="E202">
        <f t="shared" ca="1" si="37"/>
        <v>9.2692253985049655E-2</v>
      </c>
      <c r="F202">
        <f t="shared" ca="1" si="38"/>
        <v>6704.28</v>
      </c>
      <c r="G202" t="str">
        <f t="shared" ca="1" si="39"/>
        <v>hipotecario</v>
      </c>
      <c r="H20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202" t="str">
        <f t="shared" ca="1" si="40"/>
        <v>Sí</v>
      </c>
      <c r="J20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02">
        <f ca="1">IF(Tabla2[[#This Row],[¿cliente deuda abierta?]]="Sí", Tabla2[[#This Row],[Deuda actual]]*Tabla2[[#This Row],[diferencia de días]], "0")</f>
        <v>341918.27999999997</v>
      </c>
      <c r="L20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0.2</v>
      </c>
      <c r="M20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02">
        <f ca="1">MAX(Tabla2[[#This Row],[VALORES DE Hg para actuales deudores]:[Valores de HG para deudores cerrados]])*IF(Tabla2[[#This Row],[VALORES DE Hg para actuales deudores]]&gt;Tabla2[[#This Row],[Valores de HG para deudores cerrados]],-1,1)</f>
        <v>0.2</v>
      </c>
      <c r="O202">
        <f t="shared" ca="1" si="41"/>
        <v>1949.88</v>
      </c>
      <c r="P202">
        <f t="shared" ca="1" si="42"/>
        <v>66017.5</v>
      </c>
      <c r="Q202">
        <f t="shared" ca="1" si="43"/>
        <v>0</v>
      </c>
      <c r="R202">
        <f ca="1">((Tabla2[[#This Row],[Fantasma Comunicación]]+1)/(Tabla2[[#This Row],[Fantasma Comunicación]]+RANDBETWEEN(0,5)+2))-0.5</f>
        <v>-0.25</v>
      </c>
      <c r="S202">
        <f ca="1">1+MAX(0,Tabla2[[#This Row],[Deuda actual]]/Tabla2[[#This Row],[Liquidez]]+Tabla2[[#This Row],[Liquidez]]/(Tabla2[[#This Row],[Activos]]+Tabla2[[#This Row],[Liquidez]])+Tabla2[[#This Row],[Comunicación]])</f>
        <v>4.2169923635335103</v>
      </c>
      <c r="T202">
        <f ca="1">Tabla2[[#This Row],[Deuda actual]]*EXP(Tabla2[[#This Row],[Ki]]*Tabla2[[#This Row],[diferencia de días]])*(1+Tabla2[[#This Row],[Hg]])</f>
        <v>8684.7419335603827</v>
      </c>
    </row>
    <row r="203" spans="1:20" ht="14.5" x14ac:dyDescent="0.35">
      <c r="A203">
        <f t="shared" si="33"/>
        <v>202</v>
      </c>
      <c r="B203">
        <f t="shared" ca="1" si="34"/>
        <v>46108</v>
      </c>
      <c r="C203">
        <f t="shared" ca="1" si="35"/>
        <v>46157</v>
      </c>
      <c r="D203">
        <f t="shared" ca="1" si="36"/>
        <v>16</v>
      </c>
      <c r="E203">
        <f t="shared" ca="1" si="37"/>
        <v>0.37341556426655897</v>
      </c>
      <c r="F203">
        <f t="shared" ca="1" si="38"/>
        <v>54.85</v>
      </c>
      <c r="G203" t="str">
        <f t="shared" ca="1" si="39"/>
        <v>hipotecario</v>
      </c>
      <c r="H20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03" t="str">
        <f t="shared" ca="1" si="40"/>
        <v>Sí</v>
      </c>
      <c r="J20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03">
        <f ca="1">IF(Tabla2[[#This Row],[¿cliente deuda abierta?]]="Sí", Tabla2[[#This Row],[Deuda actual]]*Tabla2[[#This Row],[diferencia de días]], "0")</f>
        <v>877.6</v>
      </c>
      <c r="L20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0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0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03">
        <f t="shared" ca="1" si="41"/>
        <v>1438.23</v>
      </c>
      <c r="P203">
        <f t="shared" ca="1" si="42"/>
        <v>172485.32</v>
      </c>
      <c r="Q203">
        <f t="shared" ca="1" si="43"/>
        <v>1</v>
      </c>
      <c r="R203">
        <f ca="1">((Tabla2[[#This Row],[Fantasma Comunicación]]+1)/(Tabla2[[#This Row],[Fantasma Comunicación]]+RANDBETWEEN(0,5)+2))-0.5</f>
        <v>-0.25</v>
      </c>
      <c r="S203">
        <f ca="1">1+MAX(0,Tabla2[[#This Row],[Deuda actual]]/Tabla2[[#This Row],[Liquidez]]+Tabla2[[#This Row],[Liquidez]]/(Tabla2[[#This Row],[Activos]]+Tabla2[[#This Row],[Liquidez]])+Tabla2[[#This Row],[Comunicación]])</f>
        <v>1</v>
      </c>
      <c r="T203">
        <f ca="1">Tabla2[[#This Row],[Deuda actual]]*EXP(Tabla2[[#This Row],[Ki]]*Tabla2[[#This Row],[diferencia de días]])*(1+Tabla2[[#This Row],[Hg]])</f>
        <v>57.962274014685896</v>
      </c>
    </row>
    <row r="204" spans="1:20" ht="14.5" x14ac:dyDescent="0.35">
      <c r="A204">
        <f t="shared" si="33"/>
        <v>203</v>
      </c>
      <c r="B204">
        <f t="shared" ca="1" si="34"/>
        <v>46119</v>
      </c>
      <c r="C204">
        <f t="shared" ca="1" si="35"/>
        <v>46157</v>
      </c>
      <c r="D204">
        <f t="shared" ca="1" si="36"/>
        <v>5</v>
      </c>
      <c r="E204">
        <f t="shared" ca="1" si="37"/>
        <v>0.14281758226819308</v>
      </c>
      <c r="F204">
        <f t="shared" ca="1" si="38"/>
        <v>1714.17</v>
      </c>
      <c r="G204" t="str">
        <f t="shared" ca="1" si="39"/>
        <v>hipotecario</v>
      </c>
      <c r="H20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04" t="str">
        <f t="shared" ca="1" si="40"/>
        <v>Sí</v>
      </c>
      <c r="J20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04">
        <f ca="1">IF(Tabla2[[#This Row],[¿cliente deuda abierta?]]="Sí", Tabla2[[#This Row],[Deuda actual]]*Tabla2[[#This Row],[diferencia de días]], "0")</f>
        <v>8570.85</v>
      </c>
      <c r="L20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0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0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04">
        <f t="shared" ca="1" si="41"/>
        <v>2153.3200000000002</v>
      </c>
      <c r="P204">
        <f t="shared" ca="1" si="42"/>
        <v>112119.24</v>
      </c>
      <c r="Q204">
        <f t="shared" ca="1" si="43"/>
        <v>1</v>
      </c>
      <c r="R204">
        <f ca="1">((Tabla2[[#This Row],[Fantasma Comunicación]]+1)/(Tabla2[[#This Row],[Fantasma Comunicación]]+RANDBETWEEN(0,5)+2))-0.5</f>
        <v>0</v>
      </c>
      <c r="S204">
        <f ca="1">1+MAX(0,Tabla2[[#This Row],[Deuda actual]]/Tabla2[[#This Row],[Liquidez]]+Tabla2[[#This Row],[Liquidez]]/(Tabla2[[#This Row],[Activos]]+Tabla2[[#This Row],[Liquidez]])+Tabla2[[#This Row],[Comunicación]])</f>
        <v>1.8149028276371781</v>
      </c>
      <c r="T204">
        <f ca="1">Tabla2[[#This Row],[Deuda actual]]*EXP(Tabla2[[#This Row],[Ki]]*Tabla2[[#This Row],[diferencia de días]])*(1+Tabla2[[#This Row],[Hg]])</f>
        <v>1801.6792787393051</v>
      </c>
    </row>
    <row r="205" spans="1:20" ht="14.5" x14ac:dyDescent="0.35">
      <c r="A205">
        <f t="shared" si="33"/>
        <v>204</v>
      </c>
      <c r="B205">
        <f t="shared" ca="1" si="34"/>
        <v>46133</v>
      </c>
      <c r="C205">
        <f t="shared" ca="1" si="35"/>
        <v>46157</v>
      </c>
      <c r="D205">
        <f t="shared" ca="1" si="36"/>
        <v>1</v>
      </c>
      <c r="E205">
        <f t="shared" ca="1" si="37"/>
        <v>0.8261503707055714</v>
      </c>
      <c r="F205">
        <f t="shared" ca="1" si="38"/>
        <v>188.54</v>
      </c>
      <c r="G205" t="str">
        <f t="shared" ca="1" si="39"/>
        <v>personal</v>
      </c>
      <c r="H20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05" t="str">
        <f t="shared" ca="1" si="40"/>
        <v>Sí</v>
      </c>
      <c r="J20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05">
        <f ca="1">IF(Tabla2[[#This Row],[¿cliente deuda abierta?]]="Sí", Tabla2[[#This Row],[Deuda actual]]*Tabla2[[#This Row],[diferencia de días]], "0")</f>
        <v>188.54</v>
      </c>
      <c r="L20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0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0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05">
        <f t="shared" ca="1" si="41"/>
        <v>1868.04</v>
      </c>
      <c r="P205">
        <f t="shared" ca="1" si="42"/>
        <v>147335.22</v>
      </c>
      <c r="Q205">
        <f t="shared" ca="1" si="43"/>
        <v>5</v>
      </c>
      <c r="R205">
        <f ca="1">((Tabla2[[#This Row],[Fantasma Comunicación]]+1)/(Tabla2[[#This Row],[Fantasma Comunicación]]+RANDBETWEEN(0,5)+2))-0.5</f>
        <v>4.5454545454545414E-2</v>
      </c>
      <c r="S205">
        <f ca="1">1+MAX(0,Tabla2[[#This Row],[Deuda actual]]/Tabla2[[#This Row],[Liquidez]]+Tabla2[[#This Row],[Liquidez]]/(Tabla2[[#This Row],[Activos]]+Tabla2[[#This Row],[Liquidez]])+Tabla2[[#This Row],[Comunicación]])</f>
        <v>1.1589039635158511</v>
      </c>
      <c r="T205">
        <f ca="1">Tabla2[[#This Row],[Deuda actual]]*EXP(Tabla2[[#This Row],[Ki]]*Tabla2[[#This Row],[diferencia de días]])*(1+Tabla2[[#This Row],[Hg]])</f>
        <v>198.006597359604</v>
      </c>
    </row>
    <row r="206" spans="1:20" ht="14.5" x14ac:dyDescent="0.35">
      <c r="A206">
        <f t="shared" si="33"/>
        <v>205</v>
      </c>
      <c r="B206">
        <f t="shared" ca="1" si="34"/>
        <v>46128</v>
      </c>
      <c r="C206">
        <f t="shared" ca="1" si="35"/>
        <v>46157</v>
      </c>
      <c r="D206">
        <f t="shared" ca="1" si="36"/>
        <v>27</v>
      </c>
      <c r="E206">
        <f t="shared" ca="1" si="37"/>
        <v>0.32215016096726301</v>
      </c>
      <c r="F206">
        <f t="shared" ca="1" si="38"/>
        <v>10000</v>
      </c>
      <c r="G206" t="str">
        <f t="shared" ca="1" si="39"/>
        <v>hipotecario</v>
      </c>
      <c r="H20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06" t="str">
        <f t="shared" ca="1" si="40"/>
        <v>Sí</v>
      </c>
      <c r="J20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06">
        <f ca="1">IF(Tabla2[[#This Row],[¿cliente deuda abierta?]]="Sí", Tabla2[[#This Row],[Deuda actual]]*Tabla2[[#This Row],[diferencia de días]], "0")</f>
        <v>270000</v>
      </c>
      <c r="L20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0.2</v>
      </c>
      <c r="M20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06">
        <f ca="1">MAX(Tabla2[[#This Row],[VALORES DE Hg para actuales deudores]:[Valores de HG para deudores cerrados]])*IF(Tabla2[[#This Row],[VALORES DE Hg para actuales deudores]]&gt;Tabla2[[#This Row],[Valores de HG para deudores cerrados]],-1,1)</f>
        <v>0.2</v>
      </c>
      <c r="O206">
        <f t="shared" ca="1" si="41"/>
        <v>2007.73</v>
      </c>
      <c r="P206">
        <f t="shared" ca="1" si="42"/>
        <v>68206.559999999998</v>
      </c>
      <c r="Q206">
        <f t="shared" ca="1" si="43"/>
        <v>0</v>
      </c>
      <c r="R206">
        <f ca="1">((Tabla2[[#This Row],[Fantasma Comunicación]]+1)/(Tabla2[[#This Row],[Fantasma Comunicación]]+RANDBETWEEN(0,5)+2))-0.5</f>
        <v>-0.3</v>
      </c>
      <c r="S206">
        <f ca="1">1+MAX(0,Tabla2[[#This Row],[Deuda actual]]/Tabla2[[#This Row],[Liquidez]]+Tabla2[[#This Row],[Liquidez]]/(Tabla2[[#This Row],[Activos]]+Tabla2[[#This Row],[Liquidez]])+Tabla2[[#This Row],[Comunicación]])</f>
        <v>5.7093437253094201</v>
      </c>
      <c r="T206">
        <f ca="1">Tabla2[[#This Row],[Deuda actual]]*EXP(Tabla2[[#This Row],[Ki]]*Tabla2[[#This Row],[diferencia de días]])*(1+Tabla2[[#This Row],[Hg]])</f>
        <v>12130.302366241163</v>
      </c>
    </row>
    <row r="207" spans="1:20" ht="14.5" x14ac:dyDescent="0.35">
      <c r="A207">
        <f t="shared" si="33"/>
        <v>206</v>
      </c>
      <c r="B207">
        <f t="shared" ca="1" si="34"/>
        <v>46129</v>
      </c>
      <c r="C207">
        <f t="shared" ca="1" si="35"/>
        <v>46157</v>
      </c>
      <c r="D207">
        <f t="shared" ca="1" si="36"/>
        <v>25</v>
      </c>
      <c r="E207">
        <f t="shared" ca="1" si="37"/>
        <v>0.92170579530575125</v>
      </c>
      <c r="F207">
        <f t="shared" ca="1" si="38"/>
        <v>1478.53</v>
      </c>
      <c r="G207" t="str">
        <f t="shared" ca="1" si="39"/>
        <v>hipotecario</v>
      </c>
      <c r="H20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07" t="str">
        <f t="shared" ca="1" si="40"/>
        <v>Sí</v>
      </c>
      <c r="J20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07">
        <f ca="1">IF(Tabla2[[#This Row],[¿cliente deuda abierta?]]="Sí", Tabla2[[#This Row],[Deuda actual]]*Tabla2[[#This Row],[diferencia de días]], "0")</f>
        <v>36963.25</v>
      </c>
      <c r="L20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20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07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207">
        <f t="shared" ca="1" si="41"/>
        <v>1450.85</v>
      </c>
      <c r="P207">
        <f t="shared" ca="1" si="42"/>
        <v>98804.94</v>
      </c>
      <c r="Q207">
        <f t="shared" ca="1" si="43"/>
        <v>2</v>
      </c>
      <c r="R207">
        <f ca="1">((Tabla2[[#This Row],[Fantasma Comunicación]]+1)/(Tabla2[[#This Row],[Fantasma Comunicación]]+RANDBETWEEN(0,5)+2))-0.5</f>
        <v>-7.1428571428571452E-2</v>
      </c>
      <c r="S207">
        <f ca="1">1+MAX(0,Tabla2[[#This Row],[Deuda actual]]/Tabla2[[#This Row],[Liquidez]]+Tabla2[[#This Row],[Liquidez]]/(Tabla2[[#This Row],[Activos]]+Tabla2[[#This Row],[Liquidez]])+Tabla2[[#This Row],[Comunicación]])</f>
        <v>1.9621213832050552</v>
      </c>
      <c r="T207">
        <f ca="1">Tabla2[[#This Row],[Deuda actual]]*EXP(Tabla2[[#This Row],[Ki]]*Tabla2[[#This Row],[diferencia de días]])*(1+Tabla2[[#This Row],[Hg]])</f>
        <v>1642.7284208928506</v>
      </c>
    </row>
    <row r="208" spans="1:20" ht="14.5" x14ac:dyDescent="0.35">
      <c r="A208">
        <f t="shared" si="33"/>
        <v>207</v>
      </c>
      <c r="B208">
        <f t="shared" ca="1" si="34"/>
        <v>46088</v>
      </c>
      <c r="C208">
        <f t="shared" ca="1" si="35"/>
        <v>46157</v>
      </c>
      <c r="D208">
        <f t="shared" ca="1" si="36"/>
        <v>8</v>
      </c>
      <c r="E208">
        <f t="shared" ca="1" si="37"/>
        <v>0.16257511873656483</v>
      </c>
      <c r="F208">
        <f t="shared" ca="1" si="38"/>
        <v>262.58999999999997</v>
      </c>
      <c r="G208" t="str">
        <f t="shared" ca="1" si="39"/>
        <v>hipotecario</v>
      </c>
      <c r="H20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08" t="str">
        <f t="shared" ca="1" si="40"/>
        <v>Sí</v>
      </c>
      <c r="J20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08">
        <f ca="1">IF(Tabla2[[#This Row],[¿cliente deuda abierta?]]="Sí", Tabla2[[#This Row],[Deuda actual]]*Tabla2[[#This Row],[diferencia de días]], "0")</f>
        <v>2100.7199999999998</v>
      </c>
      <c r="L20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0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0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08">
        <f t="shared" ca="1" si="41"/>
        <v>1641.33</v>
      </c>
      <c r="P208">
        <f t="shared" ca="1" si="42"/>
        <v>837022.98</v>
      </c>
      <c r="Q208">
        <f t="shared" ca="1" si="43"/>
        <v>1</v>
      </c>
      <c r="R208">
        <f ca="1">((Tabla2[[#This Row],[Fantasma Comunicación]]+1)/(Tabla2[[#This Row],[Fantasma Comunicación]]+RANDBETWEEN(0,5)+2))-0.5</f>
        <v>-0.16666666666666669</v>
      </c>
      <c r="S208">
        <f ca="1">1+MAX(0,Tabla2[[#This Row],[Deuda actual]]/Tabla2[[#This Row],[Liquidez]]+Tabla2[[#This Row],[Liquidez]]/(Tabla2[[#This Row],[Activos]]+Tabla2[[#This Row],[Liquidez]])+Tabla2[[#This Row],[Comunicación]])</f>
        <v>1</v>
      </c>
      <c r="T208">
        <f ca="1">Tabla2[[#This Row],[Deuda actual]]*EXP(Tabla2[[#This Row],[Ki]]*Tabla2[[#This Row],[diferencia de días]])*(1+Tabla2[[#This Row],[Hg]])</f>
        <v>276.16100430925979</v>
      </c>
    </row>
    <row r="209" spans="1:20" ht="14.5" x14ac:dyDescent="0.35">
      <c r="A209">
        <f t="shared" si="33"/>
        <v>208</v>
      </c>
      <c r="B209">
        <f t="shared" ca="1" si="34"/>
        <v>46126</v>
      </c>
      <c r="C209">
        <f t="shared" ca="1" si="35"/>
        <v>46157</v>
      </c>
      <c r="D209">
        <f t="shared" ca="1" si="36"/>
        <v>3</v>
      </c>
      <c r="E209">
        <f t="shared" ca="1" si="37"/>
        <v>0.50575463956261579</v>
      </c>
      <c r="F209">
        <f t="shared" ca="1" si="38"/>
        <v>702.24</v>
      </c>
      <c r="G209" t="str">
        <f t="shared" ca="1" si="39"/>
        <v>personal</v>
      </c>
      <c r="H20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09" t="str">
        <f t="shared" ca="1" si="40"/>
        <v>Sí</v>
      </c>
      <c r="J20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09">
        <f ca="1">IF(Tabla2[[#This Row],[¿cliente deuda abierta?]]="Sí", Tabla2[[#This Row],[Deuda actual]]*Tabla2[[#This Row],[diferencia de días]], "0")</f>
        <v>2106.7200000000003</v>
      </c>
      <c r="L20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0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0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09">
        <f t="shared" ca="1" si="41"/>
        <v>1586.52</v>
      </c>
      <c r="P209">
        <f t="shared" ca="1" si="42"/>
        <v>100901.4</v>
      </c>
      <c r="Q209">
        <f t="shared" ca="1" si="43"/>
        <v>0</v>
      </c>
      <c r="R209">
        <f ca="1">((Tabla2[[#This Row],[Fantasma Comunicación]]+1)/(Tabla2[[#This Row],[Fantasma Comunicación]]+RANDBETWEEN(0,5)+2))-0.5</f>
        <v>-0.25</v>
      </c>
      <c r="S209">
        <f ca="1">1+MAX(0,Tabla2[[#This Row],[Deuda actual]]/Tabla2[[#This Row],[Liquidez]]+Tabla2[[#This Row],[Liquidez]]/(Tabla2[[#This Row],[Activos]]+Tabla2[[#This Row],[Liquidez]])+Tabla2[[#This Row],[Comunicación]])</f>
        <v>1.2081092188788731</v>
      </c>
      <c r="T209">
        <f ca="1">Tabla2[[#This Row],[Deuda actual]]*EXP(Tabla2[[#This Row],[Ki]]*Tabla2[[#This Row],[diferencia de días]])*(1+Tabla2[[#This Row],[Hg]])</f>
        <v>737.79454394990876</v>
      </c>
    </row>
    <row r="210" spans="1:20" ht="14.5" x14ac:dyDescent="0.35">
      <c r="A210">
        <f t="shared" si="33"/>
        <v>209</v>
      </c>
      <c r="B210">
        <f t="shared" ca="1" si="34"/>
        <v>46083</v>
      </c>
      <c r="C210">
        <f t="shared" ca="1" si="35"/>
        <v>46157</v>
      </c>
      <c r="D210">
        <f t="shared" ca="1" si="36"/>
        <v>14</v>
      </c>
      <c r="E210">
        <f t="shared" ca="1" si="37"/>
        <v>0.12374319531627809</v>
      </c>
      <c r="F210">
        <f t="shared" ca="1" si="38"/>
        <v>390.56</v>
      </c>
      <c r="G210" t="str">
        <f t="shared" ca="1" si="39"/>
        <v>personal</v>
      </c>
      <c r="H21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10" t="str">
        <f t="shared" ca="1" si="40"/>
        <v>No</v>
      </c>
      <c r="J21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11998.891837464264</v>
      </c>
      <c r="K210" t="str">
        <f ca="1">IF(Tabla2[[#This Row],[¿cliente deuda abierta?]]="Sí", Tabla2[[#This Row],[Deuda actual]]*Tabla2[[#This Row],[diferencia de días]], "0")</f>
        <v>0</v>
      </c>
      <c r="L21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1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10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10">
        <f t="shared" ca="1" si="41"/>
        <v>1703.18</v>
      </c>
      <c r="P210">
        <f t="shared" ca="1" si="42"/>
        <v>459995.64</v>
      </c>
      <c r="Q210">
        <f t="shared" ca="1" si="43"/>
        <v>3</v>
      </c>
      <c r="R210">
        <f ca="1">((Tabla2[[#This Row],[Fantasma Comunicación]]+1)/(Tabla2[[#This Row],[Fantasma Comunicación]]+RANDBETWEEN(0,5)+2))-0.5</f>
        <v>-9.9999999999999978E-2</v>
      </c>
      <c r="S210">
        <f ca="1">1+MAX(0,Tabla2[[#This Row],[Deuda actual]]/Tabla2[[#This Row],[Liquidez]]+Tabla2[[#This Row],[Liquidez]]/(Tabla2[[#This Row],[Activos]]+Tabla2[[#This Row],[Liquidez]])+Tabla2[[#This Row],[Comunicación]])</f>
        <v>1.1330011693503703</v>
      </c>
      <c r="T210">
        <f ca="1">Tabla2[[#This Row],[Deuda actual]]*EXP(Tabla2[[#This Row],[Ki]]*Tabla2[[#This Row],[diferencia de días]])*(1+Tabla2[[#This Row],[Hg]])</f>
        <v>352.48959038261671</v>
      </c>
    </row>
    <row r="211" spans="1:20" ht="14.5" x14ac:dyDescent="0.35">
      <c r="A211">
        <f t="shared" si="33"/>
        <v>210</v>
      </c>
      <c r="B211">
        <f t="shared" ca="1" si="34"/>
        <v>46124</v>
      </c>
      <c r="C211">
        <f t="shared" ca="1" si="35"/>
        <v>46157</v>
      </c>
      <c r="D211">
        <f t="shared" ca="1" si="36"/>
        <v>1</v>
      </c>
      <c r="E211">
        <f t="shared" ca="1" si="37"/>
        <v>0.84255031542216441</v>
      </c>
      <c r="F211">
        <f t="shared" ca="1" si="38"/>
        <v>1204.83</v>
      </c>
      <c r="G211" t="str">
        <f t="shared" ca="1" si="39"/>
        <v>hipotecario</v>
      </c>
      <c r="H21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11" t="str">
        <f t="shared" ca="1" si="40"/>
        <v>Sí</v>
      </c>
      <c r="J21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11">
        <f ca="1">IF(Tabla2[[#This Row],[¿cliente deuda abierta?]]="Sí", Tabla2[[#This Row],[Deuda actual]]*Tabla2[[#This Row],[diferencia de días]], "0")</f>
        <v>1204.83</v>
      </c>
      <c r="L21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1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1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11">
        <f t="shared" ca="1" si="41"/>
        <v>1531.4</v>
      </c>
      <c r="P211">
        <f t="shared" ca="1" si="42"/>
        <v>389065.19</v>
      </c>
      <c r="Q211">
        <f t="shared" ca="1" si="43"/>
        <v>5</v>
      </c>
      <c r="R211">
        <f ca="1">((Tabla2[[#This Row],[Fantasma Comunicación]]+1)/(Tabla2[[#This Row],[Fantasma Comunicación]]+RANDBETWEEN(0,5)+2))-0.5</f>
        <v>0.3571428571428571</v>
      </c>
      <c r="S211">
        <f ca="1">1+MAX(0,Tabla2[[#This Row],[Deuda actual]]/Tabla2[[#This Row],[Liquidez]]+Tabla2[[#This Row],[Liquidez]]/(Tabla2[[#This Row],[Activos]]+Tabla2[[#This Row],[Liquidez]])+Tabla2[[#This Row],[Comunicación]])</f>
        <v>2.1478142119386763</v>
      </c>
      <c r="T211">
        <f ca="1">Tabla2[[#This Row],[Deuda actual]]*EXP(Tabla2[[#This Row],[Ki]]*Tabla2[[#This Row],[diferencia de días]])*(1+Tabla2[[#This Row],[Hg]])</f>
        <v>1265.3245396031168</v>
      </c>
    </row>
    <row r="212" spans="1:20" ht="14.5" x14ac:dyDescent="0.35">
      <c r="A212">
        <f t="shared" si="33"/>
        <v>211</v>
      </c>
      <c r="B212">
        <f t="shared" ca="1" si="34"/>
        <v>46121</v>
      </c>
      <c r="C212">
        <f t="shared" ca="1" si="35"/>
        <v>46157</v>
      </c>
      <c r="D212">
        <f t="shared" ca="1" si="36"/>
        <v>1</v>
      </c>
      <c r="E212">
        <f t="shared" ca="1" si="37"/>
        <v>0.87575193071994206</v>
      </c>
      <c r="F212">
        <f t="shared" ca="1" si="38"/>
        <v>1194.94</v>
      </c>
      <c r="G212" t="str">
        <f t="shared" ca="1" si="39"/>
        <v>hipotecario</v>
      </c>
      <c r="H21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12" t="str">
        <f t="shared" ca="1" si="40"/>
        <v>Sí</v>
      </c>
      <c r="J21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12">
        <f ca="1">IF(Tabla2[[#This Row],[¿cliente deuda abierta?]]="Sí", Tabla2[[#This Row],[Deuda actual]]*Tabla2[[#This Row],[diferencia de días]], "0")</f>
        <v>1194.94</v>
      </c>
      <c r="L21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1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1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12">
        <f t="shared" ca="1" si="41"/>
        <v>1347.79</v>
      </c>
      <c r="P212">
        <f t="shared" ca="1" si="42"/>
        <v>320511.02</v>
      </c>
      <c r="Q212">
        <f t="shared" ca="1" si="43"/>
        <v>0</v>
      </c>
      <c r="R212">
        <f ca="1">((Tabla2[[#This Row],[Fantasma Comunicación]]+1)/(Tabla2[[#This Row],[Fantasma Comunicación]]+RANDBETWEEN(0,5)+2))-0.5</f>
        <v>-0.3</v>
      </c>
      <c r="S212">
        <f ca="1">1+MAX(0,Tabla2[[#This Row],[Deuda actual]]/Tabla2[[#This Row],[Liquidez]]+Tabla2[[#This Row],[Liquidez]]/(Tabla2[[#This Row],[Activos]]+Tabla2[[#This Row],[Liquidez]])+Tabla2[[#This Row],[Comunicación]])</f>
        <v>1.5907796442519471</v>
      </c>
      <c r="T212">
        <f ca="1">Tabla2[[#This Row],[Deuda actual]]*EXP(Tabla2[[#This Row],[Ki]]*Tabla2[[#This Row],[diferencia de días]])*(1+Tabla2[[#This Row],[Hg]])</f>
        <v>1254.9379624954133</v>
      </c>
    </row>
    <row r="213" spans="1:20" ht="14.5" x14ac:dyDescent="0.35">
      <c r="A213">
        <f t="shared" si="33"/>
        <v>212</v>
      </c>
      <c r="B213">
        <f t="shared" ca="1" si="34"/>
        <v>46134</v>
      </c>
      <c r="C213">
        <f t="shared" ca="1" si="35"/>
        <v>46157</v>
      </c>
      <c r="D213">
        <f t="shared" ca="1" si="36"/>
        <v>31</v>
      </c>
      <c r="E213">
        <f t="shared" ca="1" si="37"/>
        <v>0.53047276500510454</v>
      </c>
      <c r="F213">
        <f t="shared" ca="1" si="38"/>
        <v>1184.8900000000001</v>
      </c>
      <c r="G213" t="str">
        <f t="shared" ca="1" si="39"/>
        <v>hipotecario</v>
      </c>
      <c r="H21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213" t="str">
        <f t="shared" ca="1" si="40"/>
        <v>No</v>
      </c>
      <c r="J21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165000.91058813463</v>
      </c>
      <c r="K213" t="str">
        <f ca="1">IF(Tabla2[[#This Row],[¿cliente deuda abierta?]]="Sí", Tabla2[[#This Row],[Deuda actual]]*Tabla2[[#This Row],[diferencia de días]], "0")</f>
        <v>0</v>
      </c>
      <c r="L21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1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21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213">
        <f t="shared" ca="1" si="41"/>
        <v>1451.81</v>
      </c>
      <c r="P213">
        <f t="shared" ca="1" si="42"/>
        <v>398266.86</v>
      </c>
      <c r="Q213">
        <f t="shared" ca="1" si="43"/>
        <v>1</v>
      </c>
      <c r="R213">
        <f ca="1">((Tabla2[[#This Row],[Fantasma Comunicación]]+1)/(Tabla2[[#This Row],[Fantasma Comunicación]]+RANDBETWEEN(0,5)+2))-0.5</f>
        <v>-0.2142857142857143</v>
      </c>
      <c r="S213">
        <f ca="1">1+MAX(0,Tabla2[[#This Row],[Deuda actual]]/Tabla2[[#This Row],[Liquidez]]+Tabla2[[#This Row],[Liquidez]]/(Tabla2[[#This Row],[Activos]]+Tabla2[[#This Row],[Liquidez]])+Tabla2[[#This Row],[Comunicación]])</f>
        <v>1.6054931062113496</v>
      </c>
      <c r="T213">
        <f ca="1">Tabla2[[#This Row],[Deuda actual]]*EXP(Tabla2[[#This Row],[Ki]]*Tabla2[[#This Row],[diferencia de días]])*(1+Tabla2[[#This Row],[Hg]])</f>
        <v>977.75748696008168</v>
      </c>
    </row>
    <row r="214" spans="1:20" ht="14.5" x14ac:dyDescent="0.35">
      <c r="A214">
        <f t="shared" si="33"/>
        <v>213</v>
      </c>
      <c r="B214">
        <f t="shared" ca="1" si="34"/>
        <v>46122</v>
      </c>
      <c r="C214">
        <f t="shared" ca="1" si="35"/>
        <v>46157</v>
      </c>
      <c r="D214">
        <f t="shared" ca="1" si="36"/>
        <v>16</v>
      </c>
      <c r="E214">
        <f t="shared" ca="1" si="37"/>
        <v>0.37524275321243694</v>
      </c>
      <c r="F214">
        <f t="shared" ca="1" si="38"/>
        <v>999.97</v>
      </c>
      <c r="G214" t="str">
        <f t="shared" ca="1" si="39"/>
        <v>hipotecario</v>
      </c>
      <c r="H21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14" t="str">
        <f t="shared" ca="1" si="40"/>
        <v>Sí</v>
      </c>
      <c r="J21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14">
        <f ca="1">IF(Tabla2[[#This Row],[¿cliente deuda abierta?]]="Sí", Tabla2[[#This Row],[Deuda actual]]*Tabla2[[#This Row],[diferencia de días]], "0")</f>
        <v>15999.52</v>
      </c>
      <c r="L21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1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1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14">
        <f t="shared" ca="1" si="41"/>
        <v>2033.64</v>
      </c>
      <c r="P214">
        <f t="shared" ca="1" si="42"/>
        <v>80274.94</v>
      </c>
      <c r="Q214">
        <f t="shared" ca="1" si="43"/>
        <v>5</v>
      </c>
      <c r="R214">
        <f ca="1">((Tabla2[[#This Row],[Fantasma Comunicación]]+1)/(Tabla2[[#This Row],[Fantasma Comunicación]]+RANDBETWEEN(0,5)+2))-0.5</f>
        <v>0</v>
      </c>
      <c r="S214">
        <f ca="1">1+MAX(0,Tabla2[[#This Row],[Deuda actual]]/Tabla2[[#This Row],[Liquidez]]+Tabla2[[#This Row],[Liquidez]]/(Tabla2[[#This Row],[Activos]]+Tabla2[[#This Row],[Liquidez]])+Tabla2[[#This Row],[Comunicación]])</f>
        <v>1.5164218736202373</v>
      </c>
      <c r="T214">
        <f ca="1">Tabla2[[#This Row],[Deuda actual]]*EXP(Tabla2[[#This Row],[Ki]]*Tabla2[[#This Row],[diferencia de días]])*(1+Tabla2[[#This Row],[Hg]])</f>
        <v>1056.7098477021962</v>
      </c>
    </row>
    <row r="215" spans="1:20" ht="14.5" x14ac:dyDescent="0.35">
      <c r="A215">
        <f t="shared" si="33"/>
        <v>214</v>
      </c>
      <c r="B215">
        <f t="shared" ca="1" si="34"/>
        <v>46085</v>
      </c>
      <c r="C215">
        <f t="shared" ca="1" si="35"/>
        <v>46157</v>
      </c>
      <c r="D215">
        <f t="shared" ca="1" si="36"/>
        <v>14</v>
      </c>
      <c r="E215">
        <f t="shared" ca="1" si="37"/>
        <v>0.8743619408033213</v>
      </c>
      <c r="F215">
        <f t="shared" ca="1" si="38"/>
        <v>2205.1799999999998</v>
      </c>
      <c r="G215" t="str">
        <f t="shared" ca="1" si="39"/>
        <v>hipotecario</v>
      </c>
      <c r="H21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15" t="str">
        <f t="shared" ca="1" si="40"/>
        <v>No</v>
      </c>
      <c r="J21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165000.26028014912</v>
      </c>
      <c r="K215" t="str">
        <f ca="1">IF(Tabla2[[#This Row],[¿cliente deuda abierta?]]="Sí", Tabla2[[#This Row],[Deuda actual]]*Tabla2[[#This Row],[diferencia de días]], "0")</f>
        <v>0</v>
      </c>
      <c r="L21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1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215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215">
        <f t="shared" ca="1" si="41"/>
        <v>1189.56</v>
      </c>
      <c r="P215">
        <f t="shared" ca="1" si="42"/>
        <v>176099.55</v>
      </c>
      <c r="Q215">
        <f t="shared" ca="1" si="43"/>
        <v>5</v>
      </c>
      <c r="R215">
        <f ca="1">((Tabla2[[#This Row],[Fantasma Comunicación]]+1)/(Tabla2[[#This Row],[Fantasma Comunicación]]+RANDBETWEEN(0,5)+2))-0.5</f>
        <v>0.16666666666666663</v>
      </c>
      <c r="S215">
        <f ca="1">1+MAX(0,Tabla2[[#This Row],[Deuda actual]]/Tabla2[[#This Row],[Liquidez]]+Tabla2[[#This Row],[Liquidez]]/(Tabla2[[#This Row],[Activos]]+Tabla2[[#This Row],[Liquidez]])+Tabla2[[#This Row],[Comunicación]])</f>
        <v>3.0271542524937876</v>
      </c>
      <c r="T215">
        <f ca="1">Tabla2[[#This Row],[Deuda actual]]*EXP(Tabla2[[#This Row],[Ki]]*Tabla2[[#This Row],[diferencia de días]])*(1+Tabla2[[#This Row],[Hg]])</f>
        <v>1769.0905251034155</v>
      </c>
    </row>
    <row r="216" spans="1:20" ht="14.5" x14ac:dyDescent="0.35">
      <c r="A216">
        <f t="shared" si="33"/>
        <v>215</v>
      </c>
      <c r="B216">
        <f t="shared" ca="1" si="34"/>
        <v>46128</v>
      </c>
      <c r="C216">
        <f t="shared" ca="1" si="35"/>
        <v>46157</v>
      </c>
      <c r="D216">
        <f t="shared" ca="1" si="36"/>
        <v>3</v>
      </c>
      <c r="E216">
        <f t="shared" ca="1" si="37"/>
        <v>2.421647308771957E-2</v>
      </c>
      <c r="F216">
        <f t="shared" ca="1" si="38"/>
        <v>2631.12</v>
      </c>
      <c r="G216" t="str">
        <f t="shared" ca="1" si="39"/>
        <v>personal</v>
      </c>
      <c r="H21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16" t="str">
        <f t="shared" ca="1" si="40"/>
        <v>Sí</v>
      </c>
      <c r="J21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16">
        <f ca="1">IF(Tabla2[[#This Row],[¿cliente deuda abierta?]]="Sí", Tabla2[[#This Row],[Deuda actual]]*Tabla2[[#This Row],[diferencia de días]], "0")</f>
        <v>7893.36</v>
      </c>
      <c r="L21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1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1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16">
        <f t="shared" ca="1" si="41"/>
        <v>1720.68</v>
      </c>
      <c r="P216">
        <f t="shared" ca="1" si="42"/>
        <v>201912.15</v>
      </c>
      <c r="Q216">
        <f t="shared" ca="1" si="43"/>
        <v>5</v>
      </c>
      <c r="R216">
        <f ca="1">((Tabla2[[#This Row],[Fantasma Comunicación]]+1)/(Tabla2[[#This Row],[Fantasma Comunicación]]+RANDBETWEEN(0,5)+2))-0.5</f>
        <v>0.16666666666666663</v>
      </c>
      <c r="S216">
        <f ca="1">1+MAX(0,Tabla2[[#This Row],[Deuda actual]]/Tabla2[[#This Row],[Liquidez]]+Tabla2[[#This Row],[Liquidez]]/(Tabla2[[#This Row],[Activos]]+Tabla2[[#This Row],[Liquidez]])+Tabla2[[#This Row],[Comunicación]])</f>
        <v>2.704232976995963</v>
      </c>
      <c r="T216">
        <f ca="1">Tabla2[[#This Row],[Deuda actual]]*EXP(Tabla2[[#This Row],[Ki]]*Tabla2[[#This Row],[diferencia de días]])*(1+Tabla2[[#This Row],[Hg]])</f>
        <v>2764.3341029811509</v>
      </c>
    </row>
    <row r="217" spans="1:20" ht="14.5" x14ac:dyDescent="0.35">
      <c r="A217">
        <f t="shared" si="33"/>
        <v>216</v>
      </c>
      <c r="B217">
        <f t="shared" ca="1" si="34"/>
        <v>46114</v>
      </c>
      <c r="C217">
        <f t="shared" ca="1" si="35"/>
        <v>46157</v>
      </c>
      <c r="D217">
        <f t="shared" ca="1" si="36"/>
        <v>37</v>
      </c>
      <c r="E217">
        <f t="shared" ca="1" si="37"/>
        <v>0.36208928412277441</v>
      </c>
      <c r="F217">
        <f t="shared" ca="1" si="38"/>
        <v>1106.57</v>
      </c>
      <c r="G217" t="str">
        <f t="shared" ca="1" si="39"/>
        <v>hipotecario</v>
      </c>
      <c r="H21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217" t="str">
        <f t="shared" ca="1" si="40"/>
        <v>No</v>
      </c>
      <c r="J21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164999.383078935</v>
      </c>
      <c r="K217" t="str">
        <f ca="1">IF(Tabla2[[#This Row],[¿cliente deuda abierta?]]="Sí", Tabla2[[#This Row],[Deuda actual]]*Tabla2[[#This Row],[diferencia de días]], "0")</f>
        <v>0</v>
      </c>
      <c r="L21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1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21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217">
        <f t="shared" ca="1" si="41"/>
        <v>1888.82</v>
      </c>
      <c r="P217">
        <f t="shared" ca="1" si="42"/>
        <v>58477.61</v>
      </c>
      <c r="Q217">
        <f t="shared" ca="1" si="43"/>
        <v>3</v>
      </c>
      <c r="R217">
        <f ca="1">((Tabla2[[#This Row],[Fantasma Comunicación]]+1)/(Tabla2[[#This Row],[Fantasma Comunicación]]+RANDBETWEEN(0,5)+2))-0.5</f>
        <v>-5.555555555555558E-2</v>
      </c>
      <c r="S217">
        <f ca="1">1+MAX(0,Tabla2[[#This Row],[Deuda actual]]/Tabla2[[#This Row],[Liquidez]]+Tabla2[[#This Row],[Liquidez]]/(Tabla2[[#This Row],[Activos]]+Tabla2[[#This Row],[Liquidez]])+Tabla2[[#This Row],[Comunicación]])</f>
        <v>1.5615862320029597</v>
      </c>
      <c r="T217">
        <f ca="1">Tabla2[[#This Row],[Deuda actual]]*EXP(Tabla2[[#This Row],[Ki]]*Tabla2[[#This Row],[diferencia de días]])*(1+Tabla2[[#This Row],[Hg]])</f>
        <v>918.6239728551036</v>
      </c>
    </row>
    <row r="218" spans="1:20" ht="14.5" x14ac:dyDescent="0.35">
      <c r="A218">
        <f t="shared" si="33"/>
        <v>217</v>
      </c>
      <c r="B218">
        <f t="shared" ca="1" si="34"/>
        <v>46096</v>
      </c>
      <c r="C218">
        <f t="shared" ca="1" si="35"/>
        <v>46157</v>
      </c>
      <c r="D218">
        <f t="shared" ca="1" si="36"/>
        <v>4</v>
      </c>
      <c r="E218">
        <f t="shared" ca="1" si="37"/>
        <v>0.51450057746689282</v>
      </c>
      <c r="F218">
        <f t="shared" ca="1" si="38"/>
        <v>3716.63</v>
      </c>
      <c r="G218" t="str">
        <f t="shared" ca="1" si="39"/>
        <v>personal</v>
      </c>
      <c r="H21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18" t="str">
        <f t="shared" ca="1" si="40"/>
        <v>Sí</v>
      </c>
      <c r="J21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18">
        <f ca="1">IF(Tabla2[[#This Row],[¿cliente deuda abierta?]]="Sí", Tabla2[[#This Row],[Deuda actual]]*Tabla2[[#This Row],[diferencia de días]], "0")</f>
        <v>14866.52</v>
      </c>
      <c r="L21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1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1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18">
        <f t="shared" ca="1" si="41"/>
        <v>1297.1300000000001</v>
      </c>
      <c r="P218">
        <f t="shared" ca="1" si="42"/>
        <v>64131.41</v>
      </c>
      <c r="Q218">
        <f t="shared" ca="1" si="43"/>
        <v>2</v>
      </c>
      <c r="R218">
        <f ca="1">((Tabla2[[#This Row],[Fantasma Comunicación]]+1)/(Tabla2[[#This Row],[Fantasma Comunicación]]+RANDBETWEEN(0,5)+2))-0.5</f>
        <v>-0.16666666666666669</v>
      </c>
      <c r="S218">
        <f ca="1">1+MAX(0,Tabla2[[#This Row],[Deuda actual]]/Tabla2[[#This Row],[Liquidez]]+Tabla2[[#This Row],[Liquidez]]/(Tabla2[[#This Row],[Activos]]+Tabla2[[#This Row],[Liquidez]])+Tabla2[[#This Row],[Comunicación]])</f>
        <v>3.7184302662022475</v>
      </c>
      <c r="T218">
        <f ca="1">Tabla2[[#This Row],[Deuda actual]]*EXP(Tabla2[[#This Row],[Ki]]*Tabla2[[#This Row],[diferencia de días]])*(1+Tabla2[[#This Row],[Hg]])</f>
        <v>3905.5847183207566</v>
      </c>
    </row>
    <row r="219" spans="1:20" ht="14.5" x14ac:dyDescent="0.35">
      <c r="A219">
        <f t="shared" si="33"/>
        <v>218</v>
      </c>
      <c r="B219">
        <f t="shared" ca="1" si="34"/>
        <v>46133</v>
      </c>
      <c r="C219">
        <f t="shared" ca="1" si="35"/>
        <v>46157</v>
      </c>
      <c r="D219">
        <f t="shared" ca="1" si="36"/>
        <v>4</v>
      </c>
      <c r="E219">
        <f t="shared" ca="1" si="37"/>
        <v>0.86880924707444718</v>
      </c>
      <c r="F219">
        <f t="shared" ca="1" si="38"/>
        <v>2659.28</v>
      </c>
      <c r="G219" t="str">
        <f t="shared" ca="1" si="39"/>
        <v>hipotecario</v>
      </c>
      <c r="H21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19" t="str">
        <f t="shared" ca="1" si="40"/>
        <v>Sí</v>
      </c>
      <c r="J21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19">
        <f ca="1">IF(Tabla2[[#This Row],[¿cliente deuda abierta?]]="Sí", Tabla2[[#This Row],[Deuda actual]]*Tabla2[[#This Row],[diferencia de días]], "0")</f>
        <v>10637.12</v>
      </c>
      <c r="L21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1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1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19">
        <f t="shared" ca="1" si="41"/>
        <v>1805.76</v>
      </c>
      <c r="P219">
        <f t="shared" ca="1" si="42"/>
        <v>57832.05</v>
      </c>
      <c r="Q219">
        <f t="shared" ca="1" si="43"/>
        <v>4</v>
      </c>
      <c r="R219">
        <f ca="1">((Tabla2[[#This Row],[Fantasma Comunicación]]+1)/(Tabla2[[#This Row],[Fantasma Comunicación]]+RANDBETWEEN(0,5)+2))-0.5</f>
        <v>-4.545454545454547E-2</v>
      </c>
      <c r="S219">
        <f ca="1">1+MAX(0,Tabla2[[#This Row],[Deuda actual]]/Tabla2[[#This Row],[Liquidez]]+Tabla2[[#This Row],[Liquidez]]/(Tabla2[[#This Row],[Activos]]+Tabla2[[#This Row],[Liquidez]])+Tabla2[[#This Row],[Comunicación]])</f>
        <v>2.4574894813689392</v>
      </c>
      <c r="T219">
        <f ca="1">Tabla2[[#This Row],[Deuda actual]]*EXP(Tabla2[[#This Row],[Ki]]*Tabla2[[#This Row],[diferencia de días]])*(1+Tabla2[[#This Row],[Hg]])</f>
        <v>2794.4786889563993</v>
      </c>
    </row>
    <row r="220" spans="1:20" ht="14.5" x14ac:dyDescent="0.35">
      <c r="A220">
        <f t="shared" si="33"/>
        <v>219</v>
      </c>
      <c r="B220">
        <f t="shared" ca="1" si="34"/>
        <v>46102</v>
      </c>
      <c r="C220">
        <f t="shared" ca="1" si="35"/>
        <v>46157</v>
      </c>
      <c r="D220">
        <f t="shared" ca="1" si="36"/>
        <v>23</v>
      </c>
      <c r="E220">
        <f t="shared" ca="1" si="37"/>
        <v>0.3253094514481466</v>
      </c>
      <c r="F220">
        <f t="shared" ca="1" si="38"/>
        <v>3129.21</v>
      </c>
      <c r="G220" t="str">
        <f t="shared" ca="1" si="39"/>
        <v>hipotecario</v>
      </c>
      <c r="H22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20" t="str">
        <f t="shared" ca="1" si="40"/>
        <v>Sí</v>
      </c>
      <c r="J22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20">
        <f ca="1">IF(Tabla2[[#This Row],[¿cliente deuda abierta?]]="Sí", Tabla2[[#This Row],[Deuda actual]]*Tabla2[[#This Row],[diferencia de días]], "0")</f>
        <v>71971.83</v>
      </c>
      <c r="L22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22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20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220">
        <f t="shared" ca="1" si="41"/>
        <v>1275.3800000000001</v>
      </c>
      <c r="P220">
        <f t="shared" ca="1" si="42"/>
        <v>357427.55</v>
      </c>
      <c r="Q220">
        <f t="shared" ca="1" si="43"/>
        <v>2</v>
      </c>
      <c r="R220">
        <f ca="1">((Tabla2[[#This Row],[Fantasma Comunicación]]+1)/(Tabla2[[#This Row],[Fantasma Comunicación]]+RANDBETWEEN(0,5)+2))-0.5</f>
        <v>0</v>
      </c>
      <c r="S220">
        <f ca="1">1+MAX(0,Tabla2[[#This Row],[Deuda actual]]/Tabla2[[#This Row],[Liquidez]]+Tabla2[[#This Row],[Liquidez]]/(Tabla2[[#This Row],[Activos]]+Tabla2[[#This Row],[Liquidez]])+Tabla2[[#This Row],[Comunicación]])</f>
        <v>3.457106631203938</v>
      </c>
      <c r="T220">
        <f ca="1">Tabla2[[#This Row],[Deuda actual]]*EXP(Tabla2[[#This Row],[Ki]]*Tabla2[[#This Row],[diferencia de días]])*(1+Tabla2[[#This Row],[Hg]])</f>
        <v>3631.8513022984316</v>
      </c>
    </row>
    <row r="221" spans="1:20" ht="14.5" x14ac:dyDescent="0.35">
      <c r="A221">
        <f t="shared" si="33"/>
        <v>220</v>
      </c>
      <c r="B221">
        <f t="shared" ca="1" si="34"/>
        <v>46127</v>
      </c>
      <c r="C221">
        <f t="shared" ca="1" si="35"/>
        <v>46157</v>
      </c>
      <c r="D221">
        <f t="shared" ca="1" si="36"/>
        <v>1</v>
      </c>
      <c r="E221">
        <f t="shared" ca="1" si="37"/>
        <v>0.74139511469144825</v>
      </c>
      <c r="F221">
        <f t="shared" ca="1" si="38"/>
        <v>92.24</v>
      </c>
      <c r="G221" t="str">
        <f t="shared" ca="1" si="39"/>
        <v>hipotecario</v>
      </c>
      <c r="H22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21" t="str">
        <f t="shared" ca="1" si="40"/>
        <v>No</v>
      </c>
      <c r="J22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165000.40278211763</v>
      </c>
      <c r="K221" t="str">
        <f ca="1">IF(Tabla2[[#This Row],[¿cliente deuda abierta?]]="Sí", Tabla2[[#This Row],[Deuda actual]]*Tabla2[[#This Row],[diferencia de días]], "0")</f>
        <v>0</v>
      </c>
      <c r="L22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2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221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221">
        <f t="shared" ca="1" si="41"/>
        <v>2402.4299999999998</v>
      </c>
      <c r="P221">
        <f t="shared" ca="1" si="42"/>
        <v>253827.5</v>
      </c>
      <c r="Q221">
        <f t="shared" ca="1" si="43"/>
        <v>4</v>
      </c>
      <c r="R221">
        <f ca="1">((Tabla2[[#This Row],[Fantasma Comunicación]]+1)/(Tabla2[[#This Row],[Fantasma Comunicación]]+RANDBETWEEN(0,5)+2))-0.5</f>
        <v>5.555555555555558E-2</v>
      </c>
      <c r="S221">
        <f ca="1">1+MAX(0,Tabla2[[#This Row],[Deuda actual]]/Tabla2[[#This Row],[Liquidez]]+Tabla2[[#This Row],[Liquidez]]/(Tabla2[[#This Row],[Activos]]+Tabla2[[#This Row],[Liquidez]])+Tabla2[[#This Row],[Comunicación]])</f>
        <v>1.1033260854367448</v>
      </c>
      <c r="T221">
        <f ca="1">Tabla2[[#This Row],[Deuda actual]]*EXP(Tabla2[[#This Row],[Ki]]*Tabla2[[#This Row],[diferencia de días]])*(1+Tabla2[[#This Row],[Hg]])</f>
        <v>73.806759875938397</v>
      </c>
    </row>
    <row r="222" spans="1:20" ht="14.5" x14ac:dyDescent="0.35">
      <c r="A222">
        <f t="shared" si="33"/>
        <v>221</v>
      </c>
      <c r="B222">
        <f t="shared" ca="1" si="34"/>
        <v>46098</v>
      </c>
      <c r="C222">
        <f t="shared" ca="1" si="35"/>
        <v>46157</v>
      </c>
      <c r="D222">
        <f t="shared" ca="1" si="36"/>
        <v>15</v>
      </c>
      <c r="E222">
        <f t="shared" ca="1" si="37"/>
        <v>0.86035725685080744</v>
      </c>
      <c r="F222">
        <f t="shared" ca="1" si="38"/>
        <v>377.75</v>
      </c>
      <c r="G222" t="str">
        <f t="shared" ca="1" si="39"/>
        <v>personal</v>
      </c>
      <c r="H22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22" t="str">
        <f t="shared" ca="1" si="40"/>
        <v>Sí</v>
      </c>
      <c r="J22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22">
        <f ca="1">IF(Tabla2[[#This Row],[¿cliente deuda abierta?]]="Sí", Tabla2[[#This Row],[Deuda actual]]*Tabla2[[#This Row],[diferencia de días]], "0")</f>
        <v>5666.25</v>
      </c>
      <c r="L22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2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2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22">
        <f t="shared" ca="1" si="41"/>
        <v>1840.29</v>
      </c>
      <c r="P222">
        <f t="shared" ca="1" si="42"/>
        <v>84711.85</v>
      </c>
      <c r="Q222">
        <f t="shared" ca="1" si="43"/>
        <v>3</v>
      </c>
      <c r="R222">
        <f ca="1">((Tabla2[[#This Row],[Fantasma Comunicación]]+1)/(Tabla2[[#This Row],[Fantasma Comunicación]]+RANDBETWEEN(0,5)+2))-0.5</f>
        <v>-5.555555555555558E-2</v>
      </c>
      <c r="S222">
        <f ca="1">1+MAX(0,Tabla2[[#This Row],[Deuda actual]]/Tabla2[[#This Row],[Liquidez]]+Tabla2[[#This Row],[Liquidez]]/(Tabla2[[#This Row],[Activos]]+Tabla2[[#This Row],[Liquidez]])+Tabla2[[#This Row],[Comunicación]])</f>
        <v>1.1709732182737067</v>
      </c>
      <c r="T222">
        <f ca="1">Tabla2[[#This Row],[Deuda actual]]*EXP(Tabla2[[#This Row],[Ki]]*Tabla2[[#This Row],[diferencia de días]])*(1+Tabla2[[#This Row],[Hg]])</f>
        <v>399.02447877539424</v>
      </c>
    </row>
    <row r="223" spans="1:20" ht="14.5" x14ac:dyDescent="0.35">
      <c r="A223">
        <f t="shared" si="33"/>
        <v>222</v>
      </c>
      <c r="B223">
        <f t="shared" ca="1" si="34"/>
        <v>46091</v>
      </c>
      <c r="C223">
        <f t="shared" ca="1" si="35"/>
        <v>46157</v>
      </c>
      <c r="D223">
        <f t="shared" ca="1" si="36"/>
        <v>7</v>
      </c>
      <c r="E223">
        <f t="shared" ca="1" si="37"/>
        <v>0.55008741150236173</v>
      </c>
      <c r="F223">
        <f t="shared" ca="1" si="38"/>
        <v>770.12</v>
      </c>
      <c r="G223" t="str">
        <f t="shared" ca="1" si="39"/>
        <v>personal</v>
      </c>
      <c r="H22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23" t="str">
        <f t="shared" ca="1" si="40"/>
        <v>No</v>
      </c>
      <c r="J22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12000.318627298708</v>
      </c>
      <c r="K223" t="str">
        <f ca="1">IF(Tabla2[[#This Row],[¿cliente deuda abierta?]]="Sí", Tabla2[[#This Row],[Deuda actual]]*Tabla2[[#This Row],[diferencia de días]], "0")</f>
        <v>0</v>
      </c>
      <c r="L22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2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2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23">
        <f t="shared" ca="1" si="41"/>
        <v>1842.54</v>
      </c>
      <c r="P223">
        <f t="shared" ca="1" si="42"/>
        <v>225310.81</v>
      </c>
      <c r="Q223">
        <f t="shared" ca="1" si="43"/>
        <v>0</v>
      </c>
      <c r="R223">
        <f ca="1">((Tabla2[[#This Row],[Fantasma Comunicación]]+1)/(Tabla2[[#This Row],[Fantasma Comunicación]]+RANDBETWEEN(0,5)+2))-0.5</f>
        <v>-0.25</v>
      </c>
      <c r="S223">
        <f ca="1">1+MAX(0,Tabla2[[#This Row],[Deuda actual]]/Tabla2[[#This Row],[Liquidez]]+Tabla2[[#This Row],[Liquidez]]/(Tabla2[[#This Row],[Activos]]+Tabla2[[#This Row],[Liquidez]])+Tabla2[[#This Row],[Comunicación]])</f>
        <v>1.1760779393756864</v>
      </c>
      <c r="T223">
        <f ca="1">Tabla2[[#This Row],[Deuda actual]]*EXP(Tabla2[[#This Row],[Ki]]*Tabla2[[#This Row],[diferencia de días]])*(1+Tabla2[[#This Row],[Hg]])</f>
        <v>694.07903076293235</v>
      </c>
    </row>
    <row r="224" spans="1:20" ht="14.5" x14ac:dyDescent="0.35">
      <c r="A224">
        <f t="shared" si="33"/>
        <v>223</v>
      </c>
      <c r="B224">
        <f t="shared" ca="1" si="34"/>
        <v>46122</v>
      </c>
      <c r="C224">
        <f t="shared" ca="1" si="35"/>
        <v>46157</v>
      </c>
      <c r="D224">
        <f t="shared" ca="1" si="36"/>
        <v>0</v>
      </c>
      <c r="E224">
        <f t="shared" ca="1" si="37"/>
        <v>0.23484164743202474</v>
      </c>
      <c r="F224">
        <f t="shared" ca="1" si="38"/>
        <v>1348.27</v>
      </c>
      <c r="G224" t="str">
        <f t="shared" ca="1" si="39"/>
        <v>personal</v>
      </c>
      <c r="H22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24" t="str">
        <f t="shared" ca="1" si="40"/>
        <v>Sí</v>
      </c>
      <c r="J22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24">
        <f ca="1">IF(Tabla2[[#This Row],[¿cliente deuda abierta?]]="Sí", Tabla2[[#This Row],[Deuda actual]]*Tabla2[[#This Row],[diferencia de días]], "0")</f>
        <v>0</v>
      </c>
      <c r="L22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2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24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224">
        <f t="shared" ca="1" si="41"/>
        <v>1505.58</v>
      </c>
      <c r="P224">
        <f t="shared" ca="1" si="42"/>
        <v>163504.10999999999</v>
      </c>
      <c r="Q224">
        <f t="shared" ca="1" si="43"/>
        <v>3</v>
      </c>
      <c r="R224">
        <f ca="1">((Tabla2[[#This Row],[Fantasma Comunicación]]+1)/(Tabla2[[#This Row],[Fantasma Comunicación]]+RANDBETWEEN(0,5)+2))-0.5</f>
        <v>0.16666666666666663</v>
      </c>
      <c r="S224">
        <f ca="1">1+MAX(0,Tabla2[[#This Row],[Deuda actual]]/Tabla2[[#This Row],[Liquidez]]+Tabla2[[#This Row],[Liquidez]]/(Tabla2[[#This Row],[Activos]]+Tabla2[[#This Row],[Liquidez]])+Tabla2[[#This Row],[Comunicación]])</f>
        <v>2.0713062076667952</v>
      </c>
      <c r="T224">
        <f ca="1">Tabla2[[#This Row],[Deuda actual]]*EXP(Tabla2[[#This Row],[Ki]]*Tabla2[[#This Row],[diferencia de días]])*(1+Tabla2[[#This Row],[Hg]])</f>
        <v>1348.27</v>
      </c>
    </row>
    <row r="225" spans="1:20" ht="14.5" x14ac:dyDescent="0.35">
      <c r="A225">
        <f t="shared" si="33"/>
        <v>224</v>
      </c>
      <c r="B225">
        <f t="shared" ca="1" si="34"/>
        <v>46128</v>
      </c>
      <c r="C225">
        <f t="shared" ca="1" si="35"/>
        <v>46157</v>
      </c>
      <c r="D225">
        <f t="shared" ca="1" si="36"/>
        <v>1</v>
      </c>
      <c r="E225">
        <f t="shared" ca="1" si="37"/>
        <v>0.95149039012464742</v>
      </c>
      <c r="F225">
        <f t="shared" ca="1" si="38"/>
        <v>740.75</v>
      </c>
      <c r="G225" t="str">
        <f t="shared" ca="1" si="39"/>
        <v>hipotecario</v>
      </c>
      <c r="H22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25" t="str">
        <f t="shared" ca="1" si="40"/>
        <v>Sí</v>
      </c>
      <c r="J22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25">
        <f ca="1">IF(Tabla2[[#This Row],[¿cliente deuda abierta?]]="Sí", Tabla2[[#This Row],[Deuda actual]]*Tabla2[[#This Row],[diferencia de días]], "0")</f>
        <v>740.75</v>
      </c>
      <c r="L22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2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2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25">
        <f t="shared" ca="1" si="41"/>
        <v>1840.83</v>
      </c>
      <c r="P225">
        <f t="shared" ca="1" si="42"/>
        <v>228649.85</v>
      </c>
      <c r="Q225">
        <f t="shared" ca="1" si="43"/>
        <v>3</v>
      </c>
      <c r="R225">
        <f ca="1">((Tabla2[[#This Row],[Fantasma Comunicación]]+1)/(Tabla2[[#This Row],[Fantasma Comunicación]]+RANDBETWEEN(0,5)+2))-0.5</f>
        <v>-9.9999999999999978E-2</v>
      </c>
      <c r="S225">
        <f ca="1">1+MAX(0,Tabla2[[#This Row],[Deuda actual]]/Tabla2[[#This Row],[Liquidez]]+Tabla2[[#This Row],[Liquidez]]/(Tabla2[[#This Row],[Activos]]+Tabla2[[#This Row],[Liquidez]])+Tabla2[[#This Row],[Comunicación]])</f>
        <v>1.3103865745620671</v>
      </c>
      <c r="T225">
        <f ca="1">Tabla2[[#This Row],[Deuda actual]]*EXP(Tabla2[[#This Row],[Ki]]*Tabla2[[#This Row],[diferencia de días]])*(1+Tabla2[[#This Row],[Hg]])</f>
        <v>777.94307305678717</v>
      </c>
    </row>
    <row r="226" spans="1:20" ht="14.5" x14ac:dyDescent="0.35">
      <c r="A226">
        <f t="shared" si="33"/>
        <v>225</v>
      </c>
      <c r="B226">
        <f t="shared" ca="1" si="34"/>
        <v>46122</v>
      </c>
      <c r="C226">
        <f t="shared" ca="1" si="35"/>
        <v>46157</v>
      </c>
      <c r="D226">
        <f t="shared" ca="1" si="36"/>
        <v>15</v>
      </c>
      <c r="E226">
        <f t="shared" ca="1" si="37"/>
        <v>0.69449506719264087</v>
      </c>
      <c r="F226">
        <f t="shared" ca="1" si="38"/>
        <v>646.35</v>
      </c>
      <c r="G226" t="str">
        <f t="shared" ca="1" si="39"/>
        <v>hipotecario</v>
      </c>
      <c r="H22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26" t="str">
        <f t="shared" ca="1" si="40"/>
        <v>Sí</v>
      </c>
      <c r="J22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26">
        <f ca="1">IF(Tabla2[[#This Row],[¿cliente deuda abierta?]]="Sí", Tabla2[[#This Row],[Deuda actual]]*Tabla2[[#This Row],[diferencia de días]], "0")</f>
        <v>9695.25</v>
      </c>
      <c r="L22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2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2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26">
        <f t="shared" ca="1" si="41"/>
        <v>1421.72</v>
      </c>
      <c r="P226">
        <f t="shared" ca="1" si="42"/>
        <v>235075.15</v>
      </c>
      <c r="Q226">
        <f t="shared" ca="1" si="43"/>
        <v>2</v>
      </c>
      <c r="R226">
        <f ca="1">((Tabla2[[#This Row],[Fantasma Comunicación]]+1)/(Tabla2[[#This Row],[Fantasma Comunicación]]+RANDBETWEEN(0,5)+2))-0.5</f>
        <v>9.9999999999999978E-2</v>
      </c>
      <c r="S226">
        <f ca="1">1+MAX(0,Tabla2[[#This Row],[Deuda actual]]/Tabla2[[#This Row],[Liquidez]]+Tabla2[[#This Row],[Liquidez]]/(Tabla2[[#This Row],[Activos]]+Tabla2[[#This Row],[Liquidez]])+Tabla2[[#This Row],[Comunicación]])</f>
        <v>1.5606369639568733</v>
      </c>
      <c r="T226">
        <f ca="1">Tabla2[[#This Row],[Deuda actual]]*EXP(Tabla2[[#This Row],[Ki]]*Tabla2[[#This Row],[diferencia de días]])*(1+Tabla2[[#This Row],[Hg]])</f>
        <v>682.75174548372206</v>
      </c>
    </row>
    <row r="227" spans="1:20" ht="14.5" x14ac:dyDescent="0.35">
      <c r="A227">
        <f t="shared" si="33"/>
        <v>226</v>
      </c>
      <c r="B227">
        <f t="shared" ca="1" si="34"/>
        <v>46128</v>
      </c>
      <c r="C227">
        <f t="shared" ca="1" si="35"/>
        <v>46157</v>
      </c>
      <c r="D227">
        <f t="shared" ca="1" si="36"/>
        <v>13</v>
      </c>
      <c r="E227">
        <f t="shared" ca="1" si="37"/>
        <v>0.1053904222395603</v>
      </c>
      <c r="F227">
        <f t="shared" ca="1" si="38"/>
        <v>6262.1</v>
      </c>
      <c r="G227" t="str">
        <f t="shared" ca="1" si="39"/>
        <v>personal</v>
      </c>
      <c r="H22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27" t="str">
        <f t="shared" ca="1" si="40"/>
        <v>Sí</v>
      </c>
      <c r="J22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27">
        <f ca="1">IF(Tabla2[[#This Row],[¿cliente deuda abierta?]]="Sí", Tabla2[[#This Row],[Deuda actual]]*Tabla2[[#This Row],[diferencia de días]], "0")</f>
        <v>81407.3</v>
      </c>
      <c r="L22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22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27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227">
        <f t="shared" ca="1" si="41"/>
        <v>1468.96</v>
      </c>
      <c r="P227">
        <f t="shared" ca="1" si="42"/>
        <v>371022.24</v>
      </c>
      <c r="Q227">
        <f t="shared" ca="1" si="43"/>
        <v>1</v>
      </c>
      <c r="R227">
        <f ca="1">((Tabla2[[#This Row],[Fantasma Comunicación]]+1)/(Tabla2[[#This Row],[Fantasma Comunicación]]+RANDBETWEEN(0,5)+2))-0.5</f>
        <v>-0.2142857142857143</v>
      </c>
      <c r="S227">
        <f ca="1">1+MAX(0,Tabla2[[#This Row],[Deuda actual]]/Tabla2[[#This Row],[Liquidez]]+Tabla2[[#This Row],[Liquidez]]/(Tabla2[[#This Row],[Activos]]+Tabla2[[#This Row],[Liquidez]])+Tabla2[[#This Row],[Comunicación]])</f>
        <v>5.0526058316119746</v>
      </c>
      <c r="T227">
        <f ca="1">Tabla2[[#This Row],[Deuda actual]]*EXP(Tabla2[[#This Row],[Ki]]*Tabla2[[#This Row],[diferencia de días]])*(1+Tabla2[[#This Row],[Hg]])</f>
        <v>7220.1630408917645</v>
      </c>
    </row>
    <row r="228" spans="1:20" ht="14.5" x14ac:dyDescent="0.35">
      <c r="A228">
        <f t="shared" si="33"/>
        <v>227</v>
      </c>
      <c r="B228">
        <f t="shared" ca="1" si="34"/>
        <v>46121</v>
      </c>
      <c r="C228">
        <f t="shared" ca="1" si="35"/>
        <v>46157</v>
      </c>
      <c r="D228">
        <f t="shared" ca="1" si="36"/>
        <v>11</v>
      </c>
      <c r="E228">
        <f t="shared" ca="1" si="37"/>
        <v>0.46222879521503346</v>
      </c>
      <c r="F228">
        <f t="shared" ca="1" si="38"/>
        <v>441.39</v>
      </c>
      <c r="G228" t="str">
        <f t="shared" ca="1" si="39"/>
        <v>personal</v>
      </c>
      <c r="H22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28" t="str">
        <f t="shared" ca="1" si="40"/>
        <v>No</v>
      </c>
      <c r="J22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11999.922817253973</v>
      </c>
      <c r="K228" t="str">
        <f ca="1">IF(Tabla2[[#This Row],[¿cliente deuda abierta?]]="Sí", Tabla2[[#This Row],[Deuda actual]]*Tabla2[[#This Row],[diferencia de días]], "0")</f>
        <v>0</v>
      </c>
      <c r="L22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2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2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28">
        <f t="shared" ca="1" si="41"/>
        <v>1046.8599999999999</v>
      </c>
      <c r="P228">
        <f t="shared" ca="1" si="42"/>
        <v>198197.15</v>
      </c>
      <c r="Q228">
        <f t="shared" ca="1" si="43"/>
        <v>3</v>
      </c>
      <c r="R228">
        <f ca="1">((Tabla2[[#This Row],[Fantasma Comunicación]]+1)/(Tabla2[[#This Row],[Fantasma Comunicación]]+RANDBETWEEN(0,5)+2))-0.5</f>
        <v>7.1428571428571397E-2</v>
      </c>
      <c r="S228">
        <f ca="1">1+MAX(0,Tabla2[[#This Row],[Deuda actual]]/Tabla2[[#This Row],[Liquidez]]+Tabla2[[#This Row],[Liquidez]]/(Tabla2[[#This Row],[Activos]]+Tabla2[[#This Row],[Liquidez]])+Tabla2[[#This Row],[Comunicación]])</f>
        <v>1.4983150418479028</v>
      </c>
      <c r="T228">
        <f ca="1">Tabla2[[#This Row],[Deuda actual]]*EXP(Tabla2[[#This Row],[Ki]]*Tabla2[[#This Row],[diferencia de días]])*(1+Tabla2[[#This Row],[Hg]])</f>
        <v>398.12591425279595</v>
      </c>
    </row>
    <row r="229" spans="1:20" ht="14.5" x14ac:dyDescent="0.35">
      <c r="A229">
        <f t="shared" si="33"/>
        <v>228</v>
      </c>
      <c r="B229">
        <f t="shared" ca="1" si="34"/>
        <v>46116</v>
      </c>
      <c r="C229">
        <f t="shared" ca="1" si="35"/>
        <v>46157</v>
      </c>
      <c r="D229">
        <f t="shared" ca="1" si="36"/>
        <v>3</v>
      </c>
      <c r="E229">
        <f t="shared" ca="1" si="37"/>
        <v>0.24986348517230339</v>
      </c>
      <c r="F229">
        <f t="shared" ca="1" si="38"/>
        <v>10000</v>
      </c>
      <c r="G229" t="str">
        <f t="shared" ca="1" si="39"/>
        <v>hipotecario</v>
      </c>
      <c r="H22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29" t="str">
        <f t="shared" ca="1" si="40"/>
        <v>No</v>
      </c>
      <c r="J22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165000.85549857415</v>
      </c>
      <c r="K229" t="str">
        <f ca="1">IF(Tabla2[[#This Row],[¿cliente deuda abierta?]]="Sí", Tabla2[[#This Row],[Deuda actual]]*Tabla2[[#This Row],[diferencia de días]], "0")</f>
        <v>0</v>
      </c>
      <c r="L22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2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229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229">
        <f t="shared" ca="1" si="41"/>
        <v>1934.09</v>
      </c>
      <c r="P229">
        <f t="shared" ca="1" si="42"/>
        <v>57929.440000000002</v>
      </c>
      <c r="Q229">
        <f t="shared" ca="1" si="43"/>
        <v>2</v>
      </c>
      <c r="R229">
        <f ca="1">((Tabla2[[#This Row],[Fantasma Comunicación]]+1)/(Tabla2[[#This Row],[Fantasma Comunicación]]+RANDBETWEEN(0,5)+2))-0.5</f>
        <v>-7.1428571428571452E-2</v>
      </c>
      <c r="S229">
        <f ca="1">1+MAX(0,Tabla2[[#This Row],[Deuda actual]]/Tabla2[[#This Row],[Liquidez]]+Tabla2[[#This Row],[Liquidez]]/(Tabla2[[#This Row],[Activos]]+Tabla2[[#This Row],[Liquidez]])+Tabla2[[#This Row],[Comunicación]])</f>
        <v>6.1312699565245268</v>
      </c>
      <c r="T229">
        <f ca="1">Tabla2[[#This Row],[Deuda actual]]*EXP(Tabla2[[#This Row],[Ki]]*Tabla2[[#This Row],[diferencia de días]])*(1+Tabla2[[#This Row],[Hg]])</f>
        <v>8004.8014402880435</v>
      </c>
    </row>
    <row r="230" spans="1:20" ht="14.5" x14ac:dyDescent="0.35">
      <c r="A230">
        <f t="shared" si="33"/>
        <v>229</v>
      </c>
      <c r="B230">
        <f t="shared" ca="1" si="34"/>
        <v>46143</v>
      </c>
      <c r="C230">
        <f t="shared" ca="1" si="35"/>
        <v>46157</v>
      </c>
      <c r="D230">
        <f t="shared" ca="1" si="36"/>
        <v>15</v>
      </c>
      <c r="E230">
        <f t="shared" ca="1" si="37"/>
        <v>0.29040483223342139</v>
      </c>
      <c r="F230">
        <f t="shared" ca="1" si="38"/>
        <v>4092.36</v>
      </c>
      <c r="G230" t="str">
        <f t="shared" ca="1" si="39"/>
        <v>personal</v>
      </c>
      <c r="H23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30" t="str">
        <f t="shared" ca="1" si="40"/>
        <v>Sí</v>
      </c>
      <c r="J23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30">
        <f ca="1">IF(Tabla2[[#This Row],[¿cliente deuda abierta?]]="Sí", Tabla2[[#This Row],[Deuda actual]]*Tabla2[[#This Row],[diferencia de días]], "0")</f>
        <v>61385.4</v>
      </c>
      <c r="L23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23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30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230">
        <f t="shared" ca="1" si="41"/>
        <v>1956.31</v>
      </c>
      <c r="P230">
        <f t="shared" ca="1" si="42"/>
        <v>350132.89</v>
      </c>
      <c r="Q230">
        <f t="shared" ca="1" si="43"/>
        <v>1</v>
      </c>
      <c r="R230">
        <f ca="1">((Tabla2[[#This Row],[Fantasma Comunicación]]+1)/(Tabla2[[#This Row],[Fantasma Comunicación]]+RANDBETWEEN(0,5)+2))-0.5</f>
        <v>-0.25</v>
      </c>
      <c r="S230">
        <f ca="1">1+MAX(0,Tabla2[[#This Row],[Deuda actual]]/Tabla2[[#This Row],[Liquidez]]+Tabla2[[#This Row],[Liquidez]]/(Tabla2[[#This Row],[Activos]]+Tabla2[[#This Row],[Liquidez]])+Tabla2[[#This Row],[Comunicación]])</f>
        <v>2.8474333450991169</v>
      </c>
      <c r="T230">
        <f ca="1">Tabla2[[#This Row],[Deuda actual]]*EXP(Tabla2[[#This Row],[Ki]]*Tabla2[[#This Row],[diferencia de días]])*(1+Tabla2[[#This Row],[Hg]])</f>
        <v>4734.5361655301449</v>
      </c>
    </row>
    <row r="231" spans="1:20" ht="14.5" x14ac:dyDescent="0.35">
      <c r="A231">
        <f t="shared" si="33"/>
        <v>230</v>
      </c>
      <c r="B231">
        <f t="shared" ca="1" si="34"/>
        <v>46135</v>
      </c>
      <c r="C231">
        <f t="shared" ca="1" si="35"/>
        <v>46157</v>
      </c>
      <c r="D231">
        <f t="shared" ca="1" si="36"/>
        <v>14</v>
      </c>
      <c r="E231">
        <f t="shared" ca="1" si="37"/>
        <v>0.7982730814342206</v>
      </c>
      <c r="F231">
        <f t="shared" ca="1" si="38"/>
        <v>898.94</v>
      </c>
      <c r="G231" t="str">
        <f t="shared" ca="1" si="39"/>
        <v>hipotecario</v>
      </c>
      <c r="H23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31" t="str">
        <f t="shared" ca="1" si="40"/>
        <v>Sí</v>
      </c>
      <c r="J23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31">
        <f ca="1">IF(Tabla2[[#This Row],[¿cliente deuda abierta?]]="Sí", Tabla2[[#This Row],[Deuda actual]]*Tabla2[[#This Row],[diferencia de días]], "0")</f>
        <v>12585.16</v>
      </c>
      <c r="L23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3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3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31">
        <f t="shared" ca="1" si="41"/>
        <v>2180.0300000000002</v>
      </c>
      <c r="P231">
        <f t="shared" ca="1" si="42"/>
        <v>96842.95</v>
      </c>
      <c r="Q231">
        <f t="shared" ca="1" si="43"/>
        <v>3</v>
      </c>
      <c r="R231">
        <f ca="1">((Tabla2[[#This Row],[Fantasma Comunicación]]+1)/(Tabla2[[#This Row],[Fantasma Comunicación]]+RANDBETWEEN(0,5)+2))-0.5</f>
        <v>0.16666666666666663</v>
      </c>
      <c r="S231">
        <f ca="1">1+MAX(0,Tabla2[[#This Row],[Deuda actual]]/Tabla2[[#This Row],[Liquidez]]+Tabla2[[#This Row],[Liquidez]]/(Tabla2[[#This Row],[Activos]]+Tabla2[[#This Row],[Liquidez]])+Tabla2[[#This Row],[Comunicación]])</f>
        <v>1.6010341850716725</v>
      </c>
      <c r="T231">
        <f ca="1">Tabla2[[#This Row],[Deuda actual]]*EXP(Tabla2[[#This Row],[Ki]]*Tabla2[[#This Row],[diferencia de días]])*(1+Tabla2[[#This Row],[Hg]])</f>
        <v>946.53358709282668</v>
      </c>
    </row>
    <row r="232" spans="1:20" ht="14.5" x14ac:dyDescent="0.35">
      <c r="A232">
        <f t="shared" si="33"/>
        <v>231</v>
      </c>
      <c r="B232">
        <f t="shared" ca="1" si="34"/>
        <v>46099</v>
      </c>
      <c r="C232">
        <f t="shared" ca="1" si="35"/>
        <v>46157</v>
      </c>
      <c r="D232">
        <f t="shared" ca="1" si="36"/>
        <v>12</v>
      </c>
      <c r="E232">
        <f t="shared" ca="1" si="37"/>
        <v>0.89987274674675122</v>
      </c>
      <c r="F232">
        <f t="shared" ca="1" si="38"/>
        <v>1677.77</v>
      </c>
      <c r="G232" t="str">
        <f t="shared" ca="1" si="39"/>
        <v>hipotecario</v>
      </c>
      <c r="H23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32" t="str">
        <f t="shared" ca="1" si="40"/>
        <v>Sí</v>
      </c>
      <c r="J23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32">
        <f ca="1">IF(Tabla2[[#This Row],[¿cliente deuda abierta?]]="Sí", Tabla2[[#This Row],[Deuda actual]]*Tabla2[[#This Row],[diferencia de días]], "0")</f>
        <v>20133.239999999998</v>
      </c>
      <c r="L23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3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3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32">
        <f t="shared" ca="1" si="41"/>
        <v>1877.63</v>
      </c>
      <c r="P232">
        <f t="shared" ca="1" si="42"/>
        <v>143570.12</v>
      </c>
      <c r="Q232">
        <f t="shared" ca="1" si="43"/>
        <v>3</v>
      </c>
      <c r="R232">
        <f ca="1">((Tabla2[[#This Row],[Fantasma Comunicación]]+1)/(Tabla2[[#This Row],[Fantasma Comunicación]]+RANDBETWEEN(0,5)+2))-0.5</f>
        <v>0.16666666666666663</v>
      </c>
      <c r="S232">
        <f ca="1">1+MAX(0,Tabla2[[#This Row],[Deuda actual]]/Tabla2[[#This Row],[Liquidez]]+Tabla2[[#This Row],[Liquidez]]/(Tabla2[[#This Row],[Activos]]+Tabla2[[#This Row],[Liquidez]])+Tabla2[[#This Row],[Comunicación]])</f>
        <v>2.0731332796455826</v>
      </c>
      <c r="T232">
        <f ca="1">Tabla2[[#This Row],[Deuda actual]]*EXP(Tabla2[[#This Row],[Ki]]*Tabla2[[#This Row],[diferencia de días]])*(1+Tabla2[[#This Row],[Hg]])</f>
        <v>1765.8915580377775</v>
      </c>
    </row>
    <row r="233" spans="1:20" ht="14.5" x14ac:dyDescent="0.35">
      <c r="A233">
        <f t="shared" si="33"/>
        <v>232</v>
      </c>
      <c r="B233">
        <f t="shared" ca="1" si="34"/>
        <v>46124</v>
      </c>
      <c r="C233">
        <f t="shared" ca="1" si="35"/>
        <v>46157</v>
      </c>
      <c r="D233">
        <f t="shared" ca="1" si="36"/>
        <v>76</v>
      </c>
      <c r="E233">
        <f t="shared" ca="1" si="37"/>
        <v>0.69118598390150854</v>
      </c>
      <c r="F233">
        <f t="shared" ca="1" si="38"/>
        <v>9888.16</v>
      </c>
      <c r="G233" t="str">
        <f t="shared" ca="1" si="39"/>
        <v>personal</v>
      </c>
      <c r="H23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233" t="str">
        <f t="shared" ca="1" si="40"/>
        <v>No</v>
      </c>
      <c r="J23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11999.940984995865</v>
      </c>
      <c r="K233" t="str">
        <f ca="1">IF(Tabla2[[#This Row],[¿cliente deuda abierta?]]="Sí", Tabla2[[#This Row],[Deuda actual]]*Tabla2[[#This Row],[diferencia de días]], "0")</f>
        <v>0</v>
      </c>
      <c r="L23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3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3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33">
        <f t="shared" ca="1" si="41"/>
        <v>1840.4</v>
      </c>
      <c r="P233">
        <f t="shared" ca="1" si="42"/>
        <v>48050.11</v>
      </c>
      <c r="Q233">
        <f t="shared" ca="1" si="43"/>
        <v>5</v>
      </c>
      <c r="R233">
        <f ca="1">((Tabla2[[#This Row],[Fantasma Comunicación]]+1)/(Tabla2[[#This Row],[Fantasma Comunicación]]+RANDBETWEEN(0,5)+2))-0.5</f>
        <v>0.16666666666666663</v>
      </c>
      <c r="S233">
        <f ca="1">1+MAX(0,Tabla2[[#This Row],[Deuda actual]]/Tabla2[[#This Row],[Liquidez]]+Tabla2[[#This Row],[Liquidez]]/(Tabla2[[#This Row],[Activos]]+Tabla2[[#This Row],[Liquidez]])+Tabla2[[#This Row],[Comunicación]])</f>
        <v>6.5763874387600172</v>
      </c>
      <c r="T233">
        <f ca="1">Tabla2[[#This Row],[Deuda actual]]*EXP(Tabla2[[#This Row],[Ki]]*Tabla2[[#This Row],[diferencia de días]])*(1+Tabla2[[#This Row],[Hg]])</f>
        <v>9602.0591105511794</v>
      </c>
    </row>
    <row r="234" spans="1:20" ht="14.5" x14ac:dyDescent="0.35">
      <c r="A234">
        <f t="shared" si="33"/>
        <v>233</v>
      </c>
      <c r="B234">
        <f t="shared" ca="1" si="34"/>
        <v>46107</v>
      </c>
      <c r="C234">
        <f t="shared" ca="1" si="35"/>
        <v>46157</v>
      </c>
      <c r="D234">
        <f t="shared" ca="1" si="36"/>
        <v>16</v>
      </c>
      <c r="E234">
        <f t="shared" ca="1" si="37"/>
        <v>0.93126586694413727</v>
      </c>
      <c r="F234">
        <f t="shared" ca="1" si="38"/>
        <v>337.33</v>
      </c>
      <c r="G234" t="str">
        <f t="shared" ca="1" si="39"/>
        <v>personal</v>
      </c>
      <c r="H23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34" t="str">
        <f t="shared" ca="1" si="40"/>
        <v>No</v>
      </c>
      <c r="J23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11998.683289719967</v>
      </c>
      <c r="K234" t="str">
        <f ca="1">IF(Tabla2[[#This Row],[¿cliente deuda abierta?]]="Sí", Tabla2[[#This Row],[Deuda actual]]*Tabla2[[#This Row],[diferencia de días]], "0")</f>
        <v>0</v>
      </c>
      <c r="L23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3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3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34">
        <f t="shared" ca="1" si="41"/>
        <v>1540.46</v>
      </c>
      <c r="P234">
        <f t="shared" ca="1" si="42"/>
        <v>252615.47</v>
      </c>
      <c r="Q234">
        <f t="shared" ca="1" si="43"/>
        <v>3</v>
      </c>
      <c r="R234">
        <f ca="1">((Tabla2[[#This Row],[Fantasma Comunicación]]+1)/(Tabla2[[#This Row],[Fantasma Comunicación]]+RANDBETWEEN(0,5)+2))-0.5</f>
        <v>7.1428571428571397E-2</v>
      </c>
      <c r="S234">
        <f ca="1">1+MAX(0,Tabla2[[#This Row],[Deuda actual]]/Tabla2[[#This Row],[Liquidez]]+Tabla2[[#This Row],[Liquidez]]/(Tabla2[[#This Row],[Activos]]+Tabla2[[#This Row],[Liquidez]])+Tabla2[[#This Row],[Comunicación]])</f>
        <v>1.2964696986157391</v>
      </c>
      <c r="T234">
        <f ca="1">Tabla2[[#This Row],[Deuda actual]]*EXP(Tabla2[[#This Row],[Ki]]*Tabla2[[#This Row],[diferencia de días]])*(1+Tabla2[[#This Row],[Hg]])</f>
        <v>305.54625175216552</v>
      </c>
    </row>
    <row r="235" spans="1:20" ht="14.5" x14ac:dyDescent="0.35">
      <c r="A235">
        <f t="shared" si="33"/>
        <v>234</v>
      </c>
      <c r="B235">
        <f t="shared" ca="1" si="34"/>
        <v>46107</v>
      </c>
      <c r="C235">
        <f t="shared" ca="1" si="35"/>
        <v>46157</v>
      </c>
      <c r="D235">
        <f t="shared" ca="1" si="36"/>
        <v>4</v>
      </c>
      <c r="E235">
        <f t="shared" ca="1" si="37"/>
        <v>0.13913217307414338</v>
      </c>
      <c r="F235">
        <f t="shared" ca="1" si="38"/>
        <v>3274.14</v>
      </c>
      <c r="G235" t="str">
        <f t="shared" ca="1" si="39"/>
        <v>personal</v>
      </c>
      <c r="H23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35" t="str">
        <f t="shared" ca="1" si="40"/>
        <v>Sí</v>
      </c>
      <c r="J23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35">
        <f ca="1">IF(Tabla2[[#This Row],[¿cliente deuda abierta?]]="Sí", Tabla2[[#This Row],[Deuda actual]]*Tabla2[[#This Row],[diferencia de días]], "0")</f>
        <v>13096.56</v>
      </c>
      <c r="L23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3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3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35">
        <f t="shared" ca="1" si="41"/>
        <v>2072.6</v>
      </c>
      <c r="P235">
        <f t="shared" ca="1" si="42"/>
        <v>206387.47</v>
      </c>
      <c r="Q235">
        <f t="shared" ca="1" si="43"/>
        <v>3</v>
      </c>
      <c r="R235">
        <f ca="1">((Tabla2[[#This Row],[Fantasma Comunicación]]+1)/(Tabla2[[#This Row],[Fantasma Comunicación]]+RANDBETWEEN(0,5)+2))-0.5</f>
        <v>0.16666666666666663</v>
      </c>
      <c r="S235">
        <f ca="1">1+MAX(0,Tabla2[[#This Row],[Deuda actual]]/Tabla2[[#This Row],[Liquidez]]+Tabla2[[#This Row],[Liquidez]]/(Tabla2[[#This Row],[Activos]]+Tabla2[[#This Row],[Liquidez]])+Tabla2[[#This Row],[Comunicación]])</f>
        <v>2.7563350464120915</v>
      </c>
      <c r="T235">
        <f ca="1">Tabla2[[#This Row],[Deuda actual]]*EXP(Tabla2[[#This Row],[Ki]]*Tabla2[[#This Row],[diferencia de días]])*(1+Tabla2[[#This Row],[Hg]])</f>
        <v>3440.5983780044617</v>
      </c>
    </row>
    <row r="236" spans="1:20" ht="14.5" x14ac:dyDescent="0.35">
      <c r="A236">
        <f t="shared" si="33"/>
        <v>235</v>
      </c>
      <c r="B236">
        <f t="shared" ca="1" si="34"/>
        <v>46094</v>
      </c>
      <c r="C236">
        <f t="shared" ca="1" si="35"/>
        <v>46157</v>
      </c>
      <c r="D236">
        <f t="shared" ca="1" si="36"/>
        <v>5</v>
      </c>
      <c r="E236">
        <f t="shared" ca="1" si="37"/>
        <v>0.47175734007598491</v>
      </c>
      <c r="F236">
        <f t="shared" ca="1" si="38"/>
        <v>10000</v>
      </c>
      <c r="G236" t="str">
        <f t="shared" ca="1" si="39"/>
        <v>personal</v>
      </c>
      <c r="H23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36" t="str">
        <f t="shared" ca="1" si="40"/>
        <v>Sí</v>
      </c>
      <c r="J23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36">
        <f ca="1">IF(Tabla2[[#This Row],[¿cliente deuda abierta?]]="Sí", Tabla2[[#This Row],[Deuda actual]]*Tabla2[[#This Row],[diferencia de días]], "0")</f>
        <v>50000</v>
      </c>
      <c r="L23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23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36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236">
        <f t="shared" ca="1" si="41"/>
        <v>1068.5999999999999</v>
      </c>
      <c r="P236">
        <f t="shared" ca="1" si="42"/>
        <v>62678.68</v>
      </c>
      <c r="Q236">
        <f t="shared" ca="1" si="43"/>
        <v>5</v>
      </c>
      <c r="R236">
        <f ca="1">((Tabla2[[#This Row],[Fantasma Comunicación]]+1)/(Tabla2[[#This Row],[Fantasma Comunicación]]+RANDBETWEEN(0,5)+2))-0.5</f>
        <v>0.3571428571428571</v>
      </c>
      <c r="S236">
        <f ca="1">1+MAX(0,Tabla2[[#This Row],[Deuda actual]]/Tabla2[[#This Row],[Liquidez]]+Tabla2[[#This Row],[Liquidez]]/(Tabla2[[#This Row],[Activos]]+Tabla2[[#This Row],[Liquidez]])+Tabla2[[#This Row],[Comunicación]])</f>
        <v>10.731944480427122</v>
      </c>
      <c r="T236">
        <f ca="1">Tabla2[[#This Row],[Deuda actual]]*EXP(Tabla2[[#This Row],[Ki]]*Tabla2[[#This Row],[diferencia de días]])*(1+Tabla2[[#This Row],[Hg]])</f>
        <v>11011.005501833792</v>
      </c>
    </row>
    <row r="237" spans="1:20" ht="14.5" x14ac:dyDescent="0.35">
      <c r="A237">
        <f t="shared" si="33"/>
        <v>236</v>
      </c>
      <c r="B237">
        <f t="shared" ca="1" si="34"/>
        <v>46142</v>
      </c>
      <c r="C237">
        <f t="shared" ca="1" si="35"/>
        <v>46157</v>
      </c>
      <c r="D237">
        <f t="shared" ca="1" si="36"/>
        <v>18</v>
      </c>
      <c r="E237">
        <f t="shared" ca="1" si="37"/>
        <v>0.31285298619612523</v>
      </c>
      <c r="F237">
        <f t="shared" ca="1" si="38"/>
        <v>2008.84</v>
      </c>
      <c r="G237" t="str">
        <f t="shared" ca="1" si="39"/>
        <v>personal</v>
      </c>
      <c r="H23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37" t="str">
        <f t="shared" ca="1" si="40"/>
        <v>No</v>
      </c>
      <c r="J23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12001.754360294568</v>
      </c>
      <c r="K237" t="str">
        <f ca="1">IF(Tabla2[[#This Row],[¿cliente deuda abierta?]]="Sí", Tabla2[[#This Row],[Deuda actual]]*Tabla2[[#This Row],[diferencia de días]], "0")</f>
        <v>0</v>
      </c>
      <c r="L23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3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37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37">
        <f t="shared" ca="1" si="41"/>
        <v>1523.69</v>
      </c>
      <c r="P237">
        <f t="shared" ca="1" si="42"/>
        <v>162097.39000000001</v>
      </c>
      <c r="Q237">
        <f t="shared" ca="1" si="43"/>
        <v>1</v>
      </c>
      <c r="R237">
        <f ca="1">((Tabla2[[#This Row],[Fantasma Comunicación]]+1)/(Tabla2[[#This Row],[Fantasma Comunicación]]+RANDBETWEEN(0,5)+2))-0.5</f>
        <v>0.16666666666666663</v>
      </c>
      <c r="S237">
        <f ca="1">1+MAX(0,Tabla2[[#This Row],[Deuda actual]]/Tabla2[[#This Row],[Liquidez]]+Tabla2[[#This Row],[Liquidez]]/(Tabla2[[#This Row],[Activos]]+Tabla2[[#This Row],[Liquidez]])+Tabla2[[#This Row],[Comunicación]])</f>
        <v>2.4943836376908886</v>
      </c>
      <c r="T237">
        <f ca="1">Tabla2[[#This Row],[Deuda actual]]*EXP(Tabla2[[#This Row],[Ki]]*Tabla2[[#This Row],[diferencia de días]])*(1+Tabla2[[#This Row],[Hg]])</f>
        <v>1821.0202580915836</v>
      </c>
    </row>
    <row r="238" spans="1:20" ht="14.5" x14ac:dyDescent="0.35">
      <c r="A238">
        <f t="shared" si="33"/>
        <v>237</v>
      </c>
      <c r="B238">
        <f t="shared" ca="1" si="34"/>
        <v>46123</v>
      </c>
      <c r="C238">
        <f t="shared" ca="1" si="35"/>
        <v>46157</v>
      </c>
      <c r="D238">
        <f t="shared" ca="1" si="36"/>
        <v>12</v>
      </c>
      <c r="E238">
        <f t="shared" ca="1" si="37"/>
        <v>0.91729126834297436</v>
      </c>
      <c r="F238">
        <f t="shared" ca="1" si="38"/>
        <v>566.6</v>
      </c>
      <c r="G238" t="str">
        <f t="shared" ca="1" si="39"/>
        <v>personal</v>
      </c>
      <c r="H23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38" t="str">
        <f t="shared" ca="1" si="40"/>
        <v>No</v>
      </c>
      <c r="J23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11998.771933742726</v>
      </c>
      <c r="K238" t="str">
        <f ca="1">IF(Tabla2[[#This Row],[¿cliente deuda abierta?]]="Sí", Tabla2[[#This Row],[Deuda actual]]*Tabla2[[#This Row],[diferencia de días]], "0")</f>
        <v>0</v>
      </c>
      <c r="L23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3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3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38">
        <f t="shared" ca="1" si="41"/>
        <v>1433.39</v>
      </c>
      <c r="P238">
        <f t="shared" ca="1" si="42"/>
        <v>102963.54</v>
      </c>
      <c r="Q238">
        <f t="shared" ca="1" si="43"/>
        <v>3</v>
      </c>
      <c r="R238">
        <f ca="1">((Tabla2[[#This Row],[Fantasma Comunicación]]+1)/(Tabla2[[#This Row],[Fantasma Comunicación]]+RANDBETWEEN(0,5)+2))-0.5</f>
        <v>-5.555555555555558E-2</v>
      </c>
      <c r="S238">
        <f ca="1">1+MAX(0,Tabla2[[#This Row],[Deuda actual]]/Tabla2[[#This Row],[Liquidez]]+Tabla2[[#This Row],[Liquidez]]/(Tabla2[[#This Row],[Activos]]+Tabla2[[#This Row],[Liquidez]])+Tabla2[[#This Row],[Comunicación]])</f>
        <v>1.3534613354360745</v>
      </c>
      <c r="T238">
        <f ca="1">Tabla2[[#This Row],[Deuda actual]]*EXP(Tabla2[[#This Row],[Ki]]*Tabla2[[#This Row],[diferencia de días]])*(1+Tabla2[[#This Row],[Hg]])</f>
        <v>511.16532580280699</v>
      </c>
    </row>
    <row r="239" spans="1:20" ht="14.5" x14ac:dyDescent="0.35">
      <c r="A239">
        <f t="shared" si="33"/>
        <v>238</v>
      </c>
      <c r="B239">
        <f t="shared" ca="1" si="34"/>
        <v>46100</v>
      </c>
      <c r="C239">
        <f t="shared" ca="1" si="35"/>
        <v>46157</v>
      </c>
      <c r="D239">
        <f t="shared" ca="1" si="36"/>
        <v>32</v>
      </c>
      <c r="E239">
        <f t="shared" ca="1" si="37"/>
        <v>0.98914924611595911</v>
      </c>
      <c r="F239">
        <f t="shared" ca="1" si="38"/>
        <v>715.33</v>
      </c>
      <c r="G239" t="str">
        <f t="shared" ca="1" si="39"/>
        <v>hipotecario</v>
      </c>
      <c r="H23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239" t="str">
        <f t="shared" ca="1" si="40"/>
        <v>Sí</v>
      </c>
      <c r="J23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39">
        <f ca="1">IF(Tabla2[[#This Row],[¿cliente deuda abierta?]]="Sí", Tabla2[[#This Row],[Deuda actual]]*Tabla2[[#This Row],[diferencia de días]], "0")</f>
        <v>22890.560000000001</v>
      </c>
      <c r="L23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3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3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39">
        <f t="shared" ca="1" si="41"/>
        <v>1221.02</v>
      </c>
      <c r="P239">
        <f t="shared" ca="1" si="42"/>
        <v>138026.65</v>
      </c>
      <c r="Q239">
        <f t="shared" ca="1" si="43"/>
        <v>5</v>
      </c>
      <c r="R239">
        <f ca="1">((Tabla2[[#This Row],[Fantasma Comunicación]]+1)/(Tabla2[[#This Row],[Fantasma Comunicación]]+RANDBETWEEN(0,5)+2))-0.5</f>
        <v>9.9999999999999978E-2</v>
      </c>
      <c r="S239">
        <f ca="1">1+MAX(0,Tabla2[[#This Row],[Deuda actual]]/Tabla2[[#This Row],[Liquidez]]+Tabla2[[#This Row],[Liquidez]]/(Tabla2[[#This Row],[Activos]]+Tabla2[[#This Row],[Liquidez]])+Tabla2[[#This Row],[Comunicación]])</f>
        <v>1.6946149521876035</v>
      </c>
      <c r="T239">
        <f ca="1">Tabla2[[#This Row],[Deuda actual]]*EXP(Tabla2[[#This Row],[Ki]]*Tabla2[[#This Row],[diferencia de días]])*(1+Tabla2[[#This Row],[Hg]])</f>
        <v>775.52028442340588</v>
      </c>
    </row>
    <row r="240" spans="1:20" ht="14.5" x14ac:dyDescent="0.35">
      <c r="A240">
        <f t="shared" si="33"/>
        <v>239</v>
      </c>
      <c r="B240">
        <f t="shared" ca="1" si="34"/>
        <v>46143</v>
      </c>
      <c r="C240">
        <f t="shared" ca="1" si="35"/>
        <v>46157</v>
      </c>
      <c r="D240">
        <f t="shared" ca="1" si="36"/>
        <v>19</v>
      </c>
      <c r="E240">
        <f t="shared" ca="1" si="37"/>
        <v>0.64976813371256015</v>
      </c>
      <c r="F240">
        <f t="shared" ca="1" si="38"/>
        <v>1123.7</v>
      </c>
      <c r="G240" t="str">
        <f t="shared" ca="1" si="39"/>
        <v>personal</v>
      </c>
      <c r="H24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40" t="str">
        <f t="shared" ca="1" si="40"/>
        <v>No</v>
      </c>
      <c r="J24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11998.985175241241</v>
      </c>
      <c r="K240" t="str">
        <f ca="1">IF(Tabla2[[#This Row],[¿cliente deuda abierta?]]="Sí", Tabla2[[#This Row],[Deuda actual]]*Tabla2[[#This Row],[diferencia de días]], "0")</f>
        <v>0</v>
      </c>
      <c r="L24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4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40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40">
        <f t="shared" ca="1" si="41"/>
        <v>1316.78</v>
      </c>
      <c r="P240">
        <f t="shared" ca="1" si="42"/>
        <v>128149.97</v>
      </c>
      <c r="Q240">
        <f t="shared" ca="1" si="43"/>
        <v>4</v>
      </c>
      <c r="R240">
        <f ca="1">((Tabla2[[#This Row],[Fantasma Comunicación]]+1)/(Tabla2[[#This Row],[Fantasma Comunicación]]+RANDBETWEEN(0,5)+2))-0.5</f>
        <v>0.125</v>
      </c>
      <c r="S240">
        <f ca="1">1+MAX(0,Tabla2[[#This Row],[Deuda actual]]/Tabla2[[#This Row],[Liquidez]]+Tabla2[[#This Row],[Liquidez]]/(Tabla2[[#This Row],[Activos]]+Tabla2[[#This Row],[Liquidez]])+Tabla2[[#This Row],[Comunicación]])</f>
        <v>1.9885403801266057</v>
      </c>
      <c r="T240">
        <f ca="1">Tabla2[[#This Row],[Deuda actual]]*EXP(Tabla2[[#This Row],[Ki]]*Tabla2[[#This Row],[diferencia de días]])*(1+Tabla2[[#This Row],[Hg]])</f>
        <v>1019.0453893427978</v>
      </c>
    </row>
    <row r="241" spans="1:20" ht="14.5" x14ac:dyDescent="0.35">
      <c r="A241">
        <f t="shared" si="33"/>
        <v>240</v>
      </c>
      <c r="B241">
        <f t="shared" ca="1" si="34"/>
        <v>46096</v>
      </c>
      <c r="C241">
        <f t="shared" ca="1" si="35"/>
        <v>46157</v>
      </c>
      <c r="D241">
        <f t="shared" ca="1" si="36"/>
        <v>0</v>
      </c>
      <c r="E241">
        <f t="shared" ca="1" si="37"/>
        <v>0.25969628614673179</v>
      </c>
      <c r="F241">
        <f t="shared" ca="1" si="38"/>
        <v>807.42</v>
      </c>
      <c r="G241" t="str">
        <f t="shared" ca="1" si="39"/>
        <v>personal</v>
      </c>
      <c r="H24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41" t="str">
        <f t="shared" ca="1" si="40"/>
        <v>No</v>
      </c>
      <c r="J24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11999.650163945478</v>
      </c>
      <c r="K241" t="str">
        <f ca="1">IF(Tabla2[[#This Row],[¿cliente deuda abierta?]]="Sí", Tabla2[[#This Row],[Deuda actual]]*Tabla2[[#This Row],[diferencia de días]], "0")</f>
        <v>0</v>
      </c>
      <c r="L24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4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41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41">
        <f t="shared" ca="1" si="41"/>
        <v>1851.43</v>
      </c>
      <c r="P241">
        <f t="shared" ca="1" si="42"/>
        <v>221338.68</v>
      </c>
      <c r="Q241">
        <f t="shared" ca="1" si="43"/>
        <v>4</v>
      </c>
      <c r="R241">
        <f ca="1">((Tabla2[[#This Row],[Fantasma Comunicación]]+1)/(Tabla2[[#This Row],[Fantasma Comunicación]]+RANDBETWEEN(0,5)+2))-0.5</f>
        <v>0</v>
      </c>
      <c r="S241">
        <f ca="1">1+MAX(0,Tabla2[[#This Row],[Deuda actual]]/Tabla2[[#This Row],[Liquidez]]+Tabla2[[#This Row],[Liquidez]]/(Tabla2[[#This Row],[Activos]]+Tabla2[[#This Row],[Liquidez]])+Tabla2[[#This Row],[Comunicación]])</f>
        <v>1.4444014498210669</v>
      </c>
      <c r="T241">
        <f ca="1">Tabla2[[#This Row],[Deuda actual]]*EXP(Tabla2[[#This Row],[Ki]]*Tabla2[[#This Row],[diferencia de días]])*(1+Tabla2[[#This Row],[Hg]])</f>
        <v>726.678</v>
      </c>
    </row>
    <row r="242" spans="1:20" ht="14.5" x14ac:dyDescent="0.35">
      <c r="A242">
        <f t="shared" si="33"/>
        <v>241</v>
      </c>
      <c r="B242">
        <f t="shared" ca="1" si="34"/>
        <v>46100</v>
      </c>
      <c r="C242">
        <f t="shared" ca="1" si="35"/>
        <v>46157</v>
      </c>
      <c r="D242">
        <f t="shared" ca="1" si="36"/>
        <v>9</v>
      </c>
      <c r="E242">
        <f t="shared" ca="1" si="37"/>
        <v>0.66167591284014027</v>
      </c>
      <c r="F242">
        <f t="shared" ca="1" si="38"/>
        <v>1511.84</v>
      </c>
      <c r="G242" t="str">
        <f t="shared" ca="1" si="39"/>
        <v>hipotecario</v>
      </c>
      <c r="H24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42" t="str">
        <f t="shared" ca="1" si="40"/>
        <v>Sí</v>
      </c>
      <c r="J24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42">
        <f ca="1">IF(Tabla2[[#This Row],[¿cliente deuda abierta?]]="Sí", Tabla2[[#This Row],[Deuda actual]]*Tabla2[[#This Row],[diferencia de días]], "0")</f>
        <v>13606.56</v>
      </c>
      <c r="L24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4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4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42">
        <f t="shared" ca="1" si="41"/>
        <v>1857.4</v>
      </c>
      <c r="P242">
        <f t="shared" ca="1" si="42"/>
        <v>58806.23</v>
      </c>
      <c r="Q242">
        <f t="shared" ca="1" si="43"/>
        <v>1</v>
      </c>
      <c r="R242">
        <f ca="1">((Tabla2[[#This Row],[Fantasma Comunicación]]+1)/(Tabla2[[#This Row],[Fantasma Comunicación]]+RANDBETWEEN(0,5)+2))-0.5</f>
        <v>-0.25</v>
      </c>
      <c r="S242">
        <f ca="1">1+MAX(0,Tabla2[[#This Row],[Deuda actual]]/Tabla2[[#This Row],[Liquidez]]+Tabla2[[#This Row],[Liquidez]]/(Tabla2[[#This Row],[Activos]]+Tabla2[[#This Row],[Liquidez]])+Tabla2[[#This Row],[Comunicación]])</f>
        <v>1.5945730069470181</v>
      </c>
      <c r="T242">
        <f ca="1">Tabla2[[#This Row],[Deuda actual]]*EXP(Tabla2[[#This Row],[Ki]]*Tabla2[[#This Row],[diferencia de días]])*(1+Tabla2[[#This Row],[Hg]])</f>
        <v>1590.2919507835186</v>
      </c>
    </row>
    <row r="243" spans="1:20" ht="14.5" x14ac:dyDescent="0.35">
      <c r="A243">
        <f t="shared" si="33"/>
        <v>242</v>
      </c>
      <c r="B243">
        <f t="shared" ca="1" si="34"/>
        <v>46104</v>
      </c>
      <c r="C243">
        <f t="shared" ca="1" si="35"/>
        <v>46157</v>
      </c>
      <c r="D243">
        <f t="shared" ca="1" si="36"/>
        <v>3</v>
      </c>
      <c r="E243">
        <f t="shared" ca="1" si="37"/>
        <v>0.84610143899238832</v>
      </c>
      <c r="F243">
        <f t="shared" ca="1" si="38"/>
        <v>2403.7800000000002</v>
      </c>
      <c r="G243" t="str">
        <f t="shared" ca="1" si="39"/>
        <v>personal</v>
      </c>
      <c r="H24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43" t="str">
        <f t="shared" ca="1" si="40"/>
        <v>No</v>
      </c>
      <c r="J24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11998.476232984731</v>
      </c>
      <c r="K243" t="str">
        <f ca="1">IF(Tabla2[[#This Row],[¿cliente deuda abierta?]]="Sí", Tabla2[[#This Row],[Deuda actual]]*Tabla2[[#This Row],[diferencia de días]], "0")</f>
        <v>0</v>
      </c>
      <c r="L24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4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4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43">
        <f t="shared" ca="1" si="41"/>
        <v>1889.12</v>
      </c>
      <c r="P243">
        <f t="shared" ca="1" si="42"/>
        <v>113094.13</v>
      </c>
      <c r="Q243">
        <f t="shared" ca="1" si="43"/>
        <v>2</v>
      </c>
      <c r="R243">
        <f ca="1">((Tabla2[[#This Row],[Fantasma Comunicación]]+1)/(Tabla2[[#This Row],[Fantasma Comunicación]]+RANDBETWEEN(0,5)+2))-0.5</f>
        <v>-7.1428571428571452E-2</v>
      </c>
      <c r="S243">
        <f ca="1">1+MAX(0,Tabla2[[#This Row],[Deuda actual]]/Tabla2[[#This Row],[Liquidez]]+Tabla2[[#This Row],[Liquidez]]/(Tabla2[[#This Row],[Activos]]+Tabla2[[#This Row],[Liquidez]])+Tabla2[[#This Row],[Comunicación]])</f>
        <v>2.217434677757923</v>
      </c>
      <c r="T243">
        <f ca="1">Tabla2[[#This Row],[Deuda actual]]*EXP(Tabla2[[#This Row],[Ki]]*Tabla2[[#This Row],[diferencia de días]])*(1+Tabla2[[#This Row],[Hg]])</f>
        <v>2164.7004306902545</v>
      </c>
    </row>
    <row r="244" spans="1:20" ht="14.5" x14ac:dyDescent="0.35">
      <c r="A244">
        <f t="shared" si="33"/>
        <v>243</v>
      </c>
      <c r="B244">
        <f t="shared" ca="1" si="34"/>
        <v>46094</v>
      </c>
      <c r="C244">
        <f t="shared" ca="1" si="35"/>
        <v>46157</v>
      </c>
      <c r="D244">
        <f t="shared" ca="1" si="36"/>
        <v>4</v>
      </c>
      <c r="E244">
        <f t="shared" ca="1" si="37"/>
        <v>6.1126050654138897E-3</v>
      </c>
      <c r="F244">
        <f t="shared" ca="1" si="38"/>
        <v>130.74</v>
      </c>
      <c r="G244" t="str">
        <f t="shared" ca="1" si="39"/>
        <v>hipotecario</v>
      </c>
      <c r="H24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44" t="str">
        <f t="shared" ca="1" si="40"/>
        <v>No</v>
      </c>
      <c r="J24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164999.75562539382</v>
      </c>
      <c r="K244" t="str">
        <f ca="1">IF(Tabla2[[#This Row],[¿cliente deuda abierta?]]="Sí", Tabla2[[#This Row],[Deuda actual]]*Tabla2[[#This Row],[diferencia de días]], "0")</f>
        <v>0</v>
      </c>
      <c r="L24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4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244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244">
        <f t="shared" ca="1" si="41"/>
        <v>1210.3499999999999</v>
      </c>
      <c r="P244">
        <f t="shared" ca="1" si="42"/>
        <v>232723.92</v>
      </c>
      <c r="Q244">
        <f t="shared" ca="1" si="43"/>
        <v>0</v>
      </c>
      <c r="R244">
        <f ca="1">((Tabla2[[#This Row],[Fantasma Comunicación]]+1)/(Tabla2[[#This Row],[Fantasma Comunicación]]+RANDBETWEEN(0,5)+2))-0.5</f>
        <v>-0.16666666666666669</v>
      </c>
      <c r="S244">
        <f ca="1">1+MAX(0,Tabla2[[#This Row],[Deuda actual]]/Tabla2[[#This Row],[Liquidez]]+Tabla2[[#This Row],[Liquidez]]/(Tabla2[[#This Row],[Activos]]+Tabla2[[#This Row],[Liquidez]])+Tabla2[[#This Row],[Comunicación]])</f>
        <v>1</v>
      </c>
      <c r="T244">
        <f ca="1">Tabla2[[#This Row],[Deuda actual]]*EXP(Tabla2[[#This Row],[Ki]]*Tabla2[[#This Row],[diferencia de días]])*(1+Tabla2[[#This Row],[Hg]])</f>
        <v>104.67570707836697</v>
      </c>
    </row>
    <row r="245" spans="1:20" ht="14.5" x14ac:dyDescent="0.35">
      <c r="A245">
        <f t="shared" si="33"/>
        <v>244</v>
      </c>
      <c r="B245">
        <f t="shared" ca="1" si="34"/>
        <v>46104</v>
      </c>
      <c r="C245">
        <f t="shared" ca="1" si="35"/>
        <v>46157</v>
      </c>
      <c r="D245">
        <f t="shared" ca="1" si="36"/>
        <v>17</v>
      </c>
      <c r="E245">
        <f t="shared" ca="1" si="37"/>
        <v>0.44781261149559681</v>
      </c>
      <c r="F245">
        <f t="shared" ca="1" si="38"/>
        <v>701.53</v>
      </c>
      <c r="G245" t="str">
        <f t="shared" ca="1" si="39"/>
        <v>personal</v>
      </c>
      <c r="H24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45" t="str">
        <f t="shared" ca="1" si="40"/>
        <v>No</v>
      </c>
      <c r="J24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11999.090783471427</v>
      </c>
      <c r="K245" t="str">
        <f ca="1">IF(Tabla2[[#This Row],[¿cliente deuda abierta?]]="Sí", Tabla2[[#This Row],[Deuda actual]]*Tabla2[[#This Row],[diferencia de días]], "0")</f>
        <v>0</v>
      </c>
      <c r="L24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4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4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45">
        <f t="shared" ca="1" si="41"/>
        <v>1678.87</v>
      </c>
      <c r="P245">
        <f t="shared" ca="1" si="42"/>
        <v>82751.83</v>
      </c>
      <c r="Q245">
        <f t="shared" ca="1" si="43"/>
        <v>0</v>
      </c>
      <c r="R245">
        <f ca="1">((Tabla2[[#This Row],[Fantasma Comunicación]]+1)/(Tabla2[[#This Row],[Fantasma Comunicación]]+RANDBETWEEN(0,5)+2))-0.5</f>
        <v>-0.35714285714285715</v>
      </c>
      <c r="S245">
        <f ca="1">1+MAX(0,Tabla2[[#This Row],[Deuda actual]]/Tabla2[[#This Row],[Liquidez]]+Tabla2[[#This Row],[Liquidez]]/(Tabla2[[#This Row],[Activos]]+Tabla2[[#This Row],[Liquidez]])+Tabla2[[#This Row],[Comunicación]])</f>
        <v>1.0806001750979148</v>
      </c>
      <c r="T245">
        <f ca="1">Tabla2[[#This Row],[Deuda actual]]*EXP(Tabla2[[#This Row],[Ki]]*Tabla2[[#This Row],[diferencia de días]])*(1+Tabla2[[#This Row],[Hg]])</f>
        <v>635.68499418008764</v>
      </c>
    </row>
    <row r="246" spans="1:20" ht="14.5" x14ac:dyDescent="0.35">
      <c r="A246">
        <f t="shared" si="33"/>
        <v>245</v>
      </c>
      <c r="B246">
        <f t="shared" ca="1" si="34"/>
        <v>46143</v>
      </c>
      <c r="C246">
        <f t="shared" ca="1" si="35"/>
        <v>46157</v>
      </c>
      <c r="D246">
        <f t="shared" ca="1" si="36"/>
        <v>3</v>
      </c>
      <c r="E246">
        <f t="shared" ca="1" si="37"/>
        <v>0.43808221318861462</v>
      </c>
      <c r="F246">
        <f t="shared" ca="1" si="38"/>
        <v>411.95</v>
      </c>
      <c r="G246" t="str">
        <f t="shared" ca="1" si="39"/>
        <v>hipotecario</v>
      </c>
      <c r="H24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46" t="str">
        <f t="shared" ca="1" si="40"/>
        <v>Sí</v>
      </c>
      <c r="J24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46">
        <f ca="1">IF(Tabla2[[#This Row],[¿cliente deuda abierta?]]="Sí", Tabla2[[#This Row],[Deuda actual]]*Tabla2[[#This Row],[diferencia de días]], "0")</f>
        <v>1235.8499999999999</v>
      </c>
      <c r="L24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4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4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46">
        <f t="shared" ca="1" si="41"/>
        <v>1739.05</v>
      </c>
      <c r="P246">
        <f t="shared" ca="1" si="42"/>
        <v>167706.21</v>
      </c>
      <c r="Q246">
        <f t="shared" ca="1" si="43"/>
        <v>0</v>
      </c>
      <c r="R246">
        <f ca="1">((Tabla2[[#This Row],[Fantasma Comunicación]]+1)/(Tabla2[[#This Row],[Fantasma Comunicación]]+RANDBETWEEN(0,5)+2))-0.5</f>
        <v>-0.33333333333333337</v>
      </c>
      <c r="S246">
        <f ca="1">1+MAX(0,Tabla2[[#This Row],[Deuda actual]]/Tabla2[[#This Row],[Liquidez]]+Tabla2[[#This Row],[Liquidez]]/(Tabla2[[#This Row],[Activos]]+Tabla2[[#This Row],[Liquidez]])+Tabla2[[#This Row],[Comunicación]])</f>
        <v>1</v>
      </c>
      <c r="T246">
        <f ca="1">Tabla2[[#This Row],[Deuda actual]]*EXP(Tabla2[[#This Row],[Ki]]*Tabla2[[#This Row],[diferencia de días]])*(1+Tabla2[[#This Row],[Hg]])</f>
        <v>432.80710637412403</v>
      </c>
    </row>
    <row r="247" spans="1:20" ht="14.5" x14ac:dyDescent="0.35">
      <c r="A247">
        <f t="shared" si="33"/>
        <v>246</v>
      </c>
      <c r="B247">
        <f t="shared" ca="1" si="34"/>
        <v>46113</v>
      </c>
      <c r="C247">
        <f t="shared" ca="1" si="35"/>
        <v>46157</v>
      </c>
      <c r="D247">
        <f t="shared" ca="1" si="36"/>
        <v>19</v>
      </c>
      <c r="E247">
        <f t="shared" ca="1" si="37"/>
        <v>0.74578345526027945</v>
      </c>
      <c r="F247">
        <f t="shared" ca="1" si="38"/>
        <v>245.48</v>
      </c>
      <c r="G247" t="str">
        <f t="shared" ca="1" si="39"/>
        <v>hipotecario</v>
      </c>
      <c r="H24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47" t="str">
        <f t="shared" ca="1" si="40"/>
        <v>No</v>
      </c>
      <c r="J24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165000.1983681983</v>
      </c>
      <c r="K247" t="str">
        <f ca="1">IF(Tabla2[[#This Row],[¿cliente deuda abierta?]]="Sí", Tabla2[[#This Row],[Deuda actual]]*Tabla2[[#This Row],[diferencia de días]], "0")</f>
        <v>0</v>
      </c>
      <c r="L24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4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24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247">
        <f t="shared" ca="1" si="41"/>
        <v>2107.6</v>
      </c>
      <c r="P247">
        <f t="shared" ca="1" si="42"/>
        <v>68233.039999999994</v>
      </c>
      <c r="Q247">
        <f t="shared" ca="1" si="43"/>
        <v>3</v>
      </c>
      <c r="R247">
        <f ca="1">((Tabla2[[#This Row],[Fantasma Comunicación]]+1)/(Tabla2[[#This Row],[Fantasma Comunicación]]+RANDBETWEEN(0,5)+2))-0.5</f>
        <v>7.1428571428571397E-2</v>
      </c>
      <c r="S247">
        <f ca="1">1+MAX(0,Tabla2[[#This Row],[Deuda actual]]/Tabla2[[#This Row],[Liquidez]]+Tabla2[[#This Row],[Liquidez]]/(Tabla2[[#This Row],[Activos]]+Tabla2[[#This Row],[Liquidez]])+Tabla2[[#This Row],[Comunicación]])</f>
        <v>1.2178650496637107</v>
      </c>
      <c r="T247">
        <f ca="1">Tabla2[[#This Row],[Deuda actual]]*EXP(Tabla2[[#This Row],[Ki]]*Tabla2[[#This Row],[diferencia de días]])*(1+Tabla2[[#This Row],[Hg]])</f>
        <v>197.88220436523784</v>
      </c>
    </row>
    <row r="248" spans="1:20" ht="14.5" x14ac:dyDescent="0.35">
      <c r="A248">
        <f t="shared" si="33"/>
        <v>247</v>
      </c>
      <c r="B248">
        <f t="shared" ca="1" si="34"/>
        <v>46123</v>
      </c>
      <c r="C248">
        <f t="shared" ca="1" si="35"/>
        <v>46157</v>
      </c>
      <c r="D248">
        <f t="shared" ca="1" si="36"/>
        <v>151</v>
      </c>
      <c r="E248">
        <f t="shared" ca="1" si="37"/>
        <v>0.44492130166740063</v>
      </c>
      <c r="F248">
        <f t="shared" ca="1" si="38"/>
        <v>2606.44</v>
      </c>
      <c r="G248" t="str">
        <f t="shared" ca="1" si="39"/>
        <v>hipotecario</v>
      </c>
      <c r="H24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0</v>
      </c>
      <c r="I248" t="str">
        <f t="shared" ca="1" si="40"/>
        <v>No</v>
      </c>
      <c r="J24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165000.45701070875</v>
      </c>
      <c r="K248" t="str">
        <f ca="1">IF(Tabla2[[#This Row],[¿cliente deuda abierta?]]="Sí", Tabla2[[#This Row],[Deuda actual]]*Tabla2[[#This Row],[diferencia de días]], "0")</f>
        <v>0</v>
      </c>
      <c r="L24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0.5</v>
      </c>
      <c r="M24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248">
        <f ca="1">MAX(Tabla2[[#This Row],[VALORES DE Hg para actuales deudores]:[Valores de HG para deudores cerrados]])*IF(Tabla2[[#This Row],[VALORES DE Hg para actuales deudores]]&gt;Tabla2[[#This Row],[Valores de HG para deudores cerrados]],-1,1)</f>
        <v>-0.5</v>
      </c>
      <c r="O248">
        <f t="shared" ca="1" si="41"/>
        <v>1783.38</v>
      </c>
      <c r="P248">
        <f t="shared" ca="1" si="42"/>
        <v>118653.58</v>
      </c>
      <c r="Q248">
        <f t="shared" ca="1" si="43"/>
        <v>1</v>
      </c>
      <c r="R248">
        <f ca="1">((Tabla2[[#This Row],[Fantasma Comunicación]]+1)/(Tabla2[[#This Row],[Fantasma Comunicación]]+RANDBETWEEN(0,5)+2))-0.5</f>
        <v>-0.25</v>
      </c>
      <c r="S248">
        <f ca="1">1+MAX(0,Tabla2[[#This Row],[Deuda actual]]/Tabla2[[#This Row],[Liquidez]]+Tabla2[[#This Row],[Liquidez]]/(Tabla2[[#This Row],[Activos]]+Tabla2[[#This Row],[Liquidez]])+Tabla2[[#This Row],[Comunicación]])</f>
        <v>2.2263244755479397</v>
      </c>
      <c r="T248">
        <f ca="1">Tabla2[[#This Row],[Deuda actual]]*EXP(Tabla2[[#This Row],[Ki]]*Tabla2[[#This Row],[diferencia de días]])*(1+Tabla2[[#This Row],[Hg]])</f>
        <v>1303.22</v>
      </c>
    </row>
    <row r="249" spans="1:20" ht="14.5" x14ac:dyDescent="0.35">
      <c r="A249">
        <f t="shared" si="33"/>
        <v>248</v>
      </c>
      <c r="B249">
        <f t="shared" ca="1" si="34"/>
        <v>46118</v>
      </c>
      <c r="C249">
        <f t="shared" ca="1" si="35"/>
        <v>46157</v>
      </c>
      <c r="D249">
        <f t="shared" ca="1" si="36"/>
        <v>7</v>
      </c>
      <c r="E249">
        <f t="shared" ca="1" si="37"/>
        <v>0.75807010211074632</v>
      </c>
      <c r="F249">
        <f t="shared" ca="1" si="38"/>
        <v>1494.82</v>
      </c>
      <c r="G249" t="str">
        <f t="shared" ca="1" si="39"/>
        <v>hipotecario</v>
      </c>
      <c r="H24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49" t="str">
        <f t="shared" ca="1" si="40"/>
        <v>Sí</v>
      </c>
      <c r="J24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49">
        <f ca="1">IF(Tabla2[[#This Row],[¿cliente deuda abierta?]]="Sí", Tabla2[[#This Row],[Deuda actual]]*Tabla2[[#This Row],[diferencia de días]], "0")</f>
        <v>10463.74</v>
      </c>
      <c r="L24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4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4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49">
        <f t="shared" ca="1" si="41"/>
        <v>1502.47</v>
      </c>
      <c r="P249">
        <f t="shared" ca="1" si="42"/>
        <v>97023.02</v>
      </c>
      <c r="Q249">
        <f t="shared" ca="1" si="43"/>
        <v>1</v>
      </c>
      <c r="R249">
        <f ca="1">((Tabla2[[#This Row],[Fantasma Comunicación]]+1)/(Tabla2[[#This Row],[Fantasma Comunicación]]+RANDBETWEEN(0,5)+2))-0.5</f>
        <v>0.16666666666666663</v>
      </c>
      <c r="S249">
        <f ca="1">1+MAX(0,Tabla2[[#This Row],[Deuda actual]]/Tabla2[[#This Row],[Liquidez]]+Tabla2[[#This Row],[Liquidez]]/(Tabla2[[#This Row],[Activos]]+Tabla2[[#This Row],[Liquidez]])+Tabla2[[#This Row],[Comunicación]])</f>
        <v>2.1768246070922843</v>
      </c>
      <c r="T249">
        <f ca="1">Tabla2[[#This Row],[Deuda actual]]*EXP(Tabla2[[#This Row],[Ki]]*Tabla2[[#This Row],[diferencia de días]])*(1+Tabla2[[#This Row],[Hg]])</f>
        <v>1571.7599242878439</v>
      </c>
    </row>
    <row r="250" spans="1:20" ht="14.5" x14ac:dyDescent="0.35">
      <c r="A250">
        <f t="shared" si="33"/>
        <v>249</v>
      </c>
      <c r="B250">
        <f t="shared" ca="1" si="34"/>
        <v>46142</v>
      </c>
      <c r="C250">
        <f t="shared" ca="1" si="35"/>
        <v>46157</v>
      </c>
      <c r="D250">
        <f t="shared" ca="1" si="36"/>
        <v>4</v>
      </c>
      <c r="E250">
        <f t="shared" ca="1" si="37"/>
        <v>0.99639182553844341</v>
      </c>
      <c r="F250">
        <f t="shared" ca="1" si="38"/>
        <v>1379.24</v>
      </c>
      <c r="G250" t="str">
        <f t="shared" ca="1" si="39"/>
        <v>personal</v>
      </c>
      <c r="H25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50" t="str">
        <f t="shared" ca="1" si="40"/>
        <v>Sí</v>
      </c>
      <c r="J25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50">
        <f ca="1">IF(Tabla2[[#This Row],[¿cliente deuda abierta?]]="Sí", Tabla2[[#This Row],[Deuda actual]]*Tabla2[[#This Row],[diferencia de días]], "0")</f>
        <v>5516.96</v>
      </c>
      <c r="L25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5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5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50">
        <f t="shared" ca="1" si="41"/>
        <v>1278.47</v>
      </c>
      <c r="P250">
        <f t="shared" ca="1" si="42"/>
        <v>173101.04</v>
      </c>
      <c r="Q250">
        <f t="shared" ca="1" si="43"/>
        <v>4</v>
      </c>
      <c r="R250">
        <f ca="1">((Tabla2[[#This Row],[Fantasma Comunicación]]+1)/(Tabla2[[#This Row],[Fantasma Comunicación]]+RANDBETWEEN(0,5)+2))-0.5</f>
        <v>5.555555555555558E-2</v>
      </c>
      <c r="S250">
        <f ca="1">1+MAX(0,Tabla2[[#This Row],[Deuda actual]]/Tabla2[[#This Row],[Liquidez]]+Tabla2[[#This Row],[Liquidez]]/(Tabla2[[#This Row],[Activos]]+Tabla2[[#This Row],[Liquidez]])+Tabla2[[#This Row],[Comunicación]])</f>
        <v>2.141707871493852</v>
      </c>
      <c r="T250">
        <f ca="1">Tabla2[[#This Row],[Deuda actual]]*EXP(Tabla2[[#This Row],[Ki]]*Tabla2[[#This Row],[diferencia de días]])*(1+Tabla2[[#This Row],[Hg]])</f>
        <v>1449.3610251482446</v>
      </c>
    </row>
    <row r="251" spans="1:20" ht="14.5" x14ac:dyDescent="0.35">
      <c r="A251">
        <f t="shared" si="33"/>
        <v>250</v>
      </c>
      <c r="B251">
        <f t="shared" ca="1" si="34"/>
        <v>46117</v>
      </c>
      <c r="C251">
        <f t="shared" ca="1" si="35"/>
        <v>46157</v>
      </c>
      <c r="D251">
        <f t="shared" ca="1" si="36"/>
        <v>6</v>
      </c>
      <c r="E251">
        <f t="shared" ca="1" si="37"/>
        <v>0.42526627554265461</v>
      </c>
      <c r="F251">
        <f t="shared" ca="1" si="38"/>
        <v>176.27</v>
      </c>
      <c r="G251" t="str">
        <f t="shared" ca="1" si="39"/>
        <v>hipotecario</v>
      </c>
      <c r="H25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51" t="str">
        <f t="shared" ca="1" si="40"/>
        <v>Sí</v>
      </c>
      <c r="J25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51">
        <f ca="1">IF(Tabla2[[#This Row],[¿cliente deuda abierta?]]="Sí", Tabla2[[#This Row],[Deuda actual]]*Tabla2[[#This Row],[diferencia de días]], "0")</f>
        <v>1057.6200000000001</v>
      </c>
      <c r="L25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5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5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51">
        <f t="shared" ca="1" si="41"/>
        <v>1806.66</v>
      </c>
      <c r="P251">
        <f t="shared" ca="1" si="42"/>
        <v>166906.74</v>
      </c>
      <c r="Q251">
        <f t="shared" ca="1" si="43"/>
        <v>0</v>
      </c>
      <c r="R251">
        <f ca="1">((Tabla2[[#This Row],[Fantasma Comunicación]]+1)/(Tabla2[[#This Row],[Fantasma Comunicación]]+RANDBETWEEN(0,5)+2))-0.5</f>
        <v>-0.33333333333333337</v>
      </c>
      <c r="S251">
        <f ca="1">1+MAX(0,Tabla2[[#This Row],[Deuda actual]]/Tabla2[[#This Row],[Liquidez]]+Tabla2[[#This Row],[Liquidez]]/(Tabla2[[#This Row],[Activos]]+Tabla2[[#This Row],[Liquidez]])+Tabla2[[#This Row],[Comunicación]])</f>
        <v>1</v>
      </c>
      <c r="T251">
        <f ca="1">Tabla2[[#This Row],[Deuda actual]]*EXP(Tabla2[[#This Row],[Ki]]*Tabla2[[#This Row],[diferencia de días]])*(1+Tabla2[[#This Row],[Hg]])</f>
        <v>185.30573351344006</v>
      </c>
    </row>
    <row r="252" spans="1:20" ht="14.5" x14ac:dyDescent="0.35">
      <c r="A252">
        <f t="shared" si="33"/>
        <v>251</v>
      </c>
      <c r="B252">
        <f t="shared" ca="1" si="34"/>
        <v>46111</v>
      </c>
      <c r="C252">
        <f t="shared" ca="1" si="35"/>
        <v>46157</v>
      </c>
      <c r="D252">
        <f t="shared" ca="1" si="36"/>
        <v>21</v>
      </c>
      <c r="E252">
        <f t="shared" ca="1" si="37"/>
        <v>0.41789889390066537</v>
      </c>
      <c r="F252">
        <f t="shared" ca="1" si="38"/>
        <v>1095.1199999999999</v>
      </c>
      <c r="G252" t="str">
        <f t="shared" ca="1" si="39"/>
        <v>hipotecario</v>
      </c>
      <c r="H25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52" t="str">
        <f t="shared" ca="1" si="40"/>
        <v>No</v>
      </c>
      <c r="J25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165000.19130871128</v>
      </c>
      <c r="K252" t="str">
        <f ca="1">IF(Tabla2[[#This Row],[¿cliente deuda abierta?]]="Sí", Tabla2[[#This Row],[Deuda actual]]*Tabla2[[#This Row],[diferencia de días]], "0")</f>
        <v>0</v>
      </c>
      <c r="L25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5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25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252">
        <f t="shared" ca="1" si="41"/>
        <v>1193.94</v>
      </c>
      <c r="P252">
        <f t="shared" ca="1" si="42"/>
        <v>146517.99</v>
      </c>
      <c r="Q252">
        <f t="shared" ca="1" si="43"/>
        <v>4</v>
      </c>
      <c r="R252">
        <f ca="1">((Tabla2[[#This Row],[Fantasma Comunicación]]+1)/(Tabla2[[#This Row],[Fantasma Comunicación]]+RANDBETWEEN(0,5)+2))-0.5</f>
        <v>0</v>
      </c>
      <c r="S252">
        <f ca="1">1+MAX(0,Tabla2[[#This Row],[Deuda actual]]/Tabla2[[#This Row],[Liquidez]]+Tabla2[[#This Row],[Liquidez]]/(Tabla2[[#This Row],[Activos]]+Tabla2[[#This Row],[Liquidez]])+Tabla2[[#This Row],[Comunicación]])</f>
        <v>1.925314916571274</v>
      </c>
      <c r="T252">
        <f ca="1">Tabla2[[#This Row],[Deuda actual]]*EXP(Tabla2[[#This Row],[Ki]]*Tabla2[[#This Row],[diferencia de días]])*(1+Tabla2[[#This Row],[Hg]])</f>
        <v>883.48620179319596</v>
      </c>
    </row>
    <row r="253" spans="1:20" ht="14.5" x14ac:dyDescent="0.35">
      <c r="A253">
        <f t="shared" si="33"/>
        <v>252</v>
      </c>
      <c r="B253">
        <f t="shared" ca="1" si="34"/>
        <v>46119</v>
      </c>
      <c r="C253">
        <f t="shared" ca="1" si="35"/>
        <v>46157</v>
      </c>
      <c r="D253">
        <f t="shared" ca="1" si="36"/>
        <v>1</v>
      </c>
      <c r="E253">
        <f t="shared" ca="1" si="37"/>
        <v>0.21438143356086481</v>
      </c>
      <c r="F253">
        <f t="shared" ca="1" si="38"/>
        <v>8970.4599999999991</v>
      </c>
      <c r="G253" t="str">
        <f t="shared" ca="1" si="39"/>
        <v>personal</v>
      </c>
      <c r="H25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53" t="str">
        <f t="shared" ca="1" si="40"/>
        <v>Sí</v>
      </c>
      <c r="J25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53">
        <f ca="1">IF(Tabla2[[#This Row],[¿cliente deuda abierta?]]="Sí", Tabla2[[#This Row],[Deuda actual]]*Tabla2[[#This Row],[diferencia de días]], "0")</f>
        <v>8970.4599999999991</v>
      </c>
      <c r="L25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5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5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53">
        <f t="shared" ca="1" si="41"/>
        <v>1943.82</v>
      </c>
      <c r="P253">
        <f t="shared" ca="1" si="42"/>
        <v>139695.85999999999</v>
      </c>
      <c r="Q253">
        <f t="shared" ca="1" si="43"/>
        <v>5</v>
      </c>
      <c r="R253">
        <f ca="1">((Tabla2[[#This Row],[Fantasma Comunicación]]+1)/(Tabla2[[#This Row],[Fantasma Comunicación]]+RANDBETWEEN(0,5)+2))-0.5</f>
        <v>0.3571428571428571</v>
      </c>
      <c r="S253">
        <f ca="1">1+MAX(0,Tabla2[[#This Row],[Deuda actual]]/Tabla2[[#This Row],[Liquidez]]+Tabla2[[#This Row],[Liquidez]]/(Tabla2[[#This Row],[Activos]]+Tabla2[[#This Row],[Liquidez]])+Tabla2[[#This Row],[Comunicación]])</f>
        <v>5.985728012144766</v>
      </c>
      <c r="T253">
        <f ca="1">Tabla2[[#This Row],[Deuda actual]]*EXP(Tabla2[[#This Row],[Ki]]*Tabla2[[#This Row],[diferencia de días]])*(1+Tabla2[[#This Row],[Hg]])</f>
        <v>9420.8669849922189</v>
      </c>
    </row>
    <row r="254" spans="1:20" ht="14.5" x14ac:dyDescent="0.35">
      <c r="A254">
        <f t="shared" si="33"/>
        <v>253</v>
      </c>
      <c r="B254">
        <f t="shared" ca="1" si="34"/>
        <v>46122</v>
      </c>
      <c r="C254">
        <f t="shared" ca="1" si="35"/>
        <v>46157</v>
      </c>
      <c r="D254">
        <f t="shared" ca="1" si="36"/>
        <v>59</v>
      </c>
      <c r="E254">
        <f t="shared" ca="1" si="37"/>
        <v>0.55313939012295565</v>
      </c>
      <c r="F254">
        <f t="shared" ca="1" si="38"/>
        <v>1347</v>
      </c>
      <c r="G254" t="str">
        <f t="shared" ca="1" si="39"/>
        <v>personal</v>
      </c>
      <c r="H25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254" t="str">
        <f t="shared" ca="1" si="40"/>
        <v>Sí</v>
      </c>
      <c r="J25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54">
        <f ca="1">IF(Tabla2[[#This Row],[¿cliente deuda abierta?]]="Sí", Tabla2[[#This Row],[Deuda actual]]*Tabla2[[#This Row],[diferencia de días]], "0")</f>
        <v>79473</v>
      </c>
      <c r="L25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25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54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254">
        <f t="shared" ca="1" si="41"/>
        <v>1641.1</v>
      </c>
      <c r="P254">
        <f t="shared" ca="1" si="42"/>
        <v>109253.52</v>
      </c>
      <c r="Q254">
        <f t="shared" ca="1" si="43"/>
        <v>0</v>
      </c>
      <c r="R254">
        <f ca="1">((Tabla2[[#This Row],[Fantasma Comunicación]]+1)/(Tabla2[[#This Row],[Fantasma Comunicación]]+RANDBETWEEN(0,5)+2))-0.5</f>
        <v>-0.16666666666666669</v>
      </c>
      <c r="S254">
        <f ca="1">1+MAX(0,Tabla2[[#This Row],[Deuda actual]]/Tabla2[[#This Row],[Liquidez]]+Tabla2[[#This Row],[Liquidez]]/(Tabla2[[#This Row],[Activos]]+Tabla2[[#This Row],[Liquidez]])+Tabla2[[#This Row],[Comunicación]])</f>
        <v>1.6689230003937776</v>
      </c>
      <c r="T254">
        <f ca="1">Tabla2[[#This Row],[Deuda actual]]*EXP(Tabla2[[#This Row],[Ki]]*Tabla2[[#This Row],[diferencia de días]])*(1+Tabla2[[#This Row],[Hg]])</f>
        <v>1692.3901840062629</v>
      </c>
    </row>
    <row r="255" spans="1:20" ht="14.5" x14ac:dyDescent="0.35">
      <c r="A255">
        <f t="shared" si="33"/>
        <v>254</v>
      </c>
      <c r="B255">
        <f t="shared" ca="1" si="34"/>
        <v>46098</v>
      </c>
      <c r="C255">
        <f t="shared" ca="1" si="35"/>
        <v>46157</v>
      </c>
      <c r="D255">
        <f t="shared" ca="1" si="36"/>
        <v>5</v>
      </c>
      <c r="E255">
        <f t="shared" ca="1" si="37"/>
        <v>0.23350767303004183</v>
      </c>
      <c r="F255">
        <f t="shared" ca="1" si="38"/>
        <v>400.51</v>
      </c>
      <c r="G255" t="str">
        <f t="shared" ca="1" si="39"/>
        <v>hipotecario</v>
      </c>
      <c r="H25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55" t="str">
        <f t="shared" ca="1" si="40"/>
        <v>Sí</v>
      </c>
      <c r="J25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55">
        <f ca="1">IF(Tabla2[[#This Row],[¿cliente deuda abierta?]]="Sí", Tabla2[[#This Row],[Deuda actual]]*Tabla2[[#This Row],[diferencia de días]], "0")</f>
        <v>2002.55</v>
      </c>
      <c r="L25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5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5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55">
        <f t="shared" ca="1" si="41"/>
        <v>1483.44</v>
      </c>
      <c r="P255">
        <f t="shared" ca="1" si="42"/>
        <v>145116.45000000001</v>
      </c>
      <c r="Q255">
        <f t="shared" ca="1" si="43"/>
        <v>1</v>
      </c>
      <c r="R255">
        <f ca="1">((Tabla2[[#This Row],[Fantasma Comunicación]]+1)/(Tabla2[[#This Row],[Fantasma Comunicación]]+RANDBETWEEN(0,5)+2))-0.5</f>
        <v>-0.25</v>
      </c>
      <c r="S255">
        <f ca="1">1+MAX(0,Tabla2[[#This Row],[Deuda actual]]/Tabla2[[#This Row],[Liquidez]]+Tabla2[[#This Row],[Liquidez]]/(Tabla2[[#This Row],[Activos]]+Tabla2[[#This Row],[Liquidez]])+Tabla2[[#This Row],[Comunicación]])</f>
        <v>1.0301062975117854</v>
      </c>
      <c r="T255">
        <f ca="1">Tabla2[[#This Row],[Deuda actual]]*EXP(Tabla2[[#This Row],[Ki]]*Tabla2[[#This Row],[diferencia de días]])*(1+Tabla2[[#This Row],[Hg]])</f>
        <v>420.95624583785678</v>
      </c>
    </row>
    <row r="256" spans="1:20" ht="14.5" x14ac:dyDescent="0.35">
      <c r="A256">
        <f t="shared" si="33"/>
        <v>255</v>
      </c>
      <c r="B256">
        <f t="shared" ca="1" si="34"/>
        <v>46123</v>
      </c>
      <c r="C256">
        <f t="shared" ca="1" si="35"/>
        <v>46157</v>
      </c>
      <c r="D256">
        <f t="shared" ca="1" si="36"/>
        <v>7</v>
      </c>
      <c r="E256">
        <f t="shared" ca="1" si="37"/>
        <v>0.31324770465954255</v>
      </c>
      <c r="F256">
        <f t="shared" ca="1" si="38"/>
        <v>2004.3</v>
      </c>
      <c r="G256" t="str">
        <f t="shared" ca="1" si="39"/>
        <v>personal</v>
      </c>
      <c r="H25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56" t="str">
        <f t="shared" ca="1" si="40"/>
        <v>No</v>
      </c>
      <c r="J25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11998.911738884688</v>
      </c>
      <c r="K256" t="str">
        <f ca="1">IF(Tabla2[[#This Row],[¿cliente deuda abierta?]]="Sí", Tabla2[[#This Row],[Deuda actual]]*Tabla2[[#This Row],[diferencia de días]], "0")</f>
        <v>0</v>
      </c>
      <c r="L25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5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56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56">
        <f t="shared" ca="1" si="41"/>
        <v>1742.07</v>
      </c>
      <c r="P256">
        <f t="shared" ca="1" si="42"/>
        <v>111150.65</v>
      </c>
      <c r="Q256">
        <f t="shared" ca="1" si="43"/>
        <v>5</v>
      </c>
      <c r="R256">
        <f ca="1">((Tabla2[[#This Row],[Fantasma Comunicación]]+1)/(Tabla2[[#This Row],[Fantasma Comunicación]]+RANDBETWEEN(0,5)+2))-0.5</f>
        <v>0.3571428571428571</v>
      </c>
      <c r="S256">
        <f ca="1">1+MAX(0,Tabla2[[#This Row],[Deuda actual]]/Tabla2[[#This Row],[Liquidez]]+Tabla2[[#This Row],[Liquidez]]/(Tabla2[[#This Row],[Activos]]+Tabla2[[#This Row],[Liquidez]])+Tabla2[[#This Row],[Comunicación]])</f>
        <v>2.5231018762467392</v>
      </c>
      <c r="T256">
        <f ca="1">Tabla2[[#This Row],[Deuda actual]]*EXP(Tabla2[[#This Row],[Ki]]*Tabla2[[#This Row],[diferencia de días]])*(1+Tabla2[[#This Row],[Hg]])</f>
        <v>1806.3971866178588</v>
      </c>
    </row>
    <row r="257" spans="1:20" ht="14.5" x14ac:dyDescent="0.35">
      <c r="A257">
        <f t="shared" si="33"/>
        <v>256</v>
      </c>
      <c r="B257">
        <f t="shared" ca="1" si="34"/>
        <v>46141</v>
      </c>
      <c r="C257">
        <f t="shared" ca="1" si="35"/>
        <v>46157</v>
      </c>
      <c r="D257">
        <f t="shared" ca="1" si="36"/>
        <v>21</v>
      </c>
      <c r="E257">
        <f t="shared" ca="1" si="37"/>
        <v>0.35503806863933685</v>
      </c>
      <c r="F257">
        <f t="shared" ca="1" si="38"/>
        <v>581.52</v>
      </c>
      <c r="G257" t="str">
        <f t="shared" ca="1" si="39"/>
        <v>personal</v>
      </c>
      <c r="H25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57" t="str">
        <f t="shared" ca="1" si="40"/>
        <v>No</v>
      </c>
      <c r="J25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11999.19452513043</v>
      </c>
      <c r="K257" t="str">
        <f ca="1">IF(Tabla2[[#This Row],[¿cliente deuda abierta?]]="Sí", Tabla2[[#This Row],[Deuda actual]]*Tabla2[[#This Row],[diferencia de días]], "0")</f>
        <v>0</v>
      </c>
      <c r="L25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5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57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57">
        <f t="shared" ca="1" si="41"/>
        <v>1618.52</v>
      </c>
      <c r="P257">
        <f t="shared" ca="1" si="42"/>
        <v>63084.160000000003</v>
      </c>
      <c r="Q257">
        <f t="shared" ca="1" si="43"/>
        <v>5</v>
      </c>
      <c r="R257">
        <f ca="1">((Tabla2[[#This Row],[Fantasma Comunicación]]+1)/(Tabla2[[#This Row],[Fantasma Comunicación]]+RANDBETWEEN(0,5)+2))-0.5</f>
        <v>4.5454545454545414E-2</v>
      </c>
      <c r="S257">
        <f ca="1">1+MAX(0,Tabla2[[#This Row],[Deuda actual]]/Tabla2[[#This Row],[Liquidez]]+Tabla2[[#This Row],[Liquidez]]/(Tabla2[[#This Row],[Activos]]+Tabla2[[#This Row],[Liquidez]])+Tabla2[[#This Row],[Comunicación]])</f>
        <v>1.4297604786754212</v>
      </c>
      <c r="T257">
        <f ca="1">Tabla2[[#This Row],[Deuda actual]]*EXP(Tabla2[[#This Row],[Ki]]*Tabla2[[#This Row],[diferencia de días]])*(1+Tabla2[[#This Row],[Hg]])</f>
        <v>527.78280743217806</v>
      </c>
    </row>
    <row r="258" spans="1:20" ht="14.5" x14ac:dyDescent="0.35">
      <c r="A258">
        <f t="shared" ref="A258:A321" si="44">A257+1</f>
        <v>257</v>
      </c>
      <c r="B258">
        <f t="shared" ref="B258:B321" ca="1" si="45">RANDBETWEEN(DATE(2026,3,1), DATE(2026,5,1))</f>
        <v>46114</v>
      </c>
      <c r="C258">
        <f t="shared" ref="C258:C321" ca="1" si="46">TODAY()</f>
        <v>46157</v>
      </c>
      <c r="D258">
        <f t="shared" ref="D258:D321" ca="1" si="47">ROUND((-(15) * LN(RAND())),0)</f>
        <v>35</v>
      </c>
      <c r="E258">
        <f t="shared" ref="E258:E321" ca="1" si="48">RAND()</f>
        <v>0.46213616847854477</v>
      </c>
      <c r="F258">
        <f t="shared" ref="F258:F321" ca="1" si="49">ROUND(MIN(10000, _xlfn.LOGNORM.INV(RAND(), 69/10, 13/10)),2)</f>
        <v>4412.25</v>
      </c>
      <c r="G258" t="str">
        <f t="shared" ref="G258:G321" ca="1" si="50">IF(RAND()&lt;=0.5,"personal","hipotecario")</f>
        <v>personal</v>
      </c>
      <c r="H25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258" t="str">
        <f t="shared" ref="I258:I321" ca="1" si="51">IF(RAND()&lt;=0.65, "Sí", "No")</f>
        <v>No</v>
      </c>
      <c r="J25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12000.647202637851</v>
      </c>
      <c r="K258" t="str">
        <f ca="1">IF(Tabla2[[#This Row],[¿cliente deuda abierta?]]="Sí", Tabla2[[#This Row],[Deuda actual]]*Tabla2[[#This Row],[diferencia de días]], "0")</f>
        <v>0</v>
      </c>
      <c r="L25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5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5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58">
        <f t="shared" ref="O258:O321" ca="1" si="52">ROUND(1000*(_xlfn.LOGNORM.INV(RAND(), 0.5, 0.2)),2)</f>
        <v>1544.78</v>
      </c>
      <c r="P258">
        <f t="shared" ref="P258:P321" ca="1" si="53">ROUND(50000*(_xlfn.LOGNORM.INV(RAND(), 1, 0.75)),2)</f>
        <v>68652.210000000006</v>
      </c>
      <c r="Q258">
        <f t="shared" ref="Q258:Q321" ca="1" si="54">RANDBETWEEN(0,5)</f>
        <v>3</v>
      </c>
      <c r="R258">
        <f ca="1">((Tabla2[[#This Row],[Fantasma Comunicación]]+1)/(Tabla2[[#This Row],[Fantasma Comunicación]]+RANDBETWEEN(0,5)+2))-0.5</f>
        <v>0.30000000000000004</v>
      </c>
      <c r="S258">
        <f ca="1">1+MAX(0,Tabla2[[#This Row],[Deuda actual]]/Tabla2[[#This Row],[Liquidez]]+Tabla2[[#This Row],[Liquidez]]/(Tabla2[[#This Row],[Activos]]+Tabla2[[#This Row],[Liquidez]])+Tabla2[[#This Row],[Comunicación]])</f>
        <v>4.1782383120421542</v>
      </c>
      <c r="T258">
        <f ca="1">Tabla2[[#This Row],[Deuda actual]]*EXP(Tabla2[[#This Row],[Ki]]*Tabla2[[#This Row],[diferencia de días]])*(1+Tabla2[[#This Row],[Hg]])</f>
        <v>4112.4717541360242</v>
      </c>
    </row>
    <row r="259" spans="1:20" ht="14.5" x14ac:dyDescent="0.35">
      <c r="A259">
        <f t="shared" si="44"/>
        <v>258</v>
      </c>
      <c r="B259">
        <f t="shared" ca="1" si="45"/>
        <v>46117</v>
      </c>
      <c r="C259">
        <f t="shared" ca="1" si="46"/>
        <v>46157</v>
      </c>
      <c r="D259">
        <f t="shared" ca="1" si="47"/>
        <v>26</v>
      </c>
      <c r="E259">
        <f t="shared" ca="1" si="48"/>
        <v>0.88456601268987323</v>
      </c>
      <c r="F259">
        <f t="shared" ca="1" si="49"/>
        <v>761.31</v>
      </c>
      <c r="G259" t="str">
        <f t="shared" ca="1" si="50"/>
        <v>hipotecario</v>
      </c>
      <c r="H25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59" t="str">
        <f t="shared" ca="1" si="51"/>
        <v>No</v>
      </c>
      <c r="J25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165000.31341812847</v>
      </c>
      <c r="K259" t="str">
        <f ca="1">IF(Tabla2[[#This Row],[¿cliente deuda abierta?]]="Sí", Tabla2[[#This Row],[Deuda actual]]*Tabla2[[#This Row],[diferencia de días]], "0")</f>
        <v>0</v>
      </c>
      <c r="L25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5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259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259">
        <f t="shared" ca="1" si="52"/>
        <v>2368.02</v>
      </c>
      <c r="P259">
        <f t="shared" ca="1" si="53"/>
        <v>92238.67</v>
      </c>
      <c r="Q259">
        <f t="shared" ca="1" si="54"/>
        <v>4</v>
      </c>
      <c r="R259">
        <f ca="1">((Tabla2[[#This Row],[Fantasma Comunicación]]+1)/(Tabla2[[#This Row],[Fantasma Comunicación]]+RANDBETWEEN(0,5)+2))-0.5</f>
        <v>0</v>
      </c>
      <c r="S259">
        <f ca="1">1+MAX(0,Tabla2[[#This Row],[Deuda actual]]/Tabla2[[#This Row],[Liquidez]]+Tabla2[[#This Row],[Liquidez]]/(Tabla2[[#This Row],[Activos]]+Tabla2[[#This Row],[Liquidez]])+Tabla2[[#This Row],[Comunicación]])</f>
        <v>1.3465265938510724</v>
      </c>
      <c r="T259">
        <f ca="1">Tabla2[[#This Row],[Deuda actual]]*EXP(Tabla2[[#This Row],[Ki]]*Tabla2[[#This Row],[diferencia de días]])*(1+Tabla2[[#This Row],[Hg]])</f>
        <v>615.41515099602839</v>
      </c>
    </row>
    <row r="260" spans="1:20" ht="14.5" x14ac:dyDescent="0.35">
      <c r="A260">
        <f t="shared" si="44"/>
        <v>259</v>
      </c>
      <c r="B260">
        <f t="shared" ca="1" si="45"/>
        <v>46139</v>
      </c>
      <c r="C260">
        <f t="shared" ca="1" si="46"/>
        <v>46157</v>
      </c>
      <c r="D260">
        <f t="shared" ca="1" si="47"/>
        <v>17</v>
      </c>
      <c r="E260">
        <f t="shared" ca="1" si="48"/>
        <v>0.26978619118073488</v>
      </c>
      <c r="F260">
        <f t="shared" ca="1" si="49"/>
        <v>336.03</v>
      </c>
      <c r="G260" t="str">
        <f t="shared" ca="1" si="50"/>
        <v>hipotecario</v>
      </c>
      <c r="H26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60" t="str">
        <f t="shared" ca="1" si="51"/>
        <v>No</v>
      </c>
      <c r="J26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165000.13254024365</v>
      </c>
      <c r="K260" t="str">
        <f ca="1">IF(Tabla2[[#This Row],[¿cliente deuda abierta?]]="Sí", Tabla2[[#This Row],[Deuda actual]]*Tabla2[[#This Row],[diferencia de días]], "0")</f>
        <v>0</v>
      </c>
      <c r="L26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6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26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260">
        <f t="shared" ca="1" si="52"/>
        <v>1891.18</v>
      </c>
      <c r="P260">
        <f t="shared" ca="1" si="53"/>
        <v>181379.95</v>
      </c>
      <c r="Q260">
        <f t="shared" ca="1" si="54"/>
        <v>5</v>
      </c>
      <c r="R260">
        <f ca="1">((Tabla2[[#This Row],[Fantasma Comunicación]]+1)/(Tabla2[[#This Row],[Fantasma Comunicación]]+RANDBETWEEN(0,5)+2))-0.5</f>
        <v>0</v>
      </c>
      <c r="S260">
        <f ca="1">1+MAX(0,Tabla2[[#This Row],[Deuda actual]]/Tabla2[[#This Row],[Liquidez]]+Tabla2[[#This Row],[Liquidez]]/(Tabla2[[#This Row],[Activos]]+Tabla2[[#This Row],[Liquidez]])+Tabla2[[#This Row],[Comunicación]])</f>
        <v>1.1880017450360558</v>
      </c>
      <c r="T260">
        <f ca="1">Tabla2[[#This Row],[Deuda actual]]*EXP(Tabla2[[#This Row],[Ki]]*Tabla2[[#This Row],[diferencia de días]])*(1+Tabla2[[#This Row],[Hg]])</f>
        <v>270.65823252267325</v>
      </c>
    </row>
    <row r="261" spans="1:20" ht="14.5" x14ac:dyDescent="0.35">
      <c r="A261">
        <f t="shared" si="44"/>
        <v>260</v>
      </c>
      <c r="B261">
        <f t="shared" ca="1" si="45"/>
        <v>46096</v>
      </c>
      <c r="C261">
        <f t="shared" ca="1" si="46"/>
        <v>46157</v>
      </c>
      <c r="D261">
        <f t="shared" ca="1" si="47"/>
        <v>4</v>
      </c>
      <c r="E261">
        <f t="shared" ca="1" si="48"/>
        <v>0.56906524392475921</v>
      </c>
      <c r="F261">
        <f t="shared" ca="1" si="49"/>
        <v>5008.3100000000004</v>
      </c>
      <c r="G261" t="str">
        <f t="shared" ca="1" si="50"/>
        <v>hipotecario</v>
      </c>
      <c r="H26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61" t="str">
        <f t="shared" ca="1" si="51"/>
        <v>Sí</v>
      </c>
      <c r="J26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61">
        <f ca="1">IF(Tabla2[[#This Row],[¿cliente deuda abierta?]]="Sí", Tabla2[[#This Row],[Deuda actual]]*Tabla2[[#This Row],[diferencia de días]], "0")</f>
        <v>20033.240000000002</v>
      </c>
      <c r="L26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6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6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61">
        <f t="shared" ca="1" si="52"/>
        <v>1617.08</v>
      </c>
      <c r="P261">
        <f t="shared" ca="1" si="53"/>
        <v>53033.06</v>
      </c>
      <c r="Q261">
        <f t="shared" ca="1" si="54"/>
        <v>5</v>
      </c>
      <c r="R261">
        <f ca="1">((Tabla2[[#This Row],[Fantasma Comunicación]]+1)/(Tabla2[[#This Row],[Fantasma Comunicación]]+RANDBETWEEN(0,5)+2))-0.5</f>
        <v>0.16666666666666663</v>
      </c>
      <c r="S261">
        <f ca="1">1+MAX(0,Tabla2[[#This Row],[Deuda actual]]/Tabla2[[#This Row],[Liquidez]]+Tabla2[[#This Row],[Liquidez]]/(Tabla2[[#This Row],[Activos]]+Tabla2[[#This Row],[Liquidez]])+Tabla2[[#This Row],[Comunicación]])</f>
        <v>4.2933882111549799</v>
      </c>
      <c r="T261">
        <f ca="1">Tabla2[[#This Row],[Deuda actual]]*EXP(Tabla2[[#This Row],[Ki]]*Tabla2[[#This Row],[diferencia de días]])*(1+Tabla2[[#This Row],[Hg]])</f>
        <v>5262.9341636409954</v>
      </c>
    </row>
    <row r="262" spans="1:20" ht="14.5" x14ac:dyDescent="0.35">
      <c r="A262">
        <f t="shared" si="44"/>
        <v>261</v>
      </c>
      <c r="B262">
        <f t="shared" ca="1" si="45"/>
        <v>46119</v>
      </c>
      <c r="C262">
        <f t="shared" ca="1" si="46"/>
        <v>46157</v>
      </c>
      <c r="D262">
        <f t="shared" ca="1" si="47"/>
        <v>16</v>
      </c>
      <c r="E262">
        <f t="shared" ca="1" si="48"/>
        <v>0.31028127075644296</v>
      </c>
      <c r="F262">
        <f t="shared" ca="1" si="49"/>
        <v>825.54</v>
      </c>
      <c r="G262" t="str">
        <f t="shared" ca="1" si="50"/>
        <v>personal</v>
      </c>
      <c r="H26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62" t="str">
        <f t="shared" ca="1" si="51"/>
        <v>No</v>
      </c>
      <c r="J26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12000.643669347517</v>
      </c>
      <c r="K262" t="str">
        <f ca="1">IF(Tabla2[[#This Row],[¿cliente deuda abierta?]]="Sí", Tabla2[[#This Row],[Deuda actual]]*Tabla2[[#This Row],[diferencia de días]], "0")</f>
        <v>0</v>
      </c>
      <c r="L26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6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62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62">
        <f t="shared" ca="1" si="52"/>
        <v>1529.71</v>
      </c>
      <c r="P262">
        <f t="shared" ca="1" si="53"/>
        <v>223230.34</v>
      </c>
      <c r="Q262">
        <f t="shared" ca="1" si="54"/>
        <v>1</v>
      </c>
      <c r="R262">
        <f ca="1">((Tabla2[[#This Row],[Fantasma Comunicación]]+1)/(Tabla2[[#This Row],[Fantasma Comunicación]]+RANDBETWEEN(0,5)+2))-0.5</f>
        <v>0</v>
      </c>
      <c r="S262">
        <f ca="1">1+MAX(0,Tabla2[[#This Row],[Deuda actual]]/Tabla2[[#This Row],[Liquidez]]+Tabla2[[#This Row],[Liquidez]]/(Tabla2[[#This Row],[Activos]]+Tabla2[[#This Row],[Liquidez]])+Tabla2[[#This Row],[Comunicación]])</f>
        <v>1.5464768873163999</v>
      </c>
      <c r="T262">
        <f ca="1">Tabla2[[#This Row],[Deuda actual]]*EXP(Tabla2[[#This Row],[Ki]]*Tabla2[[#This Row],[diferencia de días]])*(1+Tabla2[[#This Row],[Hg]])</f>
        <v>747.75635926683867</v>
      </c>
    </row>
    <row r="263" spans="1:20" ht="14.5" x14ac:dyDescent="0.35">
      <c r="A263">
        <f t="shared" si="44"/>
        <v>262</v>
      </c>
      <c r="B263">
        <f t="shared" ca="1" si="45"/>
        <v>46085</v>
      </c>
      <c r="C263">
        <f t="shared" ca="1" si="46"/>
        <v>46157</v>
      </c>
      <c r="D263">
        <f t="shared" ca="1" si="47"/>
        <v>38</v>
      </c>
      <c r="E263">
        <f t="shared" ca="1" si="48"/>
        <v>0.54941101829238081</v>
      </c>
      <c r="F263">
        <f t="shared" ca="1" si="49"/>
        <v>4977.01</v>
      </c>
      <c r="G263" t="str">
        <f t="shared" ca="1" si="50"/>
        <v>personal</v>
      </c>
      <c r="H26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263" t="str">
        <f t="shared" ca="1" si="51"/>
        <v>Sí</v>
      </c>
      <c r="J26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63">
        <f ca="1">IF(Tabla2[[#This Row],[¿cliente deuda abierta?]]="Sí", Tabla2[[#This Row],[Deuda actual]]*Tabla2[[#This Row],[diferencia de días]], "0")</f>
        <v>189126.38</v>
      </c>
      <c r="L26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26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63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263">
        <f t="shared" ca="1" si="52"/>
        <v>2182.11</v>
      </c>
      <c r="P263">
        <f t="shared" ca="1" si="53"/>
        <v>75974.41</v>
      </c>
      <c r="Q263">
        <f t="shared" ca="1" si="54"/>
        <v>3</v>
      </c>
      <c r="R263">
        <f ca="1">((Tabla2[[#This Row],[Fantasma Comunicación]]+1)/(Tabla2[[#This Row],[Fantasma Comunicación]]+RANDBETWEEN(0,5)+2))-0.5</f>
        <v>0.16666666666666663</v>
      </c>
      <c r="S263">
        <f ca="1">1+MAX(0,Tabla2[[#This Row],[Deuda actual]]/Tabla2[[#This Row],[Liquidez]]+Tabla2[[#This Row],[Liquidez]]/(Tabla2[[#This Row],[Activos]]+Tabla2[[#This Row],[Liquidez]])+Tabla2[[#This Row],[Comunicación]])</f>
        <v>3.4754109333319625</v>
      </c>
      <c r="T263">
        <f ca="1">Tabla2[[#This Row],[Deuda actual]]*EXP(Tabla2[[#This Row],[Ki]]*Tabla2[[#This Row],[diferencia de días]])*(1+Tabla2[[#This Row],[Hg]])</f>
        <v>5945.2420933509029</v>
      </c>
    </row>
    <row r="264" spans="1:20" ht="14.5" x14ac:dyDescent="0.35">
      <c r="A264">
        <f t="shared" si="44"/>
        <v>263</v>
      </c>
      <c r="B264">
        <f t="shared" ca="1" si="45"/>
        <v>46135</v>
      </c>
      <c r="C264">
        <f t="shared" ca="1" si="46"/>
        <v>46157</v>
      </c>
      <c r="D264">
        <f t="shared" ca="1" si="47"/>
        <v>2</v>
      </c>
      <c r="E264">
        <f t="shared" ca="1" si="48"/>
        <v>0.11928718888787893</v>
      </c>
      <c r="F264">
        <f t="shared" ca="1" si="49"/>
        <v>341.61</v>
      </c>
      <c r="G264" t="str">
        <f t="shared" ca="1" si="50"/>
        <v>hipotecario</v>
      </c>
      <c r="H26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64" t="str">
        <f t="shared" ca="1" si="51"/>
        <v>Sí</v>
      </c>
      <c r="J26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64">
        <f ca="1">IF(Tabla2[[#This Row],[¿cliente deuda abierta?]]="Sí", Tabla2[[#This Row],[Deuda actual]]*Tabla2[[#This Row],[diferencia de días]], "0")</f>
        <v>683.22</v>
      </c>
      <c r="L26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6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6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64">
        <f t="shared" ca="1" si="52"/>
        <v>1437.5</v>
      </c>
      <c r="P264">
        <f t="shared" ca="1" si="53"/>
        <v>110923.18</v>
      </c>
      <c r="Q264">
        <f t="shared" ca="1" si="54"/>
        <v>4</v>
      </c>
      <c r="R264">
        <f ca="1">((Tabla2[[#This Row],[Fantasma Comunicación]]+1)/(Tabla2[[#This Row],[Fantasma Comunicación]]+RANDBETWEEN(0,5)+2))-0.5</f>
        <v>0.2142857142857143</v>
      </c>
      <c r="S264">
        <f ca="1">1+MAX(0,Tabla2[[#This Row],[Deuda actual]]/Tabla2[[#This Row],[Liquidez]]+Tabla2[[#This Row],[Liquidez]]/(Tabla2[[#This Row],[Activos]]+Tabla2[[#This Row],[Liquidez]])+Tabla2[[#This Row],[Comunicación]])</f>
        <v>1.4647210748146668</v>
      </c>
      <c r="T264">
        <f ca="1">Tabla2[[#This Row],[Deuda actual]]*EXP(Tabla2[[#This Row],[Ki]]*Tabla2[[#This Row],[diferencia de días]])*(1+Tabla2[[#This Row],[Hg]])</f>
        <v>358.83400489906649</v>
      </c>
    </row>
    <row r="265" spans="1:20" ht="14.5" x14ac:dyDescent="0.35">
      <c r="A265">
        <f t="shared" si="44"/>
        <v>264</v>
      </c>
      <c r="B265">
        <f t="shared" ca="1" si="45"/>
        <v>46140</v>
      </c>
      <c r="C265">
        <f t="shared" ca="1" si="46"/>
        <v>46157</v>
      </c>
      <c r="D265">
        <f t="shared" ca="1" si="47"/>
        <v>34</v>
      </c>
      <c r="E265">
        <f t="shared" ca="1" si="48"/>
        <v>0.34243864693564297</v>
      </c>
      <c r="F265">
        <f t="shared" ca="1" si="49"/>
        <v>4209.9399999999996</v>
      </c>
      <c r="G265" t="str">
        <f t="shared" ca="1" si="50"/>
        <v>hipotecario</v>
      </c>
      <c r="H26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265" t="str">
        <f t="shared" ca="1" si="51"/>
        <v>Sí</v>
      </c>
      <c r="J26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65">
        <f ca="1">IF(Tabla2[[#This Row],[¿cliente deuda abierta?]]="Sí", Tabla2[[#This Row],[Deuda actual]]*Tabla2[[#This Row],[diferencia de días]], "0")</f>
        <v>143137.96</v>
      </c>
      <c r="L26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26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65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265">
        <f t="shared" ca="1" si="52"/>
        <v>1241.31</v>
      </c>
      <c r="P265">
        <f t="shared" ca="1" si="53"/>
        <v>122587.93</v>
      </c>
      <c r="Q265">
        <f t="shared" ca="1" si="54"/>
        <v>1</v>
      </c>
      <c r="R265">
        <f ca="1">((Tabla2[[#This Row],[Fantasma Comunicación]]+1)/(Tabla2[[#This Row],[Fantasma Comunicación]]+RANDBETWEEN(0,5)+2))-0.5</f>
        <v>-9.9999999999999978E-2</v>
      </c>
      <c r="S265">
        <f ca="1">1+MAX(0,Tabla2[[#This Row],[Deuda actual]]/Tabla2[[#This Row],[Liquidez]]+Tabla2[[#This Row],[Liquidez]]/(Tabla2[[#This Row],[Activos]]+Tabla2[[#This Row],[Liquidez]])+Tabla2[[#This Row],[Comunicación]])</f>
        <v>4.3015542850182644</v>
      </c>
      <c r="T265">
        <f ca="1">Tabla2[[#This Row],[Deuda actual]]*EXP(Tabla2[[#This Row],[Ki]]*Tabla2[[#This Row],[diferencia de días]])*(1+Tabla2[[#This Row],[Hg]])</f>
        <v>5008.8699871363178</v>
      </c>
    </row>
    <row r="266" spans="1:20" ht="14.5" x14ac:dyDescent="0.35">
      <c r="A266">
        <f t="shared" si="44"/>
        <v>265</v>
      </c>
      <c r="B266">
        <f t="shared" ca="1" si="45"/>
        <v>46106</v>
      </c>
      <c r="C266">
        <f t="shared" ca="1" si="46"/>
        <v>46157</v>
      </c>
      <c r="D266">
        <f t="shared" ca="1" si="47"/>
        <v>1</v>
      </c>
      <c r="E266">
        <f t="shared" ca="1" si="48"/>
        <v>0.66401690618686937</v>
      </c>
      <c r="F266">
        <f t="shared" ca="1" si="49"/>
        <v>2103.9699999999998</v>
      </c>
      <c r="G266" t="str">
        <f t="shared" ca="1" si="50"/>
        <v>hipotecario</v>
      </c>
      <c r="H26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66" t="str">
        <f t="shared" ca="1" si="51"/>
        <v>Sí</v>
      </c>
      <c r="J26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66">
        <f ca="1">IF(Tabla2[[#This Row],[¿cliente deuda abierta?]]="Sí", Tabla2[[#This Row],[Deuda actual]]*Tabla2[[#This Row],[diferencia de días]], "0")</f>
        <v>2103.9699999999998</v>
      </c>
      <c r="L26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6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6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66">
        <f t="shared" ca="1" si="52"/>
        <v>1521.65</v>
      </c>
      <c r="P266">
        <f t="shared" ca="1" si="53"/>
        <v>87875.1</v>
      </c>
      <c r="Q266">
        <f t="shared" ca="1" si="54"/>
        <v>4</v>
      </c>
      <c r="R266">
        <f ca="1">((Tabla2[[#This Row],[Fantasma Comunicación]]+1)/(Tabla2[[#This Row],[Fantasma Comunicación]]+RANDBETWEEN(0,5)+2))-0.5</f>
        <v>0.2142857142857143</v>
      </c>
      <c r="S266">
        <f ca="1">1+MAX(0,Tabla2[[#This Row],[Deuda actual]]/Tabla2[[#This Row],[Liquidez]]+Tabla2[[#This Row],[Liquidez]]/(Tabla2[[#This Row],[Activos]]+Tabla2[[#This Row],[Liquidez]])+Tabla2[[#This Row],[Comunicación]])</f>
        <v>2.6139968698439913</v>
      </c>
      <c r="T266">
        <f ca="1">Tabla2[[#This Row],[Deuda actual]]*EXP(Tabla2[[#This Row],[Ki]]*Tabla2[[#This Row],[diferencia de días]])*(1+Tabla2[[#This Row],[Hg]])</f>
        <v>2209.6103778863157</v>
      </c>
    </row>
    <row r="267" spans="1:20" ht="14.5" x14ac:dyDescent="0.35">
      <c r="A267">
        <f t="shared" si="44"/>
        <v>266</v>
      </c>
      <c r="B267">
        <f t="shared" ca="1" si="45"/>
        <v>46111</v>
      </c>
      <c r="C267">
        <f t="shared" ca="1" si="46"/>
        <v>46157</v>
      </c>
      <c r="D267">
        <f t="shared" ca="1" si="47"/>
        <v>1</v>
      </c>
      <c r="E267">
        <f t="shared" ca="1" si="48"/>
        <v>0.57199553431632499</v>
      </c>
      <c r="F267">
        <f t="shared" ca="1" si="49"/>
        <v>534.66</v>
      </c>
      <c r="G267" t="str">
        <f t="shared" ca="1" si="50"/>
        <v>personal</v>
      </c>
      <c r="H26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67" t="str">
        <f t="shared" ca="1" si="51"/>
        <v>Sí</v>
      </c>
      <c r="J26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67">
        <f ca="1">IF(Tabla2[[#This Row],[¿cliente deuda abierta?]]="Sí", Tabla2[[#This Row],[Deuda actual]]*Tabla2[[#This Row],[diferencia de días]], "0")</f>
        <v>534.66</v>
      </c>
      <c r="L26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6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6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67">
        <f t="shared" ca="1" si="52"/>
        <v>1511.16</v>
      </c>
      <c r="P267">
        <f t="shared" ca="1" si="53"/>
        <v>161017.09</v>
      </c>
      <c r="Q267">
        <f t="shared" ca="1" si="54"/>
        <v>5</v>
      </c>
      <c r="R267">
        <f ca="1">((Tabla2[[#This Row],[Fantasma Comunicación]]+1)/(Tabla2[[#This Row],[Fantasma Comunicación]]+RANDBETWEEN(0,5)+2))-0.5</f>
        <v>0.3571428571428571</v>
      </c>
      <c r="S267">
        <f ca="1">1+MAX(0,Tabla2[[#This Row],[Deuda actual]]/Tabla2[[#This Row],[Liquidez]]+Tabla2[[#This Row],[Liquidez]]/(Tabla2[[#This Row],[Activos]]+Tabla2[[#This Row],[Liquidez]])+Tabla2[[#This Row],[Comunicación]])</f>
        <v>1.7202483578330534</v>
      </c>
      <c r="T267">
        <f ca="1">Tabla2[[#This Row],[Deuda actual]]*EXP(Tabla2[[#This Row],[Ki]]*Tabla2[[#This Row],[diferencia de días]])*(1+Tabla2[[#This Row],[Hg]])</f>
        <v>561.50528982860862</v>
      </c>
    </row>
    <row r="268" spans="1:20" ht="14.5" x14ac:dyDescent="0.35">
      <c r="A268">
        <f t="shared" si="44"/>
        <v>267</v>
      </c>
      <c r="B268">
        <f t="shared" ca="1" si="45"/>
        <v>46098</v>
      </c>
      <c r="C268">
        <f t="shared" ca="1" si="46"/>
        <v>46157</v>
      </c>
      <c r="D268">
        <f t="shared" ca="1" si="47"/>
        <v>1</v>
      </c>
      <c r="E268">
        <f t="shared" ca="1" si="48"/>
        <v>0.39676607645667428</v>
      </c>
      <c r="F268">
        <f t="shared" ca="1" si="49"/>
        <v>2344.5700000000002</v>
      </c>
      <c r="G268" t="str">
        <f t="shared" ca="1" si="50"/>
        <v>personal</v>
      </c>
      <c r="H26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68" t="str">
        <f t="shared" ca="1" si="51"/>
        <v>Sí</v>
      </c>
      <c r="J26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68">
        <f ca="1">IF(Tabla2[[#This Row],[¿cliente deuda abierta?]]="Sí", Tabla2[[#This Row],[Deuda actual]]*Tabla2[[#This Row],[diferencia de días]], "0")</f>
        <v>2344.5700000000002</v>
      </c>
      <c r="L26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6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6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68">
        <f t="shared" ca="1" si="52"/>
        <v>1364.48</v>
      </c>
      <c r="P268">
        <f t="shared" ca="1" si="53"/>
        <v>191403.51999999999</v>
      </c>
      <c r="Q268">
        <f t="shared" ca="1" si="54"/>
        <v>4</v>
      </c>
      <c r="R268">
        <f ca="1">((Tabla2[[#This Row],[Fantasma Comunicación]]+1)/(Tabla2[[#This Row],[Fantasma Comunicación]]+RANDBETWEEN(0,5)+2))-0.5</f>
        <v>5.555555555555558E-2</v>
      </c>
      <c r="S268">
        <f ca="1">1+MAX(0,Tabla2[[#This Row],[Deuda actual]]/Tabla2[[#This Row],[Liquidez]]+Tabla2[[#This Row],[Liquidez]]/(Tabla2[[#This Row],[Activos]]+Tabla2[[#This Row],[Liquidez]])+Tabla2[[#This Row],[Comunicación]])</f>
        <v>2.7809221944564873</v>
      </c>
      <c r="T268">
        <f ca="1">Tabla2[[#This Row],[Deuda actual]]*EXP(Tabla2[[#This Row],[Ki]]*Tabla2[[#This Row],[diferencia de días]])*(1+Tabla2[[#This Row],[Hg]])</f>
        <v>2462.2909089392529</v>
      </c>
    </row>
    <row r="269" spans="1:20" ht="14.5" x14ac:dyDescent="0.35">
      <c r="A269">
        <f t="shared" si="44"/>
        <v>268</v>
      </c>
      <c r="B269">
        <f t="shared" ca="1" si="45"/>
        <v>46136</v>
      </c>
      <c r="C269">
        <f t="shared" ca="1" si="46"/>
        <v>46157</v>
      </c>
      <c r="D269">
        <f t="shared" ca="1" si="47"/>
        <v>14</v>
      </c>
      <c r="E269">
        <f t="shared" ca="1" si="48"/>
        <v>0.29218971139826055</v>
      </c>
      <c r="F269">
        <f t="shared" ca="1" si="49"/>
        <v>278.45</v>
      </c>
      <c r="G269" t="str">
        <f t="shared" ca="1" si="50"/>
        <v>hipotecario</v>
      </c>
      <c r="H26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69" t="str">
        <f t="shared" ca="1" si="51"/>
        <v>Sí</v>
      </c>
      <c r="J26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69">
        <f ca="1">IF(Tabla2[[#This Row],[¿cliente deuda abierta?]]="Sí", Tabla2[[#This Row],[Deuda actual]]*Tabla2[[#This Row],[diferencia de días]], "0")</f>
        <v>3898.2999999999997</v>
      </c>
      <c r="L26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6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6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69">
        <f t="shared" ca="1" si="52"/>
        <v>1771.96</v>
      </c>
      <c r="P269">
        <f t="shared" ca="1" si="53"/>
        <v>220996.09</v>
      </c>
      <c r="Q269">
        <f t="shared" ca="1" si="54"/>
        <v>3</v>
      </c>
      <c r="R269">
        <f ca="1">((Tabla2[[#This Row],[Fantasma Comunicación]]+1)/(Tabla2[[#This Row],[Fantasma Comunicación]]+RANDBETWEEN(0,5)+2))-0.5</f>
        <v>-9.9999999999999978E-2</v>
      </c>
      <c r="S269">
        <f ca="1">1+MAX(0,Tabla2[[#This Row],[Deuda actual]]/Tabla2[[#This Row],[Liquidez]]+Tabla2[[#This Row],[Liquidez]]/(Tabla2[[#This Row],[Activos]]+Tabla2[[#This Row],[Liquidez]])+Tabla2[[#This Row],[Comunicación]])</f>
        <v>1.0650966559094921</v>
      </c>
      <c r="T269">
        <f ca="1">Tabla2[[#This Row],[Deuda actual]]*EXP(Tabla2[[#This Row],[Ki]]*Tabla2[[#This Row],[diferencia de días]])*(1+Tabla2[[#This Row],[Hg]])</f>
        <v>293.19229017064271</v>
      </c>
    </row>
    <row r="270" spans="1:20" ht="14.5" x14ac:dyDescent="0.35">
      <c r="A270">
        <f t="shared" si="44"/>
        <v>269</v>
      </c>
      <c r="B270">
        <f t="shared" ca="1" si="45"/>
        <v>46143</v>
      </c>
      <c r="C270">
        <f t="shared" ca="1" si="46"/>
        <v>46157</v>
      </c>
      <c r="D270">
        <f t="shared" ca="1" si="47"/>
        <v>2</v>
      </c>
      <c r="E270">
        <f t="shared" ca="1" si="48"/>
        <v>0.28592666578411252</v>
      </c>
      <c r="F270">
        <f t="shared" ca="1" si="49"/>
        <v>390.59</v>
      </c>
      <c r="G270" t="str">
        <f t="shared" ca="1" si="50"/>
        <v>hipotecario</v>
      </c>
      <c r="H27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70" t="str">
        <f t="shared" ca="1" si="51"/>
        <v>No</v>
      </c>
      <c r="J27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164998.95198726852</v>
      </c>
      <c r="K270" t="str">
        <f ca="1">IF(Tabla2[[#This Row],[¿cliente deuda abierta?]]="Sí", Tabla2[[#This Row],[Deuda actual]]*Tabla2[[#This Row],[diferencia de días]], "0")</f>
        <v>0</v>
      </c>
      <c r="L27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7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27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270">
        <f t="shared" ca="1" si="52"/>
        <v>1516.39</v>
      </c>
      <c r="P270">
        <f t="shared" ca="1" si="53"/>
        <v>68535.37</v>
      </c>
      <c r="Q270">
        <f t="shared" ca="1" si="54"/>
        <v>2</v>
      </c>
      <c r="R270">
        <f ca="1">((Tabla2[[#This Row],[Fantasma Comunicación]]+1)/(Tabla2[[#This Row],[Fantasma Comunicación]]+RANDBETWEEN(0,5)+2))-0.5</f>
        <v>-0.16666666666666669</v>
      </c>
      <c r="S270">
        <f ca="1">1+MAX(0,Tabla2[[#This Row],[Deuda actual]]/Tabla2[[#This Row],[Liquidez]]+Tabla2[[#This Row],[Liquidez]]/(Tabla2[[#This Row],[Activos]]+Tabla2[[#This Row],[Liquidez]])+Tabla2[[#This Row],[Comunicación]])</f>
        <v>1.1125588964684947</v>
      </c>
      <c r="T270">
        <f ca="1">Tabla2[[#This Row],[Deuda actual]]*EXP(Tabla2[[#This Row],[Ki]]*Tabla2[[#This Row],[diferencia de días]])*(1+Tabla2[[#This Row],[Hg]])</f>
        <v>312.5970138010934</v>
      </c>
    </row>
    <row r="271" spans="1:20" ht="14.5" x14ac:dyDescent="0.35">
      <c r="A271">
        <f t="shared" si="44"/>
        <v>270</v>
      </c>
      <c r="B271">
        <f t="shared" ca="1" si="45"/>
        <v>46127</v>
      </c>
      <c r="C271">
        <f t="shared" ca="1" si="46"/>
        <v>46157</v>
      </c>
      <c r="D271">
        <f t="shared" ca="1" si="47"/>
        <v>2</v>
      </c>
      <c r="E271">
        <f t="shared" ca="1" si="48"/>
        <v>7.7384443500148059E-2</v>
      </c>
      <c r="F271">
        <f t="shared" ca="1" si="49"/>
        <v>530.11</v>
      </c>
      <c r="G271" t="str">
        <f t="shared" ca="1" si="50"/>
        <v>hipotecario</v>
      </c>
      <c r="H27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71" t="str">
        <f t="shared" ca="1" si="51"/>
        <v>Sí</v>
      </c>
      <c r="J27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71">
        <f ca="1">IF(Tabla2[[#This Row],[¿cliente deuda abierta?]]="Sí", Tabla2[[#This Row],[Deuda actual]]*Tabla2[[#This Row],[diferencia de días]], "0")</f>
        <v>1060.22</v>
      </c>
      <c r="L27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7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7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71">
        <f t="shared" ca="1" si="52"/>
        <v>2529.27</v>
      </c>
      <c r="P271">
        <f t="shared" ca="1" si="53"/>
        <v>172464.27</v>
      </c>
      <c r="Q271">
        <f t="shared" ca="1" si="54"/>
        <v>0</v>
      </c>
      <c r="R271">
        <f ca="1">((Tabla2[[#This Row],[Fantasma Comunicación]]+1)/(Tabla2[[#This Row],[Fantasma Comunicación]]+RANDBETWEEN(0,5)+2))-0.5</f>
        <v>0</v>
      </c>
      <c r="S271">
        <f ca="1">1+MAX(0,Tabla2[[#This Row],[Deuda actual]]/Tabla2[[#This Row],[Liquidez]]+Tabla2[[#This Row],[Liquidez]]/(Tabla2[[#This Row],[Activos]]+Tabla2[[#This Row],[Liquidez]])+Tabla2[[#This Row],[Comunicación]])</f>
        <v>1.2240436238574421</v>
      </c>
      <c r="T271">
        <f ca="1">Tabla2[[#This Row],[Deuda actual]]*EXP(Tabla2[[#This Row],[Ki]]*Tabla2[[#This Row],[diferencia de días]])*(1+Tabla2[[#This Row],[Hg]])</f>
        <v>556.83819073517793</v>
      </c>
    </row>
    <row r="272" spans="1:20" ht="14.5" x14ac:dyDescent="0.35">
      <c r="A272">
        <f t="shared" si="44"/>
        <v>271</v>
      </c>
      <c r="B272">
        <f t="shared" ca="1" si="45"/>
        <v>46105</v>
      </c>
      <c r="C272">
        <f t="shared" ca="1" si="46"/>
        <v>46157</v>
      </c>
      <c r="D272">
        <f t="shared" ca="1" si="47"/>
        <v>21</v>
      </c>
      <c r="E272">
        <f t="shared" ca="1" si="48"/>
        <v>0.88719137936380099</v>
      </c>
      <c r="F272">
        <f t="shared" ca="1" si="49"/>
        <v>883.25</v>
      </c>
      <c r="G272" t="str">
        <f t="shared" ca="1" si="50"/>
        <v>personal</v>
      </c>
      <c r="H27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72" t="str">
        <f t="shared" ca="1" si="51"/>
        <v>No</v>
      </c>
      <c r="J27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11999.101647238296</v>
      </c>
      <c r="K272" t="str">
        <f ca="1">IF(Tabla2[[#This Row],[¿cliente deuda abierta?]]="Sí", Tabla2[[#This Row],[Deuda actual]]*Tabla2[[#This Row],[diferencia de días]], "0")</f>
        <v>0</v>
      </c>
      <c r="L27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7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72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72">
        <f t="shared" ca="1" si="52"/>
        <v>1726.61</v>
      </c>
      <c r="P272">
        <f t="shared" ca="1" si="53"/>
        <v>100362.12</v>
      </c>
      <c r="Q272">
        <f t="shared" ca="1" si="54"/>
        <v>0</v>
      </c>
      <c r="R272">
        <f ca="1">((Tabla2[[#This Row],[Fantasma Comunicación]]+1)/(Tabla2[[#This Row],[Fantasma Comunicación]]+RANDBETWEEN(0,5)+2))-0.5</f>
        <v>-0.25</v>
      </c>
      <c r="S272">
        <f ca="1">1+MAX(0,Tabla2[[#This Row],[Deuda actual]]/Tabla2[[#This Row],[Liquidez]]+Tabla2[[#This Row],[Liquidez]]/(Tabla2[[#This Row],[Activos]]+Tabla2[[#This Row],[Liquidez]])+Tabla2[[#This Row],[Comunicación]])</f>
        <v>1.2784643739156332</v>
      </c>
      <c r="T272">
        <f ca="1">Tabla2[[#This Row],[Deuda actual]]*EXP(Tabla2[[#This Row],[Ki]]*Tabla2[[#This Row],[diferencia de días]])*(1+Tabla2[[#This Row],[Hg]])</f>
        <v>801.63049364505298</v>
      </c>
    </row>
    <row r="273" spans="1:20" ht="14.5" x14ac:dyDescent="0.35">
      <c r="A273">
        <f t="shared" si="44"/>
        <v>272</v>
      </c>
      <c r="B273">
        <f t="shared" ca="1" si="45"/>
        <v>46128</v>
      </c>
      <c r="C273">
        <f t="shared" ca="1" si="46"/>
        <v>46157</v>
      </c>
      <c r="D273">
        <f t="shared" ca="1" si="47"/>
        <v>6</v>
      </c>
      <c r="E273">
        <f t="shared" ca="1" si="48"/>
        <v>0.87756983346169615</v>
      </c>
      <c r="F273">
        <f t="shared" ca="1" si="49"/>
        <v>1039.74</v>
      </c>
      <c r="G273" t="str">
        <f t="shared" ca="1" si="50"/>
        <v>personal</v>
      </c>
      <c r="H27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73" t="str">
        <f t="shared" ca="1" si="51"/>
        <v>No</v>
      </c>
      <c r="J27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11999.029963167965</v>
      </c>
      <c r="K273" t="str">
        <f ca="1">IF(Tabla2[[#This Row],[¿cliente deuda abierta?]]="Sí", Tabla2[[#This Row],[Deuda actual]]*Tabla2[[#This Row],[diferencia de días]], "0")</f>
        <v>0</v>
      </c>
      <c r="L27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7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7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73">
        <f t="shared" ca="1" si="52"/>
        <v>1532.04</v>
      </c>
      <c r="P273">
        <f t="shared" ca="1" si="53"/>
        <v>171130.25</v>
      </c>
      <c r="Q273">
        <f t="shared" ca="1" si="54"/>
        <v>5</v>
      </c>
      <c r="R273">
        <f ca="1">((Tabla2[[#This Row],[Fantasma Comunicación]]+1)/(Tabla2[[#This Row],[Fantasma Comunicación]]+RANDBETWEEN(0,5)+2))-0.5</f>
        <v>4.5454545454545414E-2</v>
      </c>
      <c r="S273">
        <f ca="1">1+MAX(0,Tabla2[[#This Row],[Deuda actual]]/Tabla2[[#This Row],[Liquidez]]+Tabla2[[#This Row],[Liquidez]]/(Tabla2[[#This Row],[Activos]]+Tabla2[[#This Row],[Liquidez]])+Tabla2[[#This Row],[Comunicación]])</f>
        <v>1.7329913313577792</v>
      </c>
      <c r="T273">
        <f ca="1">Tabla2[[#This Row],[Deuda actual]]*EXP(Tabla2[[#This Row],[Ki]]*Tabla2[[#This Row],[diferencia de días]])*(1+Tabla2[[#This Row],[Hg]])</f>
        <v>936.88959322110145</v>
      </c>
    </row>
    <row r="274" spans="1:20" ht="14.5" x14ac:dyDescent="0.35">
      <c r="A274">
        <f t="shared" si="44"/>
        <v>273</v>
      </c>
      <c r="B274">
        <f t="shared" ca="1" si="45"/>
        <v>46093</v>
      </c>
      <c r="C274">
        <f t="shared" ca="1" si="46"/>
        <v>46157</v>
      </c>
      <c r="D274">
        <f t="shared" ca="1" si="47"/>
        <v>5</v>
      </c>
      <c r="E274">
        <f t="shared" ca="1" si="48"/>
        <v>0.71081102985455091</v>
      </c>
      <c r="F274">
        <f t="shared" ca="1" si="49"/>
        <v>531.92999999999995</v>
      </c>
      <c r="G274" t="str">
        <f t="shared" ca="1" si="50"/>
        <v>personal</v>
      </c>
      <c r="H27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74" t="str">
        <f t="shared" ca="1" si="51"/>
        <v>No</v>
      </c>
      <c r="J27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11999.287279380824</v>
      </c>
      <c r="K274" t="str">
        <f ca="1">IF(Tabla2[[#This Row],[¿cliente deuda abierta?]]="Sí", Tabla2[[#This Row],[Deuda actual]]*Tabla2[[#This Row],[diferencia de días]], "0")</f>
        <v>0</v>
      </c>
      <c r="L27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7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7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74">
        <f t="shared" ca="1" si="52"/>
        <v>2400.6999999999998</v>
      </c>
      <c r="P274">
        <f t="shared" ca="1" si="53"/>
        <v>41171.699999999997</v>
      </c>
      <c r="Q274">
        <f t="shared" ca="1" si="54"/>
        <v>1</v>
      </c>
      <c r="R274">
        <f ca="1">((Tabla2[[#This Row],[Fantasma Comunicación]]+1)/(Tabla2[[#This Row],[Fantasma Comunicación]]+RANDBETWEEN(0,5)+2))-0.5</f>
        <v>-0.2142857142857143</v>
      </c>
      <c r="S274">
        <f ca="1">1+MAX(0,Tabla2[[#This Row],[Deuda actual]]/Tabla2[[#This Row],[Liquidez]]+Tabla2[[#This Row],[Liquidez]]/(Tabla2[[#This Row],[Activos]]+Tabla2[[#This Row],[Liquidez]])+Tabla2[[#This Row],[Comunicación]])</f>
        <v>1.0623839646916489</v>
      </c>
      <c r="T274">
        <f ca="1">Tabla2[[#This Row],[Deuda actual]]*EXP(Tabla2[[#This Row],[Ki]]*Tabla2[[#This Row],[diferencia de días]])*(1+Tabla2[[#This Row],[Hg]])</f>
        <v>479.2159764483095</v>
      </c>
    </row>
    <row r="275" spans="1:20" ht="14.5" x14ac:dyDescent="0.35">
      <c r="A275">
        <f t="shared" si="44"/>
        <v>274</v>
      </c>
      <c r="B275">
        <f t="shared" ca="1" si="45"/>
        <v>46129</v>
      </c>
      <c r="C275">
        <f t="shared" ca="1" si="46"/>
        <v>46157</v>
      </c>
      <c r="D275">
        <f t="shared" ca="1" si="47"/>
        <v>16</v>
      </c>
      <c r="E275">
        <f t="shared" ca="1" si="48"/>
        <v>0.99467556824254377</v>
      </c>
      <c r="F275">
        <f t="shared" ca="1" si="49"/>
        <v>221.96</v>
      </c>
      <c r="G275" t="str">
        <f t="shared" ca="1" si="50"/>
        <v>personal</v>
      </c>
      <c r="H27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75" t="str">
        <f t="shared" ca="1" si="51"/>
        <v>No</v>
      </c>
      <c r="J27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11999.174865212843</v>
      </c>
      <c r="K275" t="str">
        <f ca="1">IF(Tabla2[[#This Row],[¿cliente deuda abierta?]]="Sí", Tabla2[[#This Row],[Deuda actual]]*Tabla2[[#This Row],[diferencia de días]], "0")</f>
        <v>0</v>
      </c>
      <c r="L27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7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7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75">
        <f t="shared" ca="1" si="52"/>
        <v>1772.62</v>
      </c>
      <c r="P275">
        <f t="shared" ca="1" si="53"/>
        <v>76126.39</v>
      </c>
      <c r="Q275">
        <f t="shared" ca="1" si="54"/>
        <v>2</v>
      </c>
      <c r="R275">
        <f ca="1">((Tabla2[[#This Row],[Fantasma Comunicación]]+1)/(Tabla2[[#This Row],[Fantasma Comunicación]]+RANDBETWEEN(0,5)+2))-0.5</f>
        <v>0.25</v>
      </c>
      <c r="S275">
        <f ca="1">1+MAX(0,Tabla2[[#This Row],[Deuda actual]]/Tabla2[[#This Row],[Liquidez]]+Tabla2[[#This Row],[Liquidez]]/(Tabla2[[#This Row],[Activos]]+Tabla2[[#This Row],[Liquidez]])+Tabla2[[#This Row],[Comunicación]])</f>
        <v>1.3979711420804848</v>
      </c>
      <c r="T275">
        <f ca="1">Tabla2[[#This Row],[Deuda actual]]*EXP(Tabla2[[#This Row],[Ki]]*Tabla2[[#This Row],[diferencia de días]])*(1+Tabla2[[#This Row],[Hg]])</f>
        <v>201.04658950852476</v>
      </c>
    </row>
    <row r="276" spans="1:20" ht="14.5" x14ac:dyDescent="0.35">
      <c r="A276">
        <f t="shared" si="44"/>
        <v>275</v>
      </c>
      <c r="B276">
        <f t="shared" ca="1" si="45"/>
        <v>46139</v>
      </c>
      <c r="C276">
        <f t="shared" ca="1" si="46"/>
        <v>46157</v>
      </c>
      <c r="D276">
        <f t="shared" ca="1" si="47"/>
        <v>39</v>
      </c>
      <c r="E276">
        <f t="shared" ca="1" si="48"/>
        <v>0.2823319270864254</v>
      </c>
      <c r="F276">
        <f t="shared" ca="1" si="49"/>
        <v>367.06</v>
      </c>
      <c r="G276" t="str">
        <f t="shared" ca="1" si="50"/>
        <v>personal</v>
      </c>
      <c r="H27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276" t="str">
        <f t="shared" ca="1" si="51"/>
        <v>Sí</v>
      </c>
      <c r="J27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76">
        <f ca="1">IF(Tabla2[[#This Row],[¿cliente deuda abierta?]]="Sí", Tabla2[[#This Row],[Deuda actual]]*Tabla2[[#This Row],[diferencia de días]], "0")</f>
        <v>14315.34</v>
      </c>
      <c r="L27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7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7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76">
        <f t="shared" ca="1" si="52"/>
        <v>1507.41</v>
      </c>
      <c r="P276">
        <f t="shared" ca="1" si="53"/>
        <v>126005.45</v>
      </c>
      <c r="Q276">
        <f t="shared" ca="1" si="54"/>
        <v>5</v>
      </c>
      <c r="R276">
        <f ca="1">((Tabla2[[#This Row],[Fantasma Comunicación]]+1)/(Tabla2[[#This Row],[Fantasma Comunicación]]+RANDBETWEEN(0,5)+2))-0.5</f>
        <v>0</v>
      </c>
      <c r="S276">
        <f ca="1">1+MAX(0,Tabla2[[#This Row],[Deuda actual]]/Tabla2[[#This Row],[Liquidez]]+Tabla2[[#This Row],[Liquidez]]/(Tabla2[[#This Row],[Activos]]+Tabla2[[#This Row],[Liquidez]])+Tabla2[[#This Row],[Comunicación]])</f>
        <v>1.2553253892688852</v>
      </c>
      <c r="T276">
        <f ca="1">Tabla2[[#This Row],[Deuda actual]]*EXP(Tabla2[[#This Row],[Ki]]*Tabla2[[#This Row],[diferencia de días]])*(1+Tabla2[[#This Row],[Hg]])</f>
        <v>400.74106141505831</v>
      </c>
    </row>
    <row r="277" spans="1:20" ht="14.5" x14ac:dyDescent="0.35">
      <c r="A277">
        <f t="shared" si="44"/>
        <v>276</v>
      </c>
      <c r="B277">
        <f t="shared" ca="1" si="45"/>
        <v>46106</v>
      </c>
      <c r="C277">
        <f t="shared" ca="1" si="46"/>
        <v>46157</v>
      </c>
      <c r="D277">
        <f t="shared" ca="1" si="47"/>
        <v>18</v>
      </c>
      <c r="E277">
        <f t="shared" ca="1" si="48"/>
        <v>0.7532816526728866</v>
      </c>
      <c r="F277">
        <f t="shared" ca="1" si="49"/>
        <v>47.33</v>
      </c>
      <c r="G277" t="str">
        <f t="shared" ca="1" si="50"/>
        <v>personal</v>
      </c>
      <c r="H27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77" t="str">
        <f t="shared" ca="1" si="51"/>
        <v>No</v>
      </c>
      <c r="J27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11999.978000960955</v>
      </c>
      <c r="K277" t="str">
        <f ca="1">IF(Tabla2[[#This Row],[¿cliente deuda abierta?]]="Sí", Tabla2[[#This Row],[Deuda actual]]*Tabla2[[#This Row],[diferencia de días]], "0")</f>
        <v>0</v>
      </c>
      <c r="L27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7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77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77">
        <f t="shared" ca="1" si="52"/>
        <v>1906.24</v>
      </c>
      <c r="P277">
        <f t="shared" ca="1" si="53"/>
        <v>56259.86</v>
      </c>
      <c r="Q277">
        <f t="shared" ca="1" si="54"/>
        <v>5</v>
      </c>
      <c r="R277">
        <f ca="1">((Tabla2[[#This Row],[Fantasma Comunicación]]+1)/(Tabla2[[#This Row],[Fantasma Comunicación]]+RANDBETWEEN(0,5)+2))-0.5</f>
        <v>0.16666666666666663</v>
      </c>
      <c r="S277">
        <f ca="1">1+MAX(0,Tabla2[[#This Row],[Deuda actual]]/Tabla2[[#This Row],[Liquidez]]+Tabla2[[#This Row],[Liquidez]]/(Tabla2[[#This Row],[Activos]]+Tabla2[[#This Row],[Liquidez]])+Tabla2[[#This Row],[Comunicación]])</f>
        <v>1.2242680030322515</v>
      </c>
      <c r="T277">
        <f ca="1">Tabla2[[#This Row],[Deuda actual]]*EXP(Tabla2[[#This Row],[Ki]]*Tabla2[[#This Row],[diferencia de días]])*(1+Tabla2[[#This Row],[Hg]])</f>
        <v>42.904805168890832</v>
      </c>
    </row>
    <row r="278" spans="1:20" ht="14.5" x14ac:dyDescent="0.35">
      <c r="A278">
        <f t="shared" si="44"/>
        <v>277</v>
      </c>
      <c r="B278">
        <f t="shared" ca="1" si="45"/>
        <v>46132</v>
      </c>
      <c r="C278">
        <f t="shared" ca="1" si="46"/>
        <v>46157</v>
      </c>
      <c r="D278">
        <f t="shared" ca="1" si="47"/>
        <v>9</v>
      </c>
      <c r="E278">
        <f t="shared" ca="1" si="48"/>
        <v>0.82962504245925972</v>
      </c>
      <c r="F278">
        <f t="shared" ca="1" si="49"/>
        <v>7044.26</v>
      </c>
      <c r="G278" t="str">
        <f t="shared" ca="1" si="50"/>
        <v>hipotecario</v>
      </c>
      <c r="H27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78" t="str">
        <f t="shared" ca="1" si="51"/>
        <v>Sí</v>
      </c>
      <c r="J27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78">
        <f ca="1">IF(Tabla2[[#This Row],[¿cliente deuda abierta?]]="Sí", Tabla2[[#This Row],[Deuda actual]]*Tabla2[[#This Row],[diferencia de días]], "0")</f>
        <v>63398.340000000004</v>
      </c>
      <c r="L27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27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78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278">
        <f t="shared" ca="1" si="52"/>
        <v>1827.49</v>
      </c>
      <c r="P278">
        <f t="shared" ca="1" si="53"/>
        <v>101514.12</v>
      </c>
      <c r="Q278">
        <f t="shared" ca="1" si="54"/>
        <v>0</v>
      </c>
      <c r="R278">
        <f ca="1">((Tabla2[[#This Row],[Fantasma Comunicación]]+1)/(Tabla2[[#This Row],[Fantasma Comunicación]]+RANDBETWEEN(0,5)+2))-0.5</f>
        <v>-0.33333333333333337</v>
      </c>
      <c r="S278">
        <f ca="1">1+MAX(0,Tabla2[[#This Row],[Deuda actual]]/Tabla2[[#This Row],[Liquidez]]+Tabla2[[#This Row],[Liquidez]]/(Tabla2[[#This Row],[Activos]]+Tabla2[[#This Row],[Liquidez]])+Tabla2[[#This Row],[Comunicación]])</f>
        <v>4.5389599648820553</v>
      </c>
      <c r="T278">
        <f ca="1">Tabla2[[#This Row],[Deuda actual]]*EXP(Tabla2[[#This Row],[Ki]]*Tabla2[[#This Row],[diferencia de días]])*(1+Tabla2[[#This Row],[Hg]])</f>
        <v>8115.4937495339991</v>
      </c>
    </row>
    <row r="279" spans="1:20" ht="14.5" x14ac:dyDescent="0.35">
      <c r="A279">
        <f t="shared" si="44"/>
        <v>278</v>
      </c>
      <c r="B279">
        <f t="shared" ca="1" si="45"/>
        <v>46082</v>
      </c>
      <c r="C279">
        <f t="shared" ca="1" si="46"/>
        <v>46157</v>
      </c>
      <c r="D279">
        <f t="shared" ca="1" si="47"/>
        <v>5</v>
      </c>
      <c r="E279">
        <f t="shared" ca="1" si="48"/>
        <v>0.11842206698655233</v>
      </c>
      <c r="F279">
        <f t="shared" ca="1" si="49"/>
        <v>1381.01</v>
      </c>
      <c r="G279" t="str">
        <f t="shared" ca="1" si="50"/>
        <v>personal</v>
      </c>
      <c r="H27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79" t="str">
        <f t="shared" ca="1" si="51"/>
        <v>No</v>
      </c>
      <c r="J27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11998.610423628354</v>
      </c>
      <c r="K279" t="str">
        <f ca="1">IF(Tabla2[[#This Row],[¿cliente deuda abierta?]]="Sí", Tabla2[[#This Row],[Deuda actual]]*Tabla2[[#This Row],[diferencia de días]], "0")</f>
        <v>0</v>
      </c>
      <c r="L27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7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79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79">
        <f t="shared" ca="1" si="52"/>
        <v>1570.72</v>
      </c>
      <c r="P279">
        <f t="shared" ca="1" si="53"/>
        <v>238045.06</v>
      </c>
      <c r="Q279">
        <f t="shared" ca="1" si="54"/>
        <v>2</v>
      </c>
      <c r="R279">
        <f ca="1">((Tabla2[[#This Row],[Fantasma Comunicación]]+1)/(Tabla2[[#This Row],[Fantasma Comunicación]]+RANDBETWEEN(0,5)+2))-0.5</f>
        <v>-0.16666666666666669</v>
      </c>
      <c r="S279">
        <f ca="1">1+MAX(0,Tabla2[[#This Row],[Deuda actual]]/Tabla2[[#This Row],[Liquidez]]+Tabla2[[#This Row],[Liquidez]]/(Tabla2[[#This Row],[Activos]]+Tabla2[[#This Row],[Liquidez]])+Tabla2[[#This Row],[Comunicación]])</f>
        <v>1.7191094884601359</v>
      </c>
      <c r="T279">
        <f ca="1">Tabla2[[#This Row],[Deuda actual]]*EXP(Tabla2[[#This Row],[Ki]]*Tabla2[[#This Row],[diferencia de días]])*(1+Tabla2[[#This Row],[Hg]])</f>
        <v>1244.1525306617034</v>
      </c>
    </row>
    <row r="280" spans="1:20" ht="14.5" x14ac:dyDescent="0.35">
      <c r="A280">
        <f t="shared" si="44"/>
        <v>279</v>
      </c>
      <c r="B280">
        <f t="shared" ca="1" si="45"/>
        <v>46087</v>
      </c>
      <c r="C280">
        <f t="shared" ca="1" si="46"/>
        <v>46157</v>
      </c>
      <c r="D280">
        <f t="shared" ca="1" si="47"/>
        <v>13</v>
      </c>
      <c r="E280">
        <f t="shared" ca="1" si="48"/>
        <v>7.0453186618383956E-2</v>
      </c>
      <c r="F280">
        <f t="shared" ca="1" si="49"/>
        <v>1497.87</v>
      </c>
      <c r="G280" t="str">
        <f t="shared" ca="1" si="50"/>
        <v>hipotecario</v>
      </c>
      <c r="H28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80" t="str">
        <f t="shared" ca="1" si="51"/>
        <v>Sí</v>
      </c>
      <c r="J28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80">
        <f ca="1">IF(Tabla2[[#This Row],[¿cliente deuda abierta?]]="Sí", Tabla2[[#This Row],[Deuda actual]]*Tabla2[[#This Row],[diferencia de días]], "0")</f>
        <v>19472.309999999998</v>
      </c>
      <c r="L28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8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8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80">
        <f t="shared" ca="1" si="52"/>
        <v>1252.67</v>
      </c>
      <c r="P280">
        <f t="shared" ca="1" si="53"/>
        <v>51298.82</v>
      </c>
      <c r="Q280">
        <f t="shared" ca="1" si="54"/>
        <v>4</v>
      </c>
      <c r="R280">
        <f ca="1">((Tabla2[[#This Row],[Fantasma Comunicación]]+1)/(Tabla2[[#This Row],[Fantasma Comunicación]]+RANDBETWEEN(0,5)+2))-0.5</f>
        <v>0.2142857142857143</v>
      </c>
      <c r="S280">
        <f ca="1">1+MAX(0,Tabla2[[#This Row],[Deuda actual]]/Tabla2[[#This Row],[Liquidez]]+Tabla2[[#This Row],[Liquidez]]/(Tabla2[[#This Row],[Activos]]+Tabla2[[#This Row],[Liquidez]])+Tabla2[[#This Row],[Comunicación]])</f>
        <v>2.4338646121257059</v>
      </c>
      <c r="T280">
        <f ca="1">Tabla2[[#This Row],[Deuda actual]]*EXP(Tabla2[[#This Row],[Ki]]*Tabla2[[#This Row],[diferencia de días]])*(1+Tabla2[[#This Row],[Hg]])</f>
        <v>1576.8580056507747</v>
      </c>
    </row>
    <row r="281" spans="1:20" ht="14.5" x14ac:dyDescent="0.35">
      <c r="A281">
        <f t="shared" si="44"/>
        <v>280</v>
      </c>
      <c r="B281">
        <f t="shared" ca="1" si="45"/>
        <v>46084</v>
      </c>
      <c r="C281">
        <f t="shared" ca="1" si="46"/>
        <v>46157</v>
      </c>
      <c r="D281">
        <f t="shared" ca="1" si="47"/>
        <v>26</v>
      </c>
      <c r="E281">
        <f t="shared" ca="1" si="48"/>
        <v>8.4684659675587359E-2</v>
      </c>
      <c r="F281">
        <f t="shared" ca="1" si="49"/>
        <v>2822.89</v>
      </c>
      <c r="G281" t="str">
        <f t="shared" ca="1" si="50"/>
        <v>hipotecario</v>
      </c>
      <c r="H28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81" t="str">
        <f t="shared" ca="1" si="51"/>
        <v>Sí</v>
      </c>
      <c r="J28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81">
        <f ca="1">IF(Tabla2[[#This Row],[¿cliente deuda abierta?]]="Sí", Tabla2[[#This Row],[Deuda actual]]*Tabla2[[#This Row],[diferencia de días]], "0")</f>
        <v>73395.14</v>
      </c>
      <c r="L28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28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81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281">
        <f t="shared" ca="1" si="52"/>
        <v>1859.21</v>
      </c>
      <c r="P281">
        <f t="shared" ca="1" si="53"/>
        <v>158279.29</v>
      </c>
      <c r="Q281">
        <f t="shared" ca="1" si="54"/>
        <v>3</v>
      </c>
      <c r="R281">
        <f ca="1">((Tabla2[[#This Row],[Fantasma Comunicación]]+1)/(Tabla2[[#This Row],[Fantasma Comunicación]]+RANDBETWEEN(0,5)+2))-0.5</f>
        <v>0.16666666666666663</v>
      </c>
      <c r="S281">
        <f ca="1">1+MAX(0,Tabla2[[#This Row],[Deuda actual]]/Tabla2[[#This Row],[Liquidez]]+Tabla2[[#This Row],[Liquidez]]/(Tabla2[[#This Row],[Activos]]+Tabla2[[#This Row],[Liquidez]])+Tabla2[[#This Row],[Comunicación]])</f>
        <v>2.6966043560584918</v>
      </c>
      <c r="T281">
        <f ca="1">Tabla2[[#This Row],[Deuda actual]]*EXP(Tabla2[[#This Row],[Ki]]*Tabla2[[#This Row],[diferencia de días]])*(1+Tabla2[[#This Row],[Hg]])</f>
        <v>3280.2614357726411</v>
      </c>
    </row>
    <row r="282" spans="1:20" ht="14.5" x14ac:dyDescent="0.35">
      <c r="A282">
        <f t="shared" si="44"/>
        <v>281</v>
      </c>
      <c r="B282">
        <f t="shared" ca="1" si="45"/>
        <v>46115</v>
      </c>
      <c r="C282">
        <f t="shared" ca="1" si="46"/>
        <v>46157</v>
      </c>
      <c r="D282">
        <f t="shared" ca="1" si="47"/>
        <v>7</v>
      </c>
      <c r="E282">
        <f t="shared" ca="1" si="48"/>
        <v>0.97894506672316228</v>
      </c>
      <c r="F282">
        <f t="shared" ca="1" si="49"/>
        <v>931.36</v>
      </c>
      <c r="G282" t="str">
        <f t="shared" ca="1" si="50"/>
        <v>hipotecario</v>
      </c>
      <c r="H28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82" t="str">
        <f t="shared" ca="1" si="51"/>
        <v>Sí</v>
      </c>
      <c r="J28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82">
        <f ca="1">IF(Tabla2[[#This Row],[¿cliente deuda abierta?]]="Sí", Tabla2[[#This Row],[Deuda actual]]*Tabla2[[#This Row],[diferencia de días]], "0")</f>
        <v>6519.52</v>
      </c>
      <c r="L28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8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8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82">
        <f t="shared" ca="1" si="52"/>
        <v>1641.49</v>
      </c>
      <c r="P282">
        <f t="shared" ca="1" si="53"/>
        <v>110602.21</v>
      </c>
      <c r="Q282">
        <f t="shared" ca="1" si="54"/>
        <v>4</v>
      </c>
      <c r="R282">
        <f ca="1">((Tabla2[[#This Row],[Fantasma Comunicación]]+1)/(Tabla2[[#This Row],[Fantasma Comunicación]]+RANDBETWEEN(0,5)+2))-0.5</f>
        <v>0</v>
      </c>
      <c r="S282">
        <f ca="1">1+MAX(0,Tabla2[[#This Row],[Deuda actual]]/Tabla2[[#This Row],[Liquidez]]+Tabla2[[#This Row],[Liquidez]]/(Tabla2[[#This Row],[Activos]]+Tabla2[[#This Row],[Liquidez]])+Tabla2[[#This Row],[Comunicación]])</f>
        <v>1.5820112869427305</v>
      </c>
      <c r="T282">
        <f ca="1">Tabla2[[#This Row],[Deuda actual]]*EXP(Tabla2[[#This Row],[Ki]]*Tabla2[[#This Row],[diferencia de días]])*(1+Tabla2[[#This Row],[Hg]])</f>
        <v>979.29805801683585</v>
      </c>
    </row>
    <row r="283" spans="1:20" ht="14.5" x14ac:dyDescent="0.35">
      <c r="A283">
        <f t="shared" si="44"/>
        <v>282</v>
      </c>
      <c r="B283">
        <f t="shared" ca="1" si="45"/>
        <v>46089</v>
      </c>
      <c r="C283">
        <f t="shared" ca="1" si="46"/>
        <v>46157</v>
      </c>
      <c r="D283">
        <f t="shared" ca="1" si="47"/>
        <v>17</v>
      </c>
      <c r="E283">
        <f t="shared" ca="1" si="48"/>
        <v>0.69871250513287753</v>
      </c>
      <c r="F283">
        <f t="shared" ca="1" si="49"/>
        <v>897.19</v>
      </c>
      <c r="G283" t="str">
        <f t="shared" ca="1" si="50"/>
        <v>personal</v>
      </c>
      <c r="H28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83" t="str">
        <f t="shared" ca="1" si="51"/>
        <v>Sí</v>
      </c>
      <c r="J28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83">
        <f ca="1">IF(Tabla2[[#This Row],[¿cliente deuda abierta?]]="Sí", Tabla2[[#This Row],[Deuda actual]]*Tabla2[[#This Row],[diferencia de días]], "0")</f>
        <v>15252.230000000001</v>
      </c>
      <c r="L28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8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8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83">
        <f t="shared" ca="1" si="52"/>
        <v>1824.55</v>
      </c>
      <c r="P283">
        <f t="shared" ca="1" si="53"/>
        <v>271915.65999999997</v>
      </c>
      <c r="Q283">
        <f t="shared" ca="1" si="54"/>
        <v>0</v>
      </c>
      <c r="R283">
        <f ca="1">((Tabla2[[#This Row],[Fantasma Comunicación]]+1)/(Tabla2[[#This Row],[Fantasma Comunicación]]+RANDBETWEEN(0,5)+2))-0.5</f>
        <v>-0.33333333333333337</v>
      </c>
      <c r="S283">
        <f ca="1">1+MAX(0,Tabla2[[#This Row],[Deuda actual]]/Tabla2[[#This Row],[Liquidez]]+Tabla2[[#This Row],[Liquidez]]/(Tabla2[[#This Row],[Activos]]+Tabla2[[#This Row],[Liquidez]])+Tabla2[[#This Row],[Comunicación]])</f>
        <v>1.1650641358061851</v>
      </c>
      <c r="T283">
        <f ca="1">Tabla2[[#This Row],[Deuda actual]]*EXP(Tabla2[[#This Row],[Ki]]*Tabla2[[#This Row],[diferencia de días]])*(1+Tabla2[[#This Row],[Hg]])</f>
        <v>948.47726623689891</v>
      </c>
    </row>
    <row r="284" spans="1:20" ht="14.5" x14ac:dyDescent="0.35">
      <c r="A284">
        <f t="shared" si="44"/>
        <v>283</v>
      </c>
      <c r="B284">
        <f t="shared" ca="1" si="45"/>
        <v>46123</v>
      </c>
      <c r="C284">
        <f t="shared" ca="1" si="46"/>
        <v>46157</v>
      </c>
      <c r="D284">
        <f t="shared" ca="1" si="47"/>
        <v>10</v>
      </c>
      <c r="E284">
        <f t="shared" ca="1" si="48"/>
        <v>0.83300864115495399</v>
      </c>
      <c r="F284">
        <f t="shared" ca="1" si="49"/>
        <v>4182.01</v>
      </c>
      <c r="G284" t="str">
        <f t="shared" ca="1" si="50"/>
        <v>personal</v>
      </c>
      <c r="H28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84" t="str">
        <f t="shared" ca="1" si="51"/>
        <v>Sí</v>
      </c>
      <c r="J28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84">
        <f ca="1">IF(Tabla2[[#This Row],[¿cliente deuda abierta?]]="Sí", Tabla2[[#This Row],[Deuda actual]]*Tabla2[[#This Row],[diferencia de días]], "0")</f>
        <v>41820.100000000006</v>
      </c>
      <c r="L28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28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84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284">
        <f t="shared" ca="1" si="52"/>
        <v>2083.25</v>
      </c>
      <c r="P284">
        <f t="shared" ca="1" si="53"/>
        <v>150088.31</v>
      </c>
      <c r="Q284">
        <f t="shared" ca="1" si="54"/>
        <v>5</v>
      </c>
      <c r="R284">
        <f ca="1">((Tabla2[[#This Row],[Fantasma Comunicación]]+1)/(Tabla2[[#This Row],[Fantasma Comunicación]]+RANDBETWEEN(0,5)+2))-0.5</f>
        <v>0</v>
      </c>
      <c r="S284">
        <f ca="1">1+MAX(0,Tabla2[[#This Row],[Deuda actual]]/Tabla2[[#This Row],[Liquidez]]+Tabla2[[#This Row],[Liquidez]]/(Tabla2[[#This Row],[Activos]]+Tabla2[[#This Row],[Liquidez]])+Tabla2[[#This Row],[Comunicación]])</f>
        <v>3.0211352380640237</v>
      </c>
      <c r="T284">
        <f ca="1">Tabla2[[#This Row],[Deuda actual]]*EXP(Tabla2[[#This Row],[Ki]]*Tabla2[[#This Row],[diferencia de días]])*(1+Tabla2[[#This Row],[Hg]])</f>
        <v>4609.4206285586833</v>
      </c>
    </row>
    <row r="285" spans="1:20" ht="14.5" x14ac:dyDescent="0.35">
      <c r="A285">
        <f t="shared" si="44"/>
        <v>284</v>
      </c>
      <c r="B285">
        <f t="shared" ca="1" si="45"/>
        <v>46142</v>
      </c>
      <c r="C285">
        <f t="shared" ca="1" si="46"/>
        <v>46157</v>
      </c>
      <c r="D285">
        <f t="shared" ca="1" si="47"/>
        <v>13</v>
      </c>
      <c r="E285">
        <f t="shared" ca="1" si="48"/>
        <v>0.96470921241759</v>
      </c>
      <c r="F285">
        <f t="shared" ca="1" si="49"/>
        <v>292.33999999999997</v>
      </c>
      <c r="G285" t="str">
        <f t="shared" ca="1" si="50"/>
        <v>hipotecario</v>
      </c>
      <c r="H28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85" t="str">
        <f t="shared" ca="1" si="51"/>
        <v>No</v>
      </c>
      <c r="J28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165000.66902731452</v>
      </c>
      <c r="K285" t="str">
        <f ca="1">IF(Tabla2[[#This Row],[¿cliente deuda abierta?]]="Sí", Tabla2[[#This Row],[Deuda actual]]*Tabla2[[#This Row],[diferencia de días]], "0")</f>
        <v>0</v>
      </c>
      <c r="L28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8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285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285">
        <f t="shared" ca="1" si="52"/>
        <v>1763.45</v>
      </c>
      <c r="P285">
        <f t="shared" ca="1" si="53"/>
        <v>69997.03</v>
      </c>
      <c r="Q285">
        <f t="shared" ca="1" si="54"/>
        <v>0</v>
      </c>
      <c r="R285">
        <f ca="1">((Tabla2[[#This Row],[Fantasma Comunicación]]+1)/(Tabla2[[#This Row],[Fantasma Comunicación]]+RANDBETWEEN(0,5)+2))-0.5</f>
        <v>-0.35714285714285715</v>
      </c>
      <c r="S285">
        <f ca="1">1+MAX(0,Tabla2[[#This Row],[Deuda actual]]/Tabla2[[#This Row],[Liquidez]]+Tabla2[[#This Row],[Liquidez]]/(Tabla2[[#This Row],[Activos]]+Tabla2[[#This Row],[Liquidez]])+Tabla2[[#This Row],[Comunicación]])</f>
        <v>1</v>
      </c>
      <c r="T285">
        <f ca="1">Tabla2[[#This Row],[Deuda actual]]*EXP(Tabla2[[#This Row],[Ki]]*Tabla2[[#This Row],[diferencia de días]])*(1+Tabla2[[#This Row],[Hg]])</f>
        <v>234.4808583728946</v>
      </c>
    </row>
    <row r="286" spans="1:20" ht="14.5" x14ac:dyDescent="0.35">
      <c r="A286">
        <f t="shared" si="44"/>
        <v>285</v>
      </c>
      <c r="B286">
        <f t="shared" ca="1" si="45"/>
        <v>46135</v>
      </c>
      <c r="C286">
        <f t="shared" ca="1" si="46"/>
        <v>46157</v>
      </c>
      <c r="D286">
        <f t="shared" ca="1" si="47"/>
        <v>14</v>
      </c>
      <c r="E286">
        <f t="shared" ca="1" si="48"/>
        <v>0.83375544972590621</v>
      </c>
      <c r="F286">
        <f t="shared" ca="1" si="49"/>
        <v>139.62</v>
      </c>
      <c r="G286" t="str">
        <f t="shared" ca="1" si="50"/>
        <v>hipotecario</v>
      </c>
      <c r="H28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86" t="str">
        <f t="shared" ca="1" si="51"/>
        <v>No</v>
      </c>
      <c r="J28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164999.35977623131</v>
      </c>
      <c r="K286" t="str">
        <f ca="1">IF(Tabla2[[#This Row],[¿cliente deuda abierta?]]="Sí", Tabla2[[#This Row],[Deuda actual]]*Tabla2[[#This Row],[diferencia de días]], "0")</f>
        <v>0</v>
      </c>
      <c r="L28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8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286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286">
        <f t="shared" ca="1" si="52"/>
        <v>1418.99</v>
      </c>
      <c r="P286">
        <f t="shared" ca="1" si="53"/>
        <v>46259.56</v>
      </c>
      <c r="Q286">
        <f t="shared" ca="1" si="54"/>
        <v>0</v>
      </c>
      <c r="R286">
        <f ca="1">((Tabla2[[#This Row],[Fantasma Comunicación]]+1)/(Tabla2[[#This Row],[Fantasma Comunicación]]+RANDBETWEEN(0,5)+2))-0.5</f>
        <v>-0.33333333333333337</v>
      </c>
      <c r="S286">
        <f ca="1">1+MAX(0,Tabla2[[#This Row],[Deuda actual]]/Tabla2[[#This Row],[Liquidez]]+Tabla2[[#This Row],[Liquidez]]/(Tabla2[[#This Row],[Activos]]+Tabla2[[#This Row],[Liquidez]])+Tabla2[[#This Row],[Comunicación]])</f>
        <v>1</v>
      </c>
      <c r="T286">
        <f ca="1">Tabla2[[#This Row],[Deuda actual]]*EXP(Tabla2[[#This Row],[Ki]]*Tabla2[[#This Row],[diferencia de días]])*(1+Tabla2[[#This Row],[Hg]])</f>
        <v>112.00918705726465</v>
      </c>
    </row>
    <row r="287" spans="1:20" ht="14.5" x14ac:dyDescent="0.35">
      <c r="A287">
        <f t="shared" si="44"/>
        <v>286</v>
      </c>
      <c r="B287">
        <f t="shared" ca="1" si="45"/>
        <v>46106</v>
      </c>
      <c r="C287">
        <f t="shared" ca="1" si="46"/>
        <v>46157</v>
      </c>
      <c r="D287">
        <f t="shared" ca="1" si="47"/>
        <v>5</v>
      </c>
      <c r="E287">
        <f t="shared" ca="1" si="48"/>
        <v>0.44267246622572043</v>
      </c>
      <c r="F287">
        <f t="shared" ca="1" si="49"/>
        <v>5035.17</v>
      </c>
      <c r="G287" t="str">
        <f t="shared" ca="1" si="50"/>
        <v>personal</v>
      </c>
      <c r="H28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87" t="str">
        <f t="shared" ca="1" si="51"/>
        <v>No</v>
      </c>
      <c r="J28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12000.295179958859</v>
      </c>
      <c r="K287" t="str">
        <f ca="1">IF(Tabla2[[#This Row],[¿cliente deuda abierta?]]="Sí", Tabla2[[#This Row],[Deuda actual]]*Tabla2[[#This Row],[diferencia de días]], "0")</f>
        <v>0</v>
      </c>
      <c r="L28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8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87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87">
        <f t="shared" ca="1" si="52"/>
        <v>2162.0300000000002</v>
      </c>
      <c r="P287">
        <f t="shared" ca="1" si="53"/>
        <v>74935.899999999994</v>
      </c>
      <c r="Q287">
        <f t="shared" ca="1" si="54"/>
        <v>1</v>
      </c>
      <c r="R287">
        <f ca="1">((Tabla2[[#This Row],[Fantasma Comunicación]]+1)/(Tabla2[[#This Row],[Fantasma Comunicación]]+RANDBETWEEN(0,5)+2))-0.5</f>
        <v>-0.2142857142857143</v>
      </c>
      <c r="S287">
        <f ca="1">1+MAX(0,Tabla2[[#This Row],[Deuda actual]]/Tabla2[[#This Row],[Liquidez]]+Tabla2[[#This Row],[Liquidez]]/(Tabla2[[#This Row],[Activos]]+Tabla2[[#This Row],[Liquidez]])+Tabla2[[#This Row],[Comunicación]])</f>
        <v>3.1426654117856718</v>
      </c>
      <c r="T287">
        <f ca="1">Tabla2[[#This Row],[Deuda actual]]*EXP(Tabla2[[#This Row],[Ki]]*Tabla2[[#This Row],[diferencia de días]])*(1+Tabla2[[#This Row],[Hg]])</f>
        <v>4536.1869195819645</v>
      </c>
    </row>
    <row r="288" spans="1:20" ht="14.5" x14ac:dyDescent="0.35">
      <c r="A288">
        <f t="shared" si="44"/>
        <v>287</v>
      </c>
      <c r="B288">
        <f t="shared" ca="1" si="45"/>
        <v>46118</v>
      </c>
      <c r="C288">
        <f t="shared" ca="1" si="46"/>
        <v>46157</v>
      </c>
      <c r="D288">
        <f t="shared" ca="1" si="47"/>
        <v>70</v>
      </c>
      <c r="E288">
        <f t="shared" ca="1" si="48"/>
        <v>0.1803349894007209</v>
      </c>
      <c r="F288">
        <f t="shared" ca="1" si="49"/>
        <v>3913.39</v>
      </c>
      <c r="G288" t="str">
        <f t="shared" ca="1" si="50"/>
        <v>personal</v>
      </c>
      <c r="H28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288" t="str">
        <f t="shared" ca="1" si="51"/>
        <v>No</v>
      </c>
      <c r="J28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12000.469709869376</v>
      </c>
      <c r="K288" t="str">
        <f ca="1">IF(Tabla2[[#This Row],[¿cliente deuda abierta?]]="Sí", Tabla2[[#This Row],[Deuda actual]]*Tabla2[[#This Row],[diferencia de días]], "0")</f>
        <v>0</v>
      </c>
      <c r="L28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8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8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88">
        <f t="shared" ca="1" si="52"/>
        <v>1721.91</v>
      </c>
      <c r="P288">
        <f t="shared" ca="1" si="53"/>
        <v>242824.95</v>
      </c>
      <c r="Q288">
        <f t="shared" ca="1" si="54"/>
        <v>3</v>
      </c>
      <c r="R288">
        <f ca="1">((Tabla2[[#This Row],[Fantasma Comunicación]]+1)/(Tabla2[[#This Row],[Fantasma Comunicación]]+RANDBETWEEN(0,5)+2))-0.5</f>
        <v>0.30000000000000004</v>
      </c>
      <c r="S288">
        <f ca="1">1+MAX(0,Tabla2[[#This Row],[Deuda actual]]/Tabla2[[#This Row],[Liquidez]]+Tabla2[[#This Row],[Liquidez]]/(Tabla2[[#This Row],[Activos]]+Tabla2[[#This Row],[Liquidez]])+Tabla2[[#This Row],[Comunicación]])</f>
        <v>3.5797442139901099</v>
      </c>
      <c r="T288">
        <f ca="1">Tabla2[[#This Row],[Deuda actual]]*EXP(Tabla2[[#This Row],[Ki]]*Tabla2[[#This Row],[diferencia de días]])*(1+Tabla2[[#This Row],[Hg]])</f>
        <v>3777.4285122945948</v>
      </c>
    </row>
    <row r="289" spans="1:20" ht="14.5" x14ac:dyDescent="0.35">
      <c r="A289">
        <f t="shared" si="44"/>
        <v>288</v>
      </c>
      <c r="B289">
        <f t="shared" ca="1" si="45"/>
        <v>46124</v>
      </c>
      <c r="C289">
        <f t="shared" ca="1" si="46"/>
        <v>46157</v>
      </c>
      <c r="D289">
        <f t="shared" ca="1" si="47"/>
        <v>2</v>
      </c>
      <c r="E289">
        <f t="shared" ca="1" si="48"/>
        <v>0.78511041537303117</v>
      </c>
      <c r="F289">
        <f t="shared" ca="1" si="49"/>
        <v>858.72</v>
      </c>
      <c r="G289" t="str">
        <f t="shared" ca="1" si="50"/>
        <v>hipotecario</v>
      </c>
      <c r="H28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89" t="str">
        <f t="shared" ca="1" si="51"/>
        <v>No</v>
      </c>
      <c r="J28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164998.95549428547</v>
      </c>
      <c r="K289" t="str">
        <f ca="1">IF(Tabla2[[#This Row],[¿cliente deuda abierta?]]="Sí", Tabla2[[#This Row],[Deuda actual]]*Tabla2[[#This Row],[diferencia de días]], "0")</f>
        <v>0</v>
      </c>
      <c r="L28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8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289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289">
        <f t="shared" ca="1" si="52"/>
        <v>2132.04</v>
      </c>
      <c r="P289">
        <f t="shared" ca="1" si="53"/>
        <v>1108930.1200000001</v>
      </c>
      <c r="Q289">
        <f t="shared" ca="1" si="54"/>
        <v>4</v>
      </c>
      <c r="R289">
        <f ca="1">((Tabla2[[#This Row],[Fantasma Comunicación]]+1)/(Tabla2[[#This Row],[Fantasma Comunicación]]+RANDBETWEEN(0,5)+2))-0.5</f>
        <v>0.2142857142857143</v>
      </c>
      <c r="S289">
        <f ca="1">1+MAX(0,Tabla2[[#This Row],[Deuda actual]]/Tabla2[[#This Row],[Liquidez]]+Tabla2[[#This Row],[Liquidez]]/(Tabla2[[#This Row],[Activos]]+Tabla2[[#This Row],[Liquidez]])+Tabla2[[#This Row],[Comunicación]])</f>
        <v>1.618973813640334</v>
      </c>
      <c r="T289">
        <f ca="1">Tabla2[[#This Row],[Deuda actual]]*EXP(Tabla2[[#This Row],[Ki]]*Tabla2[[#This Row],[diferencia de días]])*(1+Tabla2[[#This Row],[Hg]])</f>
        <v>687.25084536540862</v>
      </c>
    </row>
    <row r="290" spans="1:20" ht="14.5" x14ac:dyDescent="0.35">
      <c r="A290">
        <f t="shared" si="44"/>
        <v>289</v>
      </c>
      <c r="B290">
        <f t="shared" ca="1" si="45"/>
        <v>46105</v>
      </c>
      <c r="C290">
        <f t="shared" ca="1" si="46"/>
        <v>46157</v>
      </c>
      <c r="D290">
        <f t="shared" ca="1" si="47"/>
        <v>24</v>
      </c>
      <c r="E290">
        <f t="shared" ca="1" si="48"/>
        <v>0.5278227914533371</v>
      </c>
      <c r="F290">
        <f t="shared" ca="1" si="49"/>
        <v>520.84</v>
      </c>
      <c r="G290" t="str">
        <f t="shared" ca="1" si="50"/>
        <v>hipotecario</v>
      </c>
      <c r="H29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90" t="str">
        <f t="shared" ca="1" si="51"/>
        <v>Sí</v>
      </c>
      <c r="J29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90">
        <f ca="1">IF(Tabla2[[#This Row],[¿cliente deuda abierta?]]="Sí", Tabla2[[#This Row],[Deuda actual]]*Tabla2[[#This Row],[diferencia de días]], "0")</f>
        <v>12500.16</v>
      </c>
      <c r="L29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9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9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90">
        <f t="shared" ca="1" si="52"/>
        <v>1940.4</v>
      </c>
      <c r="P290">
        <f t="shared" ca="1" si="53"/>
        <v>585948.09</v>
      </c>
      <c r="Q290">
        <f t="shared" ca="1" si="54"/>
        <v>4</v>
      </c>
      <c r="R290">
        <f ca="1">((Tabla2[[#This Row],[Fantasma Comunicación]]+1)/(Tabla2[[#This Row],[Fantasma Comunicación]]+RANDBETWEEN(0,5)+2))-0.5</f>
        <v>-4.545454545454547E-2</v>
      </c>
      <c r="S290">
        <f ca="1">1+MAX(0,Tabla2[[#This Row],[Deuda actual]]/Tabla2[[#This Row],[Liquidez]]+Tabla2[[#This Row],[Liquidez]]/(Tabla2[[#This Row],[Activos]]+Tabla2[[#This Row],[Liquidez]])+Tabla2[[#This Row],[Comunicación]])</f>
        <v>1.2262649631901852</v>
      </c>
      <c r="T290">
        <f ca="1">Tabla2[[#This Row],[Deuda actual]]*EXP(Tabla2[[#This Row],[Ki]]*Tabla2[[#This Row],[diferencia de días]])*(1+Tabla2[[#This Row],[Hg]])</f>
        <v>552.15734835750288</v>
      </c>
    </row>
    <row r="291" spans="1:20" ht="14.5" x14ac:dyDescent="0.35">
      <c r="A291">
        <f t="shared" si="44"/>
        <v>290</v>
      </c>
      <c r="B291">
        <f t="shared" ca="1" si="45"/>
        <v>46110</v>
      </c>
      <c r="C291">
        <f t="shared" ca="1" si="46"/>
        <v>46157</v>
      </c>
      <c r="D291">
        <f t="shared" ca="1" si="47"/>
        <v>17</v>
      </c>
      <c r="E291">
        <f t="shared" ca="1" si="48"/>
        <v>0.33456856128811296</v>
      </c>
      <c r="F291">
        <f t="shared" ca="1" si="49"/>
        <v>231.3</v>
      </c>
      <c r="G291" t="str">
        <f t="shared" ca="1" si="50"/>
        <v>personal</v>
      </c>
      <c r="H29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91" t="str">
        <f t="shared" ca="1" si="51"/>
        <v>Sí</v>
      </c>
      <c r="J29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91">
        <f ca="1">IF(Tabla2[[#This Row],[¿cliente deuda abierta?]]="Sí", Tabla2[[#This Row],[Deuda actual]]*Tabla2[[#This Row],[diferencia de días]], "0")</f>
        <v>3932.1000000000004</v>
      </c>
      <c r="L29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9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9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91">
        <f t="shared" ca="1" si="52"/>
        <v>1996.03</v>
      </c>
      <c r="P291">
        <f t="shared" ca="1" si="53"/>
        <v>138870.87</v>
      </c>
      <c r="Q291">
        <f t="shared" ca="1" si="54"/>
        <v>4</v>
      </c>
      <c r="R291">
        <f ca="1">((Tabla2[[#This Row],[Fantasma Comunicación]]+1)/(Tabla2[[#This Row],[Fantasma Comunicación]]+RANDBETWEEN(0,5)+2))-0.5</f>
        <v>0.2142857142857143</v>
      </c>
      <c r="S291">
        <f ca="1">1+MAX(0,Tabla2[[#This Row],[Deuda actual]]/Tabla2[[#This Row],[Liquidez]]+Tabla2[[#This Row],[Liquidez]]/(Tabla2[[#This Row],[Activos]]+Tabla2[[#This Row],[Liquidez]])+Tabla2[[#This Row],[Comunicación]])</f>
        <v>1.3443353529801576</v>
      </c>
      <c r="T291">
        <f ca="1">Tabla2[[#This Row],[Deuda actual]]*EXP(Tabla2[[#This Row],[Ki]]*Tabla2[[#This Row],[diferencia de días]])*(1+Tabla2[[#This Row],[Hg]])</f>
        <v>244.52210978788739</v>
      </c>
    </row>
    <row r="292" spans="1:20" ht="14.5" x14ac:dyDescent="0.35">
      <c r="A292">
        <f t="shared" si="44"/>
        <v>291</v>
      </c>
      <c r="B292">
        <f t="shared" ca="1" si="45"/>
        <v>46127</v>
      </c>
      <c r="C292">
        <f t="shared" ca="1" si="46"/>
        <v>46157</v>
      </c>
      <c r="D292">
        <f t="shared" ca="1" si="47"/>
        <v>1</v>
      </c>
      <c r="E292">
        <f t="shared" ca="1" si="48"/>
        <v>0.25082203702756156</v>
      </c>
      <c r="F292">
        <f t="shared" ca="1" si="49"/>
        <v>338.51</v>
      </c>
      <c r="G292" t="str">
        <f t="shared" ca="1" si="50"/>
        <v>hipotecario</v>
      </c>
      <c r="H29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92" t="str">
        <f t="shared" ca="1" si="51"/>
        <v>Sí</v>
      </c>
      <c r="J29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92">
        <f ca="1">IF(Tabla2[[#This Row],[¿cliente deuda abierta?]]="Sí", Tabla2[[#This Row],[Deuda actual]]*Tabla2[[#This Row],[diferencia de días]], "0")</f>
        <v>338.51</v>
      </c>
      <c r="L29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9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9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92">
        <f t="shared" ca="1" si="52"/>
        <v>1543.22</v>
      </c>
      <c r="P292">
        <f t="shared" ca="1" si="53"/>
        <v>98748.58</v>
      </c>
      <c r="Q292">
        <f t="shared" ca="1" si="54"/>
        <v>3</v>
      </c>
      <c r="R292">
        <f ca="1">((Tabla2[[#This Row],[Fantasma Comunicación]]+1)/(Tabla2[[#This Row],[Fantasma Comunicación]]+RANDBETWEEN(0,5)+2))-0.5</f>
        <v>0.30000000000000004</v>
      </c>
      <c r="S292">
        <f ca="1">1+MAX(0,Tabla2[[#This Row],[Deuda actual]]/Tabla2[[#This Row],[Liquidez]]+Tabla2[[#This Row],[Liquidez]]/(Tabla2[[#This Row],[Activos]]+Tabla2[[#This Row],[Liquidez]])+Tabla2[[#This Row],[Comunicación]])</f>
        <v>1.5347403409030622</v>
      </c>
      <c r="T292">
        <f ca="1">Tabla2[[#This Row],[Deuda actual]]*EXP(Tabla2[[#This Row],[Ki]]*Tabla2[[#This Row],[diferencia de días]])*(1+Tabla2[[#This Row],[Hg]])</f>
        <v>355.50659420918396</v>
      </c>
    </row>
    <row r="293" spans="1:20" ht="14.5" x14ac:dyDescent="0.35">
      <c r="A293">
        <f t="shared" si="44"/>
        <v>292</v>
      </c>
      <c r="B293">
        <f t="shared" ca="1" si="45"/>
        <v>46101</v>
      </c>
      <c r="C293">
        <f t="shared" ca="1" si="46"/>
        <v>46157</v>
      </c>
      <c r="D293">
        <f t="shared" ca="1" si="47"/>
        <v>5</v>
      </c>
      <c r="E293">
        <f t="shared" ca="1" si="48"/>
        <v>0.9937515236328972</v>
      </c>
      <c r="F293">
        <f t="shared" ca="1" si="49"/>
        <v>1695.51</v>
      </c>
      <c r="G293" t="str">
        <f t="shared" ca="1" si="50"/>
        <v>hipotecario</v>
      </c>
      <c r="H29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93" t="str">
        <f t="shared" ca="1" si="51"/>
        <v>No</v>
      </c>
      <c r="J29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164999.86850878588</v>
      </c>
      <c r="K293" t="str">
        <f ca="1">IF(Tabla2[[#This Row],[¿cliente deuda abierta?]]="Sí", Tabla2[[#This Row],[Deuda actual]]*Tabla2[[#This Row],[diferencia de días]], "0")</f>
        <v>0</v>
      </c>
      <c r="L29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9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29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293">
        <f t="shared" ca="1" si="52"/>
        <v>1547.36</v>
      </c>
      <c r="P293">
        <f t="shared" ca="1" si="53"/>
        <v>85197.2</v>
      </c>
      <c r="Q293">
        <f t="shared" ca="1" si="54"/>
        <v>0</v>
      </c>
      <c r="R293">
        <f ca="1">((Tabla2[[#This Row],[Fantasma Comunicación]]+1)/(Tabla2[[#This Row],[Fantasma Comunicación]]+RANDBETWEEN(0,5)+2))-0.5</f>
        <v>0</v>
      </c>
      <c r="S293">
        <f ca="1">1+MAX(0,Tabla2[[#This Row],[Deuda actual]]/Tabla2[[#This Row],[Liquidez]]+Tabla2[[#This Row],[Liquidez]]/(Tabla2[[#This Row],[Activos]]+Tabla2[[#This Row],[Liquidez]])+Tabla2[[#This Row],[Comunicación]])</f>
        <v>2.113581839824584</v>
      </c>
      <c r="T293">
        <f ca="1">Tabla2[[#This Row],[Deuda actual]]*EXP(Tabla2[[#This Row],[Ki]]*Tabla2[[#This Row],[diferencia de días]])*(1+Tabla2[[#This Row],[Hg]])</f>
        <v>1357.7650864301247</v>
      </c>
    </row>
    <row r="294" spans="1:20" ht="14.5" x14ac:dyDescent="0.35">
      <c r="A294">
        <f t="shared" si="44"/>
        <v>293</v>
      </c>
      <c r="B294">
        <f t="shared" ca="1" si="45"/>
        <v>46091</v>
      </c>
      <c r="C294">
        <f t="shared" ca="1" si="46"/>
        <v>46157</v>
      </c>
      <c r="D294">
        <f t="shared" ca="1" si="47"/>
        <v>13</v>
      </c>
      <c r="E294">
        <f t="shared" ca="1" si="48"/>
        <v>6.8111121070072667E-2</v>
      </c>
      <c r="F294">
        <f t="shared" ca="1" si="49"/>
        <v>443.74</v>
      </c>
      <c r="G294" t="str">
        <f t="shared" ca="1" si="50"/>
        <v>personal</v>
      </c>
      <c r="H29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94" t="str">
        <f t="shared" ca="1" si="51"/>
        <v>No</v>
      </c>
      <c r="J29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11999.629646625044</v>
      </c>
      <c r="K294" t="str">
        <f ca="1">IF(Tabla2[[#This Row],[¿cliente deuda abierta?]]="Sí", Tabla2[[#This Row],[Deuda actual]]*Tabla2[[#This Row],[diferencia de días]], "0")</f>
        <v>0</v>
      </c>
      <c r="L29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9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9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94">
        <f t="shared" ca="1" si="52"/>
        <v>1765.38</v>
      </c>
      <c r="P294">
        <f t="shared" ca="1" si="53"/>
        <v>688833.6</v>
      </c>
      <c r="Q294">
        <f t="shared" ca="1" si="54"/>
        <v>5</v>
      </c>
      <c r="R294">
        <f ca="1">((Tabla2[[#This Row],[Fantasma Comunicación]]+1)/(Tabla2[[#This Row],[Fantasma Comunicación]]+RANDBETWEEN(0,5)+2))-0.5</f>
        <v>9.9999999999999978E-2</v>
      </c>
      <c r="S294">
        <f ca="1">1+MAX(0,Tabla2[[#This Row],[Deuda actual]]/Tabla2[[#This Row],[Liquidez]]+Tabla2[[#This Row],[Liquidez]]/(Tabla2[[#This Row],[Activos]]+Tabla2[[#This Row],[Liquidez]])+Tabla2[[#This Row],[Comunicación]])</f>
        <v>1.3539129510731138</v>
      </c>
      <c r="T294">
        <f ca="1">Tabla2[[#This Row],[Deuda actual]]*EXP(Tabla2[[#This Row],[Ki]]*Tabla2[[#This Row],[diferencia de días]])*(1+Tabla2[[#This Row],[Hg]])</f>
        <v>400.40570262771701</v>
      </c>
    </row>
    <row r="295" spans="1:20" ht="14.5" x14ac:dyDescent="0.35">
      <c r="A295">
        <f t="shared" si="44"/>
        <v>294</v>
      </c>
      <c r="B295">
        <f t="shared" ca="1" si="45"/>
        <v>46103</v>
      </c>
      <c r="C295">
        <f t="shared" ca="1" si="46"/>
        <v>46157</v>
      </c>
      <c r="D295">
        <f t="shared" ca="1" si="47"/>
        <v>6</v>
      </c>
      <c r="E295">
        <f t="shared" ca="1" si="48"/>
        <v>0.65028463035999517</v>
      </c>
      <c r="F295">
        <f t="shared" ca="1" si="49"/>
        <v>1495.75</v>
      </c>
      <c r="G295" t="str">
        <f t="shared" ca="1" si="50"/>
        <v>hipotecario</v>
      </c>
      <c r="H29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95" t="str">
        <f t="shared" ca="1" si="51"/>
        <v>Sí</v>
      </c>
      <c r="J29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95">
        <f ca="1">IF(Tabla2[[#This Row],[¿cliente deuda abierta?]]="Sí", Tabla2[[#This Row],[Deuda actual]]*Tabla2[[#This Row],[diferencia de días]], "0")</f>
        <v>8974.5</v>
      </c>
      <c r="L29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9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9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95">
        <f t="shared" ca="1" si="52"/>
        <v>2004.51</v>
      </c>
      <c r="P295">
        <f t="shared" ca="1" si="53"/>
        <v>479425.86</v>
      </c>
      <c r="Q295">
        <f t="shared" ca="1" si="54"/>
        <v>1</v>
      </c>
      <c r="R295">
        <f ca="1">((Tabla2[[#This Row],[Fantasma Comunicación]]+1)/(Tabla2[[#This Row],[Fantasma Comunicación]]+RANDBETWEEN(0,5)+2))-0.5</f>
        <v>-0.16666666666666669</v>
      </c>
      <c r="S295">
        <f ca="1">1+MAX(0,Tabla2[[#This Row],[Deuda actual]]/Tabla2[[#This Row],[Liquidez]]+Tabla2[[#This Row],[Liquidez]]/(Tabla2[[#This Row],[Activos]]+Tabla2[[#This Row],[Liquidez]])+Tabla2[[#This Row],[Comunicación]])</f>
        <v>1.5836893246831436</v>
      </c>
      <c r="T295">
        <f ca="1">Tabla2[[#This Row],[Deuda actual]]*EXP(Tabla2[[#This Row],[Ki]]*Tabla2[[#This Row],[diferencia de días]])*(1+Tabla2[[#This Row],[Hg]])</f>
        <v>1572.4232762394504</v>
      </c>
    </row>
    <row r="296" spans="1:20" ht="14.5" x14ac:dyDescent="0.35">
      <c r="A296">
        <f t="shared" si="44"/>
        <v>295</v>
      </c>
      <c r="B296">
        <f t="shared" ca="1" si="45"/>
        <v>46134</v>
      </c>
      <c r="C296">
        <f t="shared" ca="1" si="46"/>
        <v>46157</v>
      </c>
      <c r="D296">
        <f t="shared" ca="1" si="47"/>
        <v>20</v>
      </c>
      <c r="E296">
        <f t="shared" ca="1" si="48"/>
        <v>0.86510782801505948</v>
      </c>
      <c r="F296">
        <f t="shared" ca="1" si="49"/>
        <v>686.92</v>
      </c>
      <c r="G296" t="str">
        <f t="shared" ca="1" si="50"/>
        <v>hipotecario</v>
      </c>
      <c r="H29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96" t="str">
        <f t="shared" ca="1" si="51"/>
        <v>No</v>
      </c>
      <c r="J29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165001.11567855297</v>
      </c>
      <c r="K296" t="str">
        <f ca="1">IF(Tabla2[[#This Row],[¿cliente deuda abierta?]]="Sí", Tabla2[[#This Row],[Deuda actual]]*Tabla2[[#This Row],[diferencia de días]], "0")</f>
        <v>0</v>
      </c>
      <c r="L29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9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296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296">
        <f t="shared" ca="1" si="52"/>
        <v>1473.47</v>
      </c>
      <c r="P296">
        <f t="shared" ca="1" si="53"/>
        <v>123635.78</v>
      </c>
      <c r="Q296">
        <f t="shared" ca="1" si="54"/>
        <v>5</v>
      </c>
      <c r="R296">
        <f ca="1">((Tabla2[[#This Row],[Fantasma Comunicación]]+1)/(Tabla2[[#This Row],[Fantasma Comunicación]]+RANDBETWEEN(0,5)+2))-0.5</f>
        <v>0.3571428571428571</v>
      </c>
      <c r="S296">
        <f ca="1">1+MAX(0,Tabla2[[#This Row],[Deuda actual]]/Tabla2[[#This Row],[Liquidez]]+Tabla2[[#This Row],[Liquidez]]/(Tabla2[[#This Row],[Activos]]+Tabla2[[#This Row],[Liquidez]])+Tabla2[[#This Row],[Comunicación]])</f>
        <v>1.8351123736958459</v>
      </c>
      <c r="T296">
        <f ca="1">Tabla2[[#This Row],[Deuda actual]]*EXP(Tabla2[[#This Row],[Ki]]*Tabla2[[#This Row],[diferencia de días]])*(1+Tabla2[[#This Row],[Hg]])</f>
        <v>553.94992013967646</v>
      </c>
    </row>
    <row r="297" spans="1:20" ht="14.5" x14ac:dyDescent="0.35">
      <c r="A297">
        <f t="shared" si="44"/>
        <v>296</v>
      </c>
      <c r="B297">
        <f t="shared" ca="1" si="45"/>
        <v>46106</v>
      </c>
      <c r="C297">
        <f t="shared" ca="1" si="46"/>
        <v>46157</v>
      </c>
      <c r="D297">
        <f t="shared" ca="1" si="47"/>
        <v>3</v>
      </c>
      <c r="E297">
        <f t="shared" ca="1" si="48"/>
        <v>0.18465450460116062</v>
      </c>
      <c r="F297">
        <f t="shared" ca="1" si="49"/>
        <v>3027.05</v>
      </c>
      <c r="G297" t="str">
        <f t="shared" ca="1" si="50"/>
        <v>personal</v>
      </c>
      <c r="H29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297" t="str">
        <f t="shared" ca="1" si="51"/>
        <v>No</v>
      </c>
      <c r="J29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11999.168642285757</v>
      </c>
      <c r="K297" t="str">
        <f ca="1">IF(Tabla2[[#This Row],[¿cliente deuda abierta?]]="Sí", Tabla2[[#This Row],[Deuda actual]]*Tabla2[[#This Row],[diferencia de días]], "0")</f>
        <v>0</v>
      </c>
      <c r="L29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9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97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97">
        <f t="shared" ca="1" si="52"/>
        <v>1527.45</v>
      </c>
      <c r="P297">
        <f t="shared" ca="1" si="53"/>
        <v>89764.78</v>
      </c>
      <c r="Q297">
        <f t="shared" ca="1" si="54"/>
        <v>0</v>
      </c>
      <c r="R297">
        <f ca="1">((Tabla2[[#This Row],[Fantasma Comunicación]]+1)/(Tabla2[[#This Row],[Fantasma Comunicación]]+RANDBETWEEN(0,5)+2))-0.5</f>
        <v>-0.3</v>
      </c>
      <c r="S297">
        <f ca="1">1+MAX(0,Tabla2[[#This Row],[Deuda actual]]/Tabla2[[#This Row],[Liquidez]]+Tabla2[[#This Row],[Liquidez]]/(Tabla2[[#This Row],[Activos]]+Tabla2[[#This Row],[Liquidez]])+Tabla2[[#This Row],[Comunicación]])</f>
        <v>2.6984984321488685</v>
      </c>
      <c r="T297">
        <f ca="1">Tabla2[[#This Row],[Deuda actual]]*EXP(Tabla2[[#This Row],[Ki]]*Tabla2[[#This Row],[diferencia de días]])*(1+Tabla2[[#This Row],[Hg]])</f>
        <v>2725.980097480191</v>
      </c>
    </row>
    <row r="298" spans="1:20" ht="14.5" x14ac:dyDescent="0.35">
      <c r="A298">
        <f t="shared" si="44"/>
        <v>297</v>
      </c>
      <c r="B298">
        <f t="shared" ca="1" si="45"/>
        <v>46132</v>
      </c>
      <c r="C298">
        <f t="shared" ca="1" si="46"/>
        <v>46157</v>
      </c>
      <c r="D298">
        <f t="shared" ca="1" si="47"/>
        <v>42</v>
      </c>
      <c r="E298">
        <f t="shared" ca="1" si="48"/>
        <v>0.3541855004322445</v>
      </c>
      <c r="F298">
        <f t="shared" ca="1" si="49"/>
        <v>1266.44</v>
      </c>
      <c r="G298" t="str">
        <f t="shared" ca="1" si="50"/>
        <v>personal</v>
      </c>
      <c r="H29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298" t="str">
        <f t="shared" ca="1" si="51"/>
        <v>No</v>
      </c>
      <c r="J29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11999.344445213526</v>
      </c>
      <c r="K298" t="str">
        <f ca="1">IF(Tabla2[[#This Row],[¿cliente deuda abierta?]]="Sí", Tabla2[[#This Row],[Deuda actual]]*Tabla2[[#This Row],[diferencia de días]], "0")</f>
        <v>0</v>
      </c>
      <c r="L29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29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29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298">
        <f t="shared" ca="1" si="52"/>
        <v>1863.65</v>
      </c>
      <c r="P298">
        <f t="shared" ca="1" si="53"/>
        <v>16910.740000000002</v>
      </c>
      <c r="Q298">
        <f t="shared" ca="1" si="54"/>
        <v>1</v>
      </c>
      <c r="R298">
        <f ca="1">((Tabla2[[#This Row],[Fantasma Comunicación]]+1)/(Tabla2[[#This Row],[Fantasma Comunicación]]+RANDBETWEEN(0,5)+2))-0.5</f>
        <v>-0.25</v>
      </c>
      <c r="S298">
        <f ca="1">1+MAX(0,Tabla2[[#This Row],[Deuda actual]]/Tabla2[[#This Row],[Liquidez]]+Tabla2[[#This Row],[Liquidez]]/(Tabla2[[#This Row],[Activos]]+Tabla2[[#This Row],[Liquidez]])+Tabla2[[#This Row],[Comunicación]])</f>
        <v>1.5288137404773849</v>
      </c>
      <c r="T298">
        <f ca="1">Tabla2[[#This Row],[Deuda actual]]*EXP(Tabla2[[#This Row],[Ki]]*Tabla2[[#This Row],[diferencia de días]])*(1+Tabla2[[#This Row],[Hg]])</f>
        <v>1188.686955302205</v>
      </c>
    </row>
    <row r="299" spans="1:20" ht="14.5" x14ac:dyDescent="0.35">
      <c r="A299">
        <f t="shared" si="44"/>
        <v>298</v>
      </c>
      <c r="B299">
        <f t="shared" ca="1" si="45"/>
        <v>46086</v>
      </c>
      <c r="C299">
        <f t="shared" ca="1" si="46"/>
        <v>46157</v>
      </c>
      <c r="D299">
        <f t="shared" ca="1" si="47"/>
        <v>23</v>
      </c>
      <c r="E299">
        <f t="shared" ca="1" si="48"/>
        <v>0.55807383133942567</v>
      </c>
      <c r="F299">
        <f t="shared" ca="1" si="49"/>
        <v>1298.1300000000001</v>
      </c>
      <c r="G299" t="str">
        <f t="shared" ca="1" si="50"/>
        <v>hipotecario</v>
      </c>
      <c r="H29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299" t="str">
        <f t="shared" ca="1" si="51"/>
        <v>Sí</v>
      </c>
      <c r="J29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299">
        <f ca="1">IF(Tabla2[[#This Row],[¿cliente deuda abierta?]]="Sí", Tabla2[[#This Row],[Deuda actual]]*Tabla2[[#This Row],[diferencia de días]], "0")</f>
        <v>29856.99</v>
      </c>
      <c r="L29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29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29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299">
        <f t="shared" ca="1" si="52"/>
        <v>1696.94</v>
      </c>
      <c r="P299">
        <f t="shared" ca="1" si="53"/>
        <v>51904.4</v>
      </c>
      <c r="Q299">
        <f t="shared" ca="1" si="54"/>
        <v>5</v>
      </c>
      <c r="R299">
        <f ca="1">((Tabla2[[#This Row],[Fantasma Comunicación]]+1)/(Tabla2[[#This Row],[Fantasma Comunicación]]+RANDBETWEEN(0,5)+2))-0.5</f>
        <v>0.16666666666666663</v>
      </c>
      <c r="S299">
        <f ca="1">1+MAX(0,Tabla2[[#This Row],[Deuda actual]]/Tabla2[[#This Row],[Liquidez]]+Tabla2[[#This Row],[Liquidez]]/(Tabla2[[#This Row],[Activos]]+Tabla2[[#This Row],[Liquidez]])+Tabla2[[#This Row],[Comunicación]])</f>
        <v>1.9633080550470685</v>
      </c>
      <c r="T299">
        <f ca="1">Tabla2[[#This Row],[Deuda actual]]*EXP(Tabla2[[#This Row],[Ki]]*Tabla2[[#This Row],[diferencia de días]])*(1+Tabla2[[#This Row],[Hg]])</f>
        <v>1375.6342968089866</v>
      </c>
    </row>
    <row r="300" spans="1:20" ht="14.5" x14ac:dyDescent="0.35">
      <c r="A300">
        <f t="shared" si="44"/>
        <v>299</v>
      </c>
      <c r="B300">
        <f t="shared" ca="1" si="45"/>
        <v>46119</v>
      </c>
      <c r="C300">
        <f t="shared" ca="1" si="46"/>
        <v>46157</v>
      </c>
      <c r="D300">
        <f t="shared" ca="1" si="47"/>
        <v>38</v>
      </c>
      <c r="E300">
        <f t="shared" ca="1" si="48"/>
        <v>0.1559102477842329</v>
      </c>
      <c r="F300">
        <f t="shared" ca="1" si="49"/>
        <v>518.11</v>
      </c>
      <c r="G300" t="str">
        <f t="shared" ca="1" si="50"/>
        <v>hipotecario</v>
      </c>
      <c r="H30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300" t="str">
        <f t="shared" ca="1" si="51"/>
        <v>Sí</v>
      </c>
      <c r="J30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00">
        <f ca="1">IF(Tabla2[[#This Row],[¿cliente deuda abierta?]]="Sí", Tabla2[[#This Row],[Deuda actual]]*Tabla2[[#This Row],[diferencia de días]], "0")</f>
        <v>19688.18</v>
      </c>
      <c r="L30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0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0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00">
        <f t="shared" ca="1" si="52"/>
        <v>1624.09</v>
      </c>
      <c r="P300">
        <f t="shared" ca="1" si="53"/>
        <v>81190.55</v>
      </c>
      <c r="Q300">
        <f t="shared" ca="1" si="54"/>
        <v>1</v>
      </c>
      <c r="R300">
        <f ca="1">((Tabla2[[#This Row],[Fantasma Comunicación]]+1)/(Tabla2[[#This Row],[Fantasma Comunicación]]+RANDBETWEEN(0,5)+2))-0.5</f>
        <v>-0.2142857142857143</v>
      </c>
      <c r="S300">
        <f ca="1">1+MAX(0,Tabla2[[#This Row],[Deuda actual]]/Tabla2[[#This Row],[Liquidez]]+Tabla2[[#This Row],[Liquidez]]/(Tabla2[[#This Row],[Activos]]+Tabla2[[#This Row],[Liquidez]])+Tabla2[[#This Row],[Comunicación]])</f>
        <v>1.1243410035599881</v>
      </c>
      <c r="T300">
        <f ca="1">Tabla2[[#This Row],[Deuda actual]]*EXP(Tabla2[[#This Row],[Ki]]*Tabla2[[#This Row],[diferencia de días]])*(1+Tabla2[[#This Row],[Hg]])</f>
        <v>565.08589102001235</v>
      </c>
    </row>
    <row r="301" spans="1:20" ht="14.5" x14ac:dyDescent="0.35">
      <c r="A301">
        <f t="shared" si="44"/>
        <v>300</v>
      </c>
      <c r="B301">
        <f t="shared" ca="1" si="45"/>
        <v>46127</v>
      </c>
      <c r="C301">
        <f t="shared" ca="1" si="46"/>
        <v>46157</v>
      </c>
      <c r="D301">
        <f t="shared" ca="1" si="47"/>
        <v>2</v>
      </c>
      <c r="E301">
        <f t="shared" ca="1" si="48"/>
        <v>0.17686131310441544</v>
      </c>
      <c r="F301">
        <f t="shared" ca="1" si="49"/>
        <v>396.94</v>
      </c>
      <c r="G301" t="str">
        <f t="shared" ca="1" si="50"/>
        <v>personal</v>
      </c>
      <c r="H30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01" t="str">
        <f t="shared" ca="1" si="51"/>
        <v>Sí</v>
      </c>
      <c r="J30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01">
        <f ca="1">IF(Tabla2[[#This Row],[¿cliente deuda abierta?]]="Sí", Tabla2[[#This Row],[Deuda actual]]*Tabla2[[#This Row],[diferencia de días]], "0")</f>
        <v>793.88</v>
      </c>
      <c r="L30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0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0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01">
        <f t="shared" ca="1" si="52"/>
        <v>2005.57</v>
      </c>
      <c r="P301">
        <f t="shared" ca="1" si="53"/>
        <v>150979.6</v>
      </c>
      <c r="Q301">
        <f t="shared" ca="1" si="54"/>
        <v>2</v>
      </c>
      <c r="R301">
        <f ca="1">((Tabla2[[#This Row],[Fantasma Comunicación]]+1)/(Tabla2[[#This Row],[Fantasma Comunicación]]+RANDBETWEEN(0,5)+2))-0.5</f>
        <v>-0.125</v>
      </c>
      <c r="S301">
        <f ca="1">1+MAX(0,Tabla2[[#This Row],[Deuda actual]]/Tabla2[[#This Row],[Liquidez]]+Tabla2[[#This Row],[Liquidez]]/(Tabla2[[#This Row],[Activos]]+Tabla2[[#This Row],[Liquidez]])+Tabla2[[#This Row],[Comunicación]])</f>
        <v>1.0860283674922111</v>
      </c>
      <c r="T301">
        <f ca="1">Tabla2[[#This Row],[Deuda actual]]*EXP(Tabla2[[#This Row],[Ki]]*Tabla2[[#This Row],[diferencia de días]])*(1+Tabla2[[#This Row],[Hg]])</f>
        <v>416.9537481474062</v>
      </c>
    </row>
    <row r="302" spans="1:20" ht="14.5" x14ac:dyDescent="0.35">
      <c r="A302">
        <f t="shared" si="44"/>
        <v>301</v>
      </c>
      <c r="B302">
        <f t="shared" ca="1" si="45"/>
        <v>46092</v>
      </c>
      <c r="C302">
        <f t="shared" ca="1" si="46"/>
        <v>46157</v>
      </c>
      <c r="D302">
        <f t="shared" ca="1" si="47"/>
        <v>7</v>
      </c>
      <c r="E302">
        <f t="shared" ca="1" si="48"/>
        <v>2.6171148157479007E-2</v>
      </c>
      <c r="F302">
        <f t="shared" ca="1" si="49"/>
        <v>306.49</v>
      </c>
      <c r="G302" t="str">
        <f t="shared" ca="1" si="50"/>
        <v>personal</v>
      </c>
      <c r="H30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02" t="str">
        <f t="shared" ca="1" si="51"/>
        <v>Sí</v>
      </c>
      <c r="J30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02">
        <f ca="1">IF(Tabla2[[#This Row],[¿cliente deuda abierta?]]="Sí", Tabla2[[#This Row],[Deuda actual]]*Tabla2[[#This Row],[diferencia de días]], "0")</f>
        <v>2145.4300000000003</v>
      </c>
      <c r="L30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0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0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02">
        <f t="shared" ca="1" si="52"/>
        <v>2229.56</v>
      </c>
      <c r="P302">
        <f t="shared" ca="1" si="53"/>
        <v>168349</v>
      </c>
      <c r="Q302">
        <f t="shared" ca="1" si="54"/>
        <v>5</v>
      </c>
      <c r="R302">
        <f ca="1">((Tabla2[[#This Row],[Fantasma Comunicación]]+1)/(Tabla2[[#This Row],[Fantasma Comunicación]]+RANDBETWEEN(0,5)+2))-0.5</f>
        <v>0</v>
      </c>
      <c r="S302">
        <f ca="1">1+MAX(0,Tabla2[[#This Row],[Deuda actual]]/Tabla2[[#This Row],[Liquidez]]+Tabla2[[#This Row],[Liquidez]]/(Tabla2[[#This Row],[Activos]]+Tabla2[[#This Row],[Liquidez]])+Tabla2[[#This Row],[Comunicación]])</f>
        <v>1.1505371611449848</v>
      </c>
      <c r="T302">
        <f ca="1">Tabla2[[#This Row],[Deuda actual]]*EXP(Tabla2[[#This Row],[Ki]]*Tabla2[[#This Row],[diferencia de días]])*(1+Tabla2[[#This Row],[Hg]])</f>
        <v>322.26535582543806</v>
      </c>
    </row>
    <row r="303" spans="1:20" ht="14.5" x14ac:dyDescent="0.35">
      <c r="A303">
        <f t="shared" si="44"/>
        <v>302</v>
      </c>
      <c r="B303">
        <f t="shared" ca="1" si="45"/>
        <v>46110</v>
      </c>
      <c r="C303">
        <f t="shared" ca="1" si="46"/>
        <v>46157</v>
      </c>
      <c r="D303">
        <f t="shared" ca="1" si="47"/>
        <v>3</v>
      </c>
      <c r="E303">
        <f t="shared" ca="1" si="48"/>
        <v>0.72297907778811321</v>
      </c>
      <c r="F303">
        <f t="shared" ca="1" si="49"/>
        <v>3623.67</v>
      </c>
      <c r="G303" t="str">
        <f t="shared" ca="1" si="50"/>
        <v>hipotecario</v>
      </c>
      <c r="H30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03" t="str">
        <f t="shared" ca="1" si="51"/>
        <v>No</v>
      </c>
      <c r="J30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165000.04979386943</v>
      </c>
      <c r="K303" t="str">
        <f ca="1">IF(Tabla2[[#This Row],[¿cliente deuda abierta?]]="Sí", Tabla2[[#This Row],[Deuda actual]]*Tabla2[[#This Row],[diferencia de días]], "0")</f>
        <v>0</v>
      </c>
      <c r="L30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0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30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303">
        <f t="shared" ca="1" si="52"/>
        <v>1048.98</v>
      </c>
      <c r="P303">
        <f t="shared" ca="1" si="53"/>
        <v>332176.82</v>
      </c>
      <c r="Q303">
        <f t="shared" ca="1" si="54"/>
        <v>2</v>
      </c>
      <c r="R303">
        <f ca="1">((Tabla2[[#This Row],[Fantasma Comunicación]]+1)/(Tabla2[[#This Row],[Fantasma Comunicación]]+RANDBETWEEN(0,5)+2))-0.5</f>
        <v>-7.1428571428571452E-2</v>
      </c>
      <c r="S303">
        <f ca="1">1+MAX(0,Tabla2[[#This Row],[Deuda actual]]/Tabla2[[#This Row],[Liquidez]]+Tabla2[[#This Row],[Liquidez]]/(Tabla2[[#This Row],[Activos]]+Tabla2[[#This Row],[Liquidez]])+Tabla2[[#This Row],[Comunicación]])</f>
        <v>4.3861894407283195</v>
      </c>
      <c r="T303">
        <f ca="1">Tabla2[[#This Row],[Deuda actual]]*EXP(Tabla2[[#This Row],[Ki]]*Tabla2[[#This Row],[diferencia de días]])*(1+Tabla2[[#This Row],[Hg]])</f>
        <v>2900.6758835128576</v>
      </c>
    </row>
    <row r="304" spans="1:20" ht="14.5" x14ac:dyDescent="0.35">
      <c r="A304">
        <f t="shared" si="44"/>
        <v>303</v>
      </c>
      <c r="B304">
        <f t="shared" ca="1" si="45"/>
        <v>46104</v>
      </c>
      <c r="C304">
        <f t="shared" ca="1" si="46"/>
        <v>46157</v>
      </c>
      <c r="D304">
        <f t="shared" ca="1" si="47"/>
        <v>3</v>
      </c>
      <c r="E304">
        <f t="shared" ca="1" si="48"/>
        <v>0.39324811670055948</v>
      </c>
      <c r="F304">
        <f t="shared" ca="1" si="49"/>
        <v>360.36</v>
      </c>
      <c r="G304" t="str">
        <f t="shared" ca="1" si="50"/>
        <v>personal</v>
      </c>
      <c r="H30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04" t="str">
        <f t="shared" ca="1" si="51"/>
        <v>Sí</v>
      </c>
      <c r="J30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04">
        <f ca="1">IF(Tabla2[[#This Row],[¿cliente deuda abierta?]]="Sí", Tabla2[[#This Row],[Deuda actual]]*Tabla2[[#This Row],[diferencia de días]], "0")</f>
        <v>1081.08</v>
      </c>
      <c r="L30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0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0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04">
        <f t="shared" ca="1" si="52"/>
        <v>1883.11</v>
      </c>
      <c r="P304">
        <f t="shared" ca="1" si="53"/>
        <v>109363.94</v>
      </c>
      <c r="Q304">
        <f t="shared" ca="1" si="54"/>
        <v>3</v>
      </c>
      <c r="R304">
        <f ca="1">((Tabla2[[#This Row],[Fantasma Comunicación]]+1)/(Tabla2[[#This Row],[Fantasma Comunicación]]+RANDBETWEEN(0,5)+2))-0.5</f>
        <v>0.16666666666666663</v>
      </c>
      <c r="S304">
        <f ca="1">1+MAX(0,Tabla2[[#This Row],[Deuda actual]]/Tabla2[[#This Row],[Liquidez]]+Tabla2[[#This Row],[Liquidez]]/(Tabla2[[#This Row],[Activos]]+Tabla2[[#This Row],[Liquidez]])+Tabla2[[#This Row],[Comunicación]])</f>
        <v>1.374958232661915</v>
      </c>
      <c r="T304">
        <f ca="1">Tabla2[[#This Row],[Deuda actual]]*EXP(Tabla2[[#This Row],[Ki]]*Tabla2[[#This Row],[diferencia de días]])*(1+Tabla2[[#This Row],[Hg]])</f>
        <v>378.60509492166369</v>
      </c>
    </row>
    <row r="305" spans="1:20" ht="14.5" x14ac:dyDescent="0.35">
      <c r="A305">
        <f t="shared" si="44"/>
        <v>304</v>
      </c>
      <c r="B305">
        <f t="shared" ca="1" si="45"/>
        <v>46083</v>
      </c>
      <c r="C305">
        <f t="shared" ca="1" si="46"/>
        <v>46157</v>
      </c>
      <c r="D305">
        <f t="shared" ca="1" si="47"/>
        <v>0</v>
      </c>
      <c r="E305">
        <f t="shared" ca="1" si="48"/>
        <v>0.9308319005767145</v>
      </c>
      <c r="F305">
        <f t="shared" ca="1" si="49"/>
        <v>838.42</v>
      </c>
      <c r="G305" t="str">
        <f t="shared" ca="1" si="50"/>
        <v>personal</v>
      </c>
      <c r="H30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05" t="str">
        <f t="shared" ca="1" si="51"/>
        <v>Sí</v>
      </c>
      <c r="J30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05">
        <f ca="1">IF(Tabla2[[#This Row],[¿cliente deuda abierta?]]="Sí", Tabla2[[#This Row],[Deuda actual]]*Tabla2[[#This Row],[diferencia de días]], "0")</f>
        <v>0</v>
      </c>
      <c r="L30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0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05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305">
        <f t="shared" ca="1" si="52"/>
        <v>866.15</v>
      </c>
      <c r="P305">
        <f t="shared" ca="1" si="53"/>
        <v>287261.21999999997</v>
      </c>
      <c r="Q305">
        <f t="shared" ca="1" si="54"/>
        <v>4</v>
      </c>
      <c r="R305">
        <f ca="1">((Tabla2[[#This Row],[Fantasma Comunicación]]+1)/(Tabla2[[#This Row],[Fantasma Comunicación]]+RANDBETWEEN(0,5)+2))-0.5</f>
        <v>0</v>
      </c>
      <c r="S305">
        <f ca="1">1+MAX(0,Tabla2[[#This Row],[Deuda actual]]/Tabla2[[#This Row],[Liquidez]]+Tabla2[[#This Row],[Liquidez]]/(Tabla2[[#This Row],[Activos]]+Tabla2[[#This Row],[Liquidez]])+Tabla2[[#This Row],[Comunicación]])</f>
        <v>1.9709908959388185</v>
      </c>
      <c r="T305">
        <f ca="1">Tabla2[[#This Row],[Deuda actual]]*EXP(Tabla2[[#This Row],[Ki]]*Tabla2[[#This Row],[diferencia de días]])*(1+Tabla2[[#This Row],[Hg]])</f>
        <v>838.42</v>
      </c>
    </row>
    <row r="306" spans="1:20" ht="14.5" x14ac:dyDescent="0.35">
      <c r="A306">
        <f t="shared" si="44"/>
        <v>305</v>
      </c>
      <c r="B306">
        <f t="shared" ca="1" si="45"/>
        <v>46134</v>
      </c>
      <c r="C306">
        <f t="shared" ca="1" si="46"/>
        <v>46157</v>
      </c>
      <c r="D306">
        <f t="shared" ca="1" si="47"/>
        <v>32</v>
      </c>
      <c r="E306">
        <f t="shared" ca="1" si="48"/>
        <v>0.52968161425501947</v>
      </c>
      <c r="F306">
        <f t="shared" ca="1" si="49"/>
        <v>236.03</v>
      </c>
      <c r="G306" t="str">
        <f t="shared" ca="1" si="50"/>
        <v>personal</v>
      </c>
      <c r="H30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306" t="str">
        <f t="shared" ca="1" si="51"/>
        <v>Sí</v>
      </c>
      <c r="J30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06">
        <f ca="1">IF(Tabla2[[#This Row],[¿cliente deuda abierta?]]="Sí", Tabla2[[#This Row],[Deuda actual]]*Tabla2[[#This Row],[diferencia de días]], "0")</f>
        <v>7552.96</v>
      </c>
      <c r="L30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0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0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06">
        <f t="shared" ca="1" si="52"/>
        <v>1442.65</v>
      </c>
      <c r="P306">
        <f t="shared" ca="1" si="53"/>
        <v>52988.39</v>
      </c>
      <c r="Q306">
        <f t="shared" ca="1" si="54"/>
        <v>0</v>
      </c>
      <c r="R306">
        <f ca="1">((Tabla2[[#This Row],[Fantasma Comunicación]]+1)/(Tabla2[[#This Row],[Fantasma Comunicación]]+RANDBETWEEN(0,5)+2))-0.5</f>
        <v>0</v>
      </c>
      <c r="S306">
        <f ca="1">1+MAX(0,Tabla2[[#This Row],[Deuda actual]]/Tabla2[[#This Row],[Liquidez]]+Tabla2[[#This Row],[Liquidez]]/(Tabla2[[#This Row],[Activos]]+Tabla2[[#This Row],[Liquidez]])+Tabla2[[#This Row],[Comunicación]])</f>
        <v>1.190112815381664</v>
      </c>
      <c r="T306">
        <f ca="1">Tabla2[[#This Row],[Deuda actual]]*EXP(Tabla2[[#This Row],[Ki]]*Tabla2[[#This Row],[diferencia de días]])*(1+Tabla2[[#This Row],[Hg]])</f>
        <v>255.89036211602544</v>
      </c>
    </row>
    <row r="307" spans="1:20" ht="14.5" x14ac:dyDescent="0.35">
      <c r="A307">
        <f t="shared" si="44"/>
        <v>306</v>
      </c>
      <c r="B307">
        <f t="shared" ca="1" si="45"/>
        <v>46083</v>
      </c>
      <c r="C307">
        <f t="shared" ca="1" si="46"/>
        <v>46157</v>
      </c>
      <c r="D307">
        <f t="shared" ca="1" si="47"/>
        <v>4</v>
      </c>
      <c r="E307">
        <f t="shared" ca="1" si="48"/>
        <v>0.29148885871002983</v>
      </c>
      <c r="F307">
        <f t="shared" ca="1" si="49"/>
        <v>3073.13</v>
      </c>
      <c r="G307" t="str">
        <f t="shared" ca="1" si="50"/>
        <v>hipotecario</v>
      </c>
      <c r="H30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07" t="str">
        <f t="shared" ca="1" si="51"/>
        <v>No</v>
      </c>
      <c r="J30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164999.77464516068</v>
      </c>
      <c r="K307" t="str">
        <f ca="1">IF(Tabla2[[#This Row],[¿cliente deuda abierta?]]="Sí", Tabla2[[#This Row],[Deuda actual]]*Tabla2[[#This Row],[diferencia de días]], "0")</f>
        <v>0</v>
      </c>
      <c r="L30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0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30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307">
        <f t="shared" ca="1" si="52"/>
        <v>2024.68</v>
      </c>
      <c r="P307">
        <f t="shared" ca="1" si="53"/>
        <v>120102.01</v>
      </c>
      <c r="Q307">
        <f t="shared" ca="1" si="54"/>
        <v>1</v>
      </c>
      <c r="R307">
        <f ca="1">((Tabla2[[#This Row],[Fantasma Comunicación]]+1)/(Tabla2[[#This Row],[Fantasma Comunicación]]+RANDBETWEEN(0,5)+2))-0.5</f>
        <v>-0.25</v>
      </c>
      <c r="S307">
        <f ca="1">1+MAX(0,Tabla2[[#This Row],[Deuda actual]]/Tabla2[[#This Row],[Liquidez]]+Tabla2[[#This Row],[Liquidez]]/(Tabla2[[#This Row],[Activos]]+Tabla2[[#This Row],[Liquidez]])+Tabla2[[#This Row],[Comunicación]])</f>
        <v>2.2844134389838979</v>
      </c>
      <c r="T307">
        <f ca="1">Tabla2[[#This Row],[Deuda actual]]*EXP(Tabla2[[#This Row],[Ki]]*Tabla2[[#This Row],[diferencia de días]])*(1+Tabla2[[#This Row],[Hg]])</f>
        <v>2460.4715901311142</v>
      </c>
    </row>
    <row r="308" spans="1:20" ht="14.5" x14ac:dyDescent="0.35">
      <c r="A308">
        <f t="shared" si="44"/>
        <v>307</v>
      </c>
      <c r="B308">
        <f t="shared" ca="1" si="45"/>
        <v>46084</v>
      </c>
      <c r="C308">
        <f t="shared" ca="1" si="46"/>
        <v>46157</v>
      </c>
      <c r="D308">
        <f t="shared" ca="1" si="47"/>
        <v>7</v>
      </c>
      <c r="E308">
        <f t="shared" ca="1" si="48"/>
        <v>0.22050069898782965</v>
      </c>
      <c r="F308">
        <f t="shared" ca="1" si="49"/>
        <v>207.28</v>
      </c>
      <c r="G308" t="str">
        <f t="shared" ca="1" si="50"/>
        <v>hipotecario</v>
      </c>
      <c r="H30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08" t="str">
        <f t="shared" ca="1" si="51"/>
        <v>Sí</v>
      </c>
      <c r="J30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08">
        <f ca="1">IF(Tabla2[[#This Row],[¿cliente deuda abierta?]]="Sí", Tabla2[[#This Row],[Deuda actual]]*Tabla2[[#This Row],[diferencia de días]], "0")</f>
        <v>1450.96</v>
      </c>
      <c r="L30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0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0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08">
        <f t="shared" ca="1" si="52"/>
        <v>1783.81</v>
      </c>
      <c r="P308">
        <f t="shared" ca="1" si="53"/>
        <v>340422.32</v>
      </c>
      <c r="Q308">
        <f t="shared" ca="1" si="54"/>
        <v>0</v>
      </c>
      <c r="R308">
        <f ca="1">((Tabla2[[#This Row],[Fantasma Comunicación]]+1)/(Tabla2[[#This Row],[Fantasma Comunicación]]+RANDBETWEEN(0,5)+2))-0.5</f>
        <v>-0.16666666666666669</v>
      </c>
      <c r="S308">
        <f ca="1">1+MAX(0,Tabla2[[#This Row],[Deuda actual]]/Tabla2[[#This Row],[Liquidez]]+Tabla2[[#This Row],[Liquidez]]/(Tabla2[[#This Row],[Activos]]+Tabla2[[#This Row],[Liquidez]])+Tabla2[[#This Row],[Comunicación]])</f>
        <v>1</v>
      </c>
      <c r="T308">
        <f ca="1">Tabla2[[#This Row],[Deuda actual]]*EXP(Tabla2[[#This Row],[Ki]]*Tabla2[[#This Row],[diferencia de días]])*(1+Tabla2[[#This Row],[Hg]])</f>
        <v>217.94891499069072</v>
      </c>
    </row>
    <row r="309" spans="1:20" ht="14.5" x14ac:dyDescent="0.35">
      <c r="A309">
        <f t="shared" si="44"/>
        <v>308</v>
      </c>
      <c r="B309">
        <f t="shared" ca="1" si="45"/>
        <v>46111</v>
      </c>
      <c r="C309">
        <f t="shared" ca="1" si="46"/>
        <v>46157</v>
      </c>
      <c r="D309">
        <f t="shared" ca="1" si="47"/>
        <v>5</v>
      </c>
      <c r="E309">
        <f t="shared" ca="1" si="48"/>
        <v>0.75983952246021091</v>
      </c>
      <c r="F309">
        <f t="shared" ca="1" si="49"/>
        <v>136.65</v>
      </c>
      <c r="G309" t="str">
        <f t="shared" ca="1" si="50"/>
        <v>hipotecario</v>
      </c>
      <c r="H30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09" t="str">
        <f t="shared" ca="1" si="51"/>
        <v>No</v>
      </c>
      <c r="J30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164998.56781558369</v>
      </c>
      <c r="K309" t="str">
        <f ca="1">IF(Tabla2[[#This Row],[¿cliente deuda abierta?]]="Sí", Tabla2[[#This Row],[Deuda actual]]*Tabla2[[#This Row],[diferencia de días]], "0")</f>
        <v>0</v>
      </c>
      <c r="L30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0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309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309">
        <f t="shared" ca="1" si="52"/>
        <v>2027.86</v>
      </c>
      <c r="P309">
        <f t="shared" ca="1" si="53"/>
        <v>75321.48</v>
      </c>
      <c r="Q309">
        <f t="shared" ca="1" si="54"/>
        <v>5</v>
      </c>
      <c r="R309">
        <f ca="1">((Tabla2[[#This Row],[Fantasma Comunicación]]+1)/(Tabla2[[#This Row],[Fantasma Comunicación]]+RANDBETWEEN(0,5)+2))-0.5</f>
        <v>0.25</v>
      </c>
      <c r="S309">
        <f ca="1">1+MAX(0,Tabla2[[#This Row],[Deuda actual]]/Tabla2[[#This Row],[Liquidez]]+Tabla2[[#This Row],[Liquidez]]/(Tabla2[[#This Row],[Activos]]+Tabla2[[#This Row],[Liquidez]])+Tabla2[[#This Row],[Comunicación]])</f>
        <v>1.3436032098592234</v>
      </c>
      <c r="T309">
        <f ca="1">Tabla2[[#This Row],[Deuda actual]]*EXP(Tabla2[[#This Row],[Ki]]*Tabla2[[#This Row],[diferencia de días]])*(1+Tabla2[[#This Row],[Hg]])</f>
        <v>109.42937467822458</v>
      </c>
    </row>
    <row r="310" spans="1:20" ht="14.5" x14ac:dyDescent="0.35">
      <c r="A310">
        <f t="shared" si="44"/>
        <v>309</v>
      </c>
      <c r="B310">
        <f t="shared" ca="1" si="45"/>
        <v>46087</v>
      </c>
      <c r="C310">
        <f t="shared" ca="1" si="46"/>
        <v>46157</v>
      </c>
      <c r="D310">
        <f t="shared" ca="1" si="47"/>
        <v>46</v>
      </c>
      <c r="E310">
        <f t="shared" ca="1" si="48"/>
        <v>0.46973750840974327</v>
      </c>
      <c r="F310">
        <f t="shared" ca="1" si="49"/>
        <v>1768.05</v>
      </c>
      <c r="G310" t="str">
        <f t="shared" ca="1" si="50"/>
        <v>personal</v>
      </c>
      <c r="H31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310" t="str">
        <f t="shared" ca="1" si="51"/>
        <v>No</v>
      </c>
      <c r="J31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12000.780442097401</v>
      </c>
      <c r="K310" t="str">
        <f ca="1">IF(Tabla2[[#This Row],[¿cliente deuda abierta?]]="Sí", Tabla2[[#This Row],[Deuda actual]]*Tabla2[[#This Row],[diferencia de días]], "0")</f>
        <v>0</v>
      </c>
      <c r="L31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1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10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10">
        <f t="shared" ca="1" si="52"/>
        <v>2313.79</v>
      </c>
      <c r="P310">
        <f t="shared" ca="1" si="53"/>
        <v>280226.21000000002</v>
      </c>
      <c r="Q310">
        <f t="shared" ca="1" si="54"/>
        <v>3</v>
      </c>
      <c r="R310">
        <f ca="1">((Tabla2[[#This Row],[Fantasma Comunicación]]+1)/(Tabla2[[#This Row],[Fantasma Comunicación]]+RANDBETWEEN(0,5)+2))-0.5</f>
        <v>-5.555555555555558E-2</v>
      </c>
      <c r="S310">
        <f ca="1">1+MAX(0,Tabla2[[#This Row],[Deuda actual]]/Tabla2[[#This Row],[Liquidez]]+Tabla2[[#This Row],[Liquidez]]/(Tabla2[[#This Row],[Activos]]+Tabla2[[#This Row],[Liquidez]])+Tabla2[[#This Row],[Comunicación]])</f>
        <v>1.7167695902294866</v>
      </c>
      <c r="T310">
        <f ca="1">Tabla2[[#This Row],[Deuda actual]]*EXP(Tabla2[[#This Row],[Ki]]*Tabla2[[#This Row],[diferencia de días]])*(1+Tabla2[[#This Row],[Hg]])</f>
        <v>1666.1519210631716</v>
      </c>
    </row>
    <row r="311" spans="1:20" ht="14.5" x14ac:dyDescent="0.35">
      <c r="A311">
        <f t="shared" si="44"/>
        <v>310</v>
      </c>
      <c r="B311">
        <f t="shared" ca="1" si="45"/>
        <v>46140</v>
      </c>
      <c r="C311">
        <f t="shared" ca="1" si="46"/>
        <v>46157</v>
      </c>
      <c r="D311">
        <f t="shared" ca="1" si="47"/>
        <v>12</v>
      </c>
      <c r="E311">
        <f t="shared" ca="1" si="48"/>
        <v>1.9493491266338148E-2</v>
      </c>
      <c r="F311">
        <f t="shared" ca="1" si="49"/>
        <v>1683.05</v>
      </c>
      <c r="G311" t="str">
        <f t="shared" ca="1" si="50"/>
        <v>hipotecario</v>
      </c>
      <c r="H31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11" t="str">
        <f t="shared" ca="1" si="51"/>
        <v>Sí</v>
      </c>
      <c r="J31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11">
        <f ca="1">IF(Tabla2[[#This Row],[¿cliente deuda abierta?]]="Sí", Tabla2[[#This Row],[Deuda actual]]*Tabla2[[#This Row],[diferencia de días]], "0")</f>
        <v>20196.599999999999</v>
      </c>
      <c r="L31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1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1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11">
        <f t="shared" ca="1" si="52"/>
        <v>1517.5</v>
      </c>
      <c r="P311">
        <f t="shared" ca="1" si="53"/>
        <v>63547.5</v>
      </c>
      <c r="Q311">
        <f t="shared" ca="1" si="54"/>
        <v>4</v>
      </c>
      <c r="R311">
        <f ca="1">((Tabla2[[#This Row],[Fantasma Comunicación]]+1)/(Tabla2[[#This Row],[Fantasma Comunicación]]+RANDBETWEEN(0,5)+2))-0.5</f>
        <v>-4.545454545454547E-2</v>
      </c>
      <c r="S311">
        <f ca="1">1+MAX(0,Tabla2[[#This Row],[Deuda actual]]/Tabla2[[#This Row],[Liquidez]]+Tabla2[[#This Row],[Liquidez]]/(Tabla2[[#This Row],[Activos]]+Tabla2[[#This Row],[Liquidez]])+Tabla2[[#This Row],[Comunicación]])</f>
        <v>2.0869621900086988</v>
      </c>
      <c r="T311">
        <f ca="1">Tabla2[[#This Row],[Deuda actual]]*EXP(Tabla2[[#This Row],[Ki]]*Tabla2[[#This Row],[diferencia de días]])*(1+Tabla2[[#This Row],[Hg]])</f>
        <v>1771.4488796172786</v>
      </c>
    </row>
    <row r="312" spans="1:20" ht="14.5" x14ac:dyDescent="0.35">
      <c r="A312">
        <f t="shared" si="44"/>
        <v>311</v>
      </c>
      <c r="B312">
        <f t="shared" ca="1" si="45"/>
        <v>46087</v>
      </c>
      <c r="C312">
        <f t="shared" ca="1" si="46"/>
        <v>46157</v>
      </c>
      <c r="D312">
        <f t="shared" ca="1" si="47"/>
        <v>35</v>
      </c>
      <c r="E312">
        <f t="shared" ca="1" si="48"/>
        <v>0.14325345739193451</v>
      </c>
      <c r="F312">
        <f t="shared" ca="1" si="49"/>
        <v>600.75</v>
      </c>
      <c r="G312" t="str">
        <f t="shared" ca="1" si="50"/>
        <v>hipotecario</v>
      </c>
      <c r="H31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312" t="str">
        <f t="shared" ca="1" si="51"/>
        <v>No</v>
      </c>
      <c r="J31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164999.24769761725</v>
      </c>
      <c r="K312" t="str">
        <f ca="1">IF(Tabla2[[#This Row],[¿cliente deuda abierta?]]="Sí", Tabla2[[#This Row],[Deuda actual]]*Tabla2[[#This Row],[diferencia de días]], "0")</f>
        <v>0</v>
      </c>
      <c r="L31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1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31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312">
        <f t="shared" ca="1" si="52"/>
        <v>1418.43</v>
      </c>
      <c r="P312">
        <f t="shared" ca="1" si="53"/>
        <v>66341.86</v>
      </c>
      <c r="Q312">
        <f t="shared" ca="1" si="54"/>
        <v>5</v>
      </c>
      <c r="R312">
        <f ca="1">((Tabla2[[#This Row],[Fantasma Comunicación]]+1)/(Tabla2[[#This Row],[Fantasma Comunicación]]+RANDBETWEEN(0,5)+2))-0.5</f>
        <v>4.5454545454545414E-2</v>
      </c>
      <c r="S312">
        <f ca="1">1+MAX(0,Tabla2[[#This Row],[Deuda actual]]/Tabla2[[#This Row],[Liquidez]]+Tabla2[[#This Row],[Liquidez]]/(Tabla2[[#This Row],[Activos]]+Tabla2[[#This Row],[Liquidez]])+Tabla2[[#This Row],[Comunicación]])</f>
        <v>1.4899192534558827</v>
      </c>
      <c r="T312">
        <f ca="1">Tabla2[[#This Row],[Deuda actual]]*EXP(Tabla2[[#This Row],[Ki]]*Tabla2[[#This Row],[diferencia de días]])*(1+Tabla2[[#This Row],[Hg]])</f>
        <v>497.71883204909892</v>
      </c>
    </row>
    <row r="313" spans="1:20" ht="14.5" x14ac:dyDescent="0.35">
      <c r="A313">
        <f t="shared" si="44"/>
        <v>312</v>
      </c>
      <c r="B313">
        <f t="shared" ca="1" si="45"/>
        <v>46131</v>
      </c>
      <c r="C313">
        <f t="shared" ca="1" si="46"/>
        <v>46157</v>
      </c>
      <c r="D313">
        <f t="shared" ca="1" si="47"/>
        <v>25</v>
      </c>
      <c r="E313">
        <f t="shared" ca="1" si="48"/>
        <v>0.8059536742612522</v>
      </c>
      <c r="F313">
        <f t="shared" ca="1" si="49"/>
        <v>441.57</v>
      </c>
      <c r="G313" t="str">
        <f t="shared" ca="1" si="50"/>
        <v>hipotecario</v>
      </c>
      <c r="H31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13" t="str">
        <f t="shared" ca="1" si="51"/>
        <v>Sí</v>
      </c>
      <c r="J31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13">
        <f ca="1">IF(Tabla2[[#This Row],[¿cliente deuda abierta?]]="Sí", Tabla2[[#This Row],[Deuda actual]]*Tabla2[[#This Row],[diferencia de días]], "0")</f>
        <v>11039.25</v>
      </c>
      <c r="L31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1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1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13">
        <f t="shared" ca="1" si="52"/>
        <v>1577.29</v>
      </c>
      <c r="P313">
        <f t="shared" ca="1" si="53"/>
        <v>42737.85</v>
      </c>
      <c r="Q313">
        <f t="shared" ca="1" si="54"/>
        <v>1</v>
      </c>
      <c r="R313">
        <f ca="1">((Tabla2[[#This Row],[Fantasma Comunicación]]+1)/(Tabla2[[#This Row],[Fantasma Comunicación]]+RANDBETWEEN(0,5)+2))-0.5</f>
        <v>0</v>
      </c>
      <c r="S313">
        <f ca="1">1+MAX(0,Tabla2[[#This Row],[Deuda actual]]/Tabla2[[#This Row],[Liquidez]]+Tabla2[[#This Row],[Liquidez]]/(Tabla2[[#This Row],[Activos]]+Tabla2[[#This Row],[Liquidez]])+Tabla2[[#This Row],[Comunicación]])</f>
        <v>1.3155474355457089</v>
      </c>
      <c r="T313">
        <f ca="1">Tabla2[[#This Row],[Deuda actual]]*EXP(Tabla2[[#This Row],[Ki]]*Tabla2[[#This Row],[diferencia de días]])*(1+Tabla2[[#This Row],[Hg]])</f>
        <v>468.30824489332383</v>
      </c>
    </row>
    <row r="314" spans="1:20" ht="14.5" x14ac:dyDescent="0.35">
      <c r="A314">
        <f t="shared" si="44"/>
        <v>313</v>
      </c>
      <c r="B314">
        <f t="shared" ca="1" si="45"/>
        <v>46110</v>
      </c>
      <c r="C314">
        <f t="shared" ca="1" si="46"/>
        <v>46157</v>
      </c>
      <c r="D314">
        <f t="shared" ca="1" si="47"/>
        <v>3</v>
      </c>
      <c r="E314">
        <f t="shared" ca="1" si="48"/>
        <v>0.50883808404548925</v>
      </c>
      <c r="F314">
        <f t="shared" ca="1" si="49"/>
        <v>2334.64</v>
      </c>
      <c r="G314" t="str">
        <f t="shared" ca="1" si="50"/>
        <v>personal</v>
      </c>
      <c r="H31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14" t="str">
        <f t="shared" ca="1" si="51"/>
        <v>Sí</v>
      </c>
      <c r="J31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14">
        <f ca="1">IF(Tabla2[[#This Row],[¿cliente deuda abierta?]]="Sí", Tabla2[[#This Row],[Deuda actual]]*Tabla2[[#This Row],[diferencia de días]], "0")</f>
        <v>7003.92</v>
      </c>
      <c r="L31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1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1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14">
        <f t="shared" ca="1" si="52"/>
        <v>1429.6</v>
      </c>
      <c r="P314">
        <f t="shared" ca="1" si="53"/>
        <v>283836.15999999997</v>
      </c>
      <c r="Q314">
        <f t="shared" ca="1" si="54"/>
        <v>1</v>
      </c>
      <c r="R314">
        <f ca="1">((Tabla2[[#This Row],[Fantasma Comunicación]]+1)/(Tabla2[[#This Row],[Fantasma Comunicación]]+RANDBETWEEN(0,5)+2))-0.5</f>
        <v>-0.16666666666666669</v>
      </c>
      <c r="S314">
        <f ca="1">1+MAX(0,Tabla2[[#This Row],[Deuda actual]]/Tabla2[[#This Row],[Liquidez]]+Tabla2[[#This Row],[Liquidez]]/(Tabla2[[#This Row],[Activos]]+Tabla2[[#This Row],[Liquidez]])+Tabla2[[#This Row],[Comunicación]])</f>
        <v>2.4714169885596275</v>
      </c>
      <c r="T314">
        <f ca="1">Tabla2[[#This Row],[Deuda actual]]*EXP(Tabla2[[#This Row],[Ki]]*Tabla2[[#This Row],[diferencia de días]])*(1+Tabla2[[#This Row],[Hg]])</f>
        <v>2452.8432645352227</v>
      </c>
    </row>
    <row r="315" spans="1:20" ht="14.5" x14ac:dyDescent="0.35">
      <c r="A315">
        <f t="shared" si="44"/>
        <v>314</v>
      </c>
      <c r="B315">
        <f t="shared" ca="1" si="45"/>
        <v>46126</v>
      </c>
      <c r="C315">
        <f t="shared" ca="1" si="46"/>
        <v>46157</v>
      </c>
      <c r="D315">
        <f t="shared" ca="1" si="47"/>
        <v>20</v>
      </c>
      <c r="E315">
        <f t="shared" ca="1" si="48"/>
        <v>0.6701577926326644</v>
      </c>
      <c r="F315">
        <f t="shared" ca="1" si="49"/>
        <v>3570.44</v>
      </c>
      <c r="G315" t="str">
        <f t="shared" ca="1" si="50"/>
        <v>personal</v>
      </c>
      <c r="H31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15" t="str">
        <f t="shared" ca="1" si="51"/>
        <v>No</v>
      </c>
      <c r="J31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11999.935629953721</v>
      </c>
      <c r="K315" t="str">
        <f ca="1">IF(Tabla2[[#This Row],[¿cliente deuda abierta?]]="Sí", Tabla2[[#This Row],[Deuda actual]]*Tabla2[[#This Row],[diferencia de días]], "0")</f>
        <v>0</v>
      </c>
      <c r="L31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1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1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15">
        <f t="shared" ca="1" si="52"/>
        <v>1855.97</v>
      </c>
      <c r="P315">
        <f t="shared" ca="1" si="53"/>
        <v>191556.39</v>
      </c>
      <c r="Q315">
        <f t="shared" ca="1" si="54"/>
        <v>0</v>
      </c>
      <c r="R315">
        <f ca="1">((Tabla2[[#This Row],[Fantasma Comunicación]]+1)/(Tabla2[[#This Row],[Fantasma Comunicación]]+RANDBETWEEN(0,5)+2))-0.5</f>
        <v>-0.33333333333333337</v>
      </c>
      <c r="S315">
        <f ca="1">1+MAX(0,Tabla2[[#This Row],[Deuda actual]]/Tabla2[[#This Row],[Liquidez]]+Tabla2[[#This Row],[Liquidez]]/(Tabla2[[#This Row],[Activos]]+Tabla2[[#This Row],[Liquidez]])+Tabla2[[#This Row],[Comunicación]])</f>
        <v>2.6000221326053481</v>
      </c>
      <c r="T315">
        <f ca="1">Tabla2[[#This Row],[Deuda actual]]*EXP(Tabla2[[#This Row],[Ki]]*Tabla2[[#This Row],[diferencia de días]])*(1+Tabla2[[#This Row],[Hg]])</f>
        <v>3239.2062714310905</v>
      </c>
    </row>
    <row r="316" spans="1:20" ht="14.5" x14ac:dyDescent="0.35">
      <c r="A316">
        <f t="shared" si="44"/>
        <v>315</v>
      </c>
      <c r="B316">
        <f t="shared" ca="1" si="45"/>
        <v>46121</v>
      </c>
      <c r="C316">
        <f t="shared" ca="1" si="46"/>
        <v>46157</v>
      </c>
      <c r="D316">
        <f t="shared" ca="1" si="47"/>
        <v>11</v>
      </c>
      <c r="E316">
        <f t="shared" ca="1" si="48"/>
        <v>0.8584181379848751</v>
      </c>
      <c r="F316">
        <f t="shared" ca="1" si="49"/>
        <v>3640.48</v>
      </c>
      <c r="G316" t="str">
        <f t="shared" ca="1" si="50"/>
        <v>hipotecario</v>
      </c>
      <c r="H31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16" t="str">
        <f t="shared" ca="1" si="51"/>
        <v>No</v>
      </c>
      <c r="J31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165000.00856014018</v>
      </c>
      <c r="K316" t="str">
        <f ca="1">IF(Tabla2[[#This Row],[¿cliente deuda abierta?]]="Sí", Tabla2[[#This Row],[Deuda actual]]*Tabla2[[#This Row],[diferencia de días]], "0")</f>
        <v>0</v>
      </c>
      <c r="L31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1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316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316">
        <f t="shared" ca="1" si="52"/>
        <v>1586.77</v>
      </c>
      <c r="P316">
        <f t="shared" ca="1" si="53"/>
        <v>76174.69</v>
      </c>
      <c r="Q316">
        <f t="shared" ca="1" si="54"/>
        <v>5</v>
      </c>
      <c r="R316">
        <f ca="1">((Tabla2[[#This Row],[Fantasma Comunicación]]+1)/(Tabla2[[#This Row],[Fantasma Comunicación]]+RANDBETWEEN(0,5)+2))-0.5</f>
        <v>9.9999999999999978E-2</v>
      </c>
      <c r="S316">
        <f ca="1">1+MAX(0,Tabla2[[#This Row],[Deuda actual]]/Tabla2[[#This Row],[Liquidez]]+Tabla2[[#This Row],[Liquidez]]/(Tabla2[[#This Row],[Activos]]+Tabla2[[#This Row],[Liquidez]])+Tabla2[[#This Row],[Comunicación]])</f>
        <v>3.4146763609429391</v>
      </c>
      <c r="T316">
        <f ca="1">Tabla2[[#This Row],[Deuda actual]]*EXP(Tabla2[[#This Row],[Ki]]*Tabla2[[#This Row],[diferencia de días]])*(1+Tabla2[[#This Row],[Hg]])</f>
        <v>2918.7982979406347</v>
      </c>
    </row>
    <row r="317" spans="1:20" ht="14.5" x14ac:dyDescent="0.35">
      <c r="A317">
        <f t="shared" si="44"/>
        <v>316</v>
      </c>
      <c r="B317">
        <f t="shared" ca="1" si="45"/>
        <v>46087</v>
      </c>
      <c r="C317">
        <f t="shared" ca="1" si="46"/>
        <v>46157</v>
      </c>
      <c r="D317">
        <f t="shared" ca="1" si="47"/>
        <v>10</v>
      </c>
      <c r="E317">
        <f t="shared" ca="1" si="48"/>
        <v>0.94867686046624111</v>
      </c>
      <c r="F317">
        <f t="shared" ca="1" si="49"/>
        <v>133</v>
      </c>
      <c r="G317" t="str">
        <f t="shared" ca="1" si="50"/>
        <v>hipotecario</v>
      </c>
      <c r="H31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17" t="str">
        <f t="shared" ca="1" si="51"/>
        <v>Sí</v>
      </c>
      <c r="J31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17">
        <f ca="1">IF(Tabla2[[#This Row],[¿cliente deuda abierta?]]="Sí", Tabla2[[#This Row],[Deuda actual]]*Tabla2[[#This Row],[diferencia de días]], "0")</f>
        <v>1330</v>
      </c>
      <c r="L31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1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1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17">
        <f t="shared" ca="1" si="52"/>
        <v>1250.25</v>
      </c>
      <c r="P317">
        <f t="shared" ca="1" si="53"/>
        <v>289564.75</v>
      </c>
      <c r="Q317">
        <f t="shared" ca="1" si="54"/>
        <v>5</v>
      </c>
      <c r="R317">
        <f ca="1">((Tabla2[[#This Row],[Fantasma Comunicación]]+1)/(Tabla2[[#This Row],[Fantasma Comunicación]]+RANDBETWEEN(0,5)+2))-0.5</f>
        <v>0.16666666666666663</v>
      </c>
      <c r="S317">
        <f ca="1">1+MAX(0,Tabla2[[#This Row],[Deuda actual]]/Tabla2[[#This Row],[Liquidez]]+Tabla2[[#This Row],[Liquidez]]/(Tabla2[[#This Row],[Activos]]+Tabla2[[#This Row],[Liquidez]])+Tabla2[[#This Row],[Comunicación]])</f>
        <v>1.2773445157950167</v>
      </c>
      <c r="T317">
        <f ca="1">Tabla2[[#This Row],[Deuda actual]]*EXP(Tabla2[[#This Row],[Ki]]*Tabla2[[#This Row],[diferencia de días]])*(1+Tabla2[[#This Row],[Hg]])</f>
        <v>139.92957948629314</v>
      </c>
    </row>
    <row r="318" spans="1:20" ht="14.5" x14ac:dyDescent="0.35">
      <c r="A318">
        <f t="shared" si="44"/>
        <v>317</v>
      </c>
      <c r="B318">
        <f t="shared" ca="1" si="45"/>
        <v>46088</v>
      </c>
      <c r="C318">
        <f t="shared" ca="1" si="46"/>
        <v>46157</v>
      </c>
      <c r="D318">
        <f t="shared" ca="1" si="47"/>
        <v>21</v>
      </c>
      <c r="E318">
        <f t="shared" ca="1" si="48"/>
        <v>0.1653883272257306</v>
      </c>
      <c r="F318">
        <f t="shared" ca="1" si="49"/>
        <v>448.31</v>
      </c>
      <c r="G318" t="str">
        <f t="shared" ca="1" si="50"/>
        <v>hipotecario</v>
      </c>
      <c r="H31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18" t="str">
        <f t="shared" ca="1" si="51"/>
        <v>No</v>
      </c>
      <c r="J31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164998.04393068183</v>
      </c>
      <c r="K318" t="str">
        <f ca="1">IF(Tabla2[[#This Row],[¿cliente deuda abierta?]]="Sí", Tabla2[[#This Row],[Deuda actual]]*Tabla2[[#This Row],[diferencia de días]], "0")</f>
        <v>0</v>
      </c>
      <c r="L31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1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318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318">
        <f t="shared" ca="1" si="52"/>
        <v>1705.68</v>
      </c>
      <c r="P318">
        <f t="shared" ca="1" si="53"/>
        <v>116749.29</v>
      </c>
      <c r="Q318">
        <f t="shared" ca="1" si="54"/>
        <v>2</v>
      </c>
      <c r="R318">
        <f ca="1">((Tabla2[[#This Row],[Fantasma Comunicación]]+1)/(Tabla2[[#This Row],[Fantasma Comunicación]]+RANDBETWEEN(0,5)+2))-0.5</f>
        <v>0</v>
      </c>
      <c r="S318">
        <f ca="1">1+MAX(0,Tabla2[[#This Row],[Deuda actual]]/Tabla2[[#This Row],[Liquidez]]+Tabla2[[#This Row],[Liquidez]]/(Tabla2[[#This Row],[Activos]]+Tabla2[[#This Row],[Liquidez]])+Tabla2[[#This Row],[Comunicación]])</f>
        <v>1.2772329871160124</v>
      </c>
      <c r="T318">
        <f ca="1">Tabla2[[#This Row],[Deuda actual]]*EXP(Tabla2[[#This Row],[Ki]]*Tabla2[[#This Row],[diferencia de días]])*(1+Tabla2[[#This Row],[Hg]])</f>
        <v>361.67333180464948</v>
      </c>
    </row>
    <row r="319" spans="1:20" ht="14.5" x14ac:dyDescent="0.35">
      <c r="A319">
        <f t="shared" si="44"/>
        <v>318</v>
      </c>
      <c r="B319">
        <f t="shared" ca="1" si="45"/>
        <v>46112</v>
      </c>
      <c r="C319">
        <f t="shared" ca="1" si="46"/>
        <v>46157</v>
      </c>
      <c r="D319">
        <f t="shared" ca="1" si="47"/>
        <v>10</v>
      </c>
      <c r="E319">
        <f t="shared" ca="1" si="48"/>
        <v>0.36084070915415289</v>
      </c>
      <c r="F319">
        <f t="shared" ca="1" si="49"/>
        <v>1512.06</v>
      </c>
      <c r="G319" t="str">
        <f t="shared" ca="1" si="50"/>
        <v>personal</v>
      </c>
      <c r="H31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19" t="str">
        <f t="shared" ca="1" si="51"/>
        <v>Sí</v>
      </c>
      <c r="J31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19">
        <f ca="1">IF(Tabla2[[#This Row],[¿cliente deuda abierta?]]="Sí", Tabla2[[#This Row],[Deuda actual]]*Tabla2[[#This Row],[diferencia de días]], "0")</f>
        <v>15120.599999999999</v>
      </c>
      <c r="L31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1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1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19">
        <f t="shared" ca="1" si="52"/>
        <v>1426.11</v>
      </c>
      <c r="P319">
        <f t="shared" ca="1" si="53"/>
        <v>218261.35</v>
      </c>
      <c r="Q319">
        <f t="shared" ca="1" si="54"/>
        <v>3</v>
      </c>
      <c r="R319">
        <f ca="1">((Tabla2[[#This Row],[Fantasma Comunicación]]+1)/(Tabla2[[#This Row],[Fantasma Comunicación]]+RANDBETWEEN(0,5)+2))-0.5</f>
        <v>0</v>
      </c>
      <c r="S319">
        <f ca="1">1+MAX(0,Tabla2[[#This Row],[Deuda actual]]/Tabla2[[#This Row],[Liquidez]]+Tabla2[[#This Row],[Liquidez]]/(Tabla2[[#This Row],[Activos]]+Tabla2[[#This Row],[Liquidez]])+Tabla2[[#This Row],[Comunicación]])</f>
        <v>2.0667603835168871</v>
      </c>
      <c r="T319">
        <f ca="1">Tabla2[[#This Row],[Deuda actual]]*EXP(Tabla2[[#This Row],[Ki]]*Tabla2[[#This Row],[diferencia de días]])*(1+Tabla2[[#This Row],[Hg]])</f>
        <v>1590.8415034439429</v>
      </c>
    </row>
    <row r="320" spans="1:20" ht="14.5" x14ac:dyDescent="0.35">
      <c r="A320">
        <f t="shared" si="44"/>
        <v>319</v>
      </c>
      <c r="B320">
        <f t="shared" ca="1" si="45"/>
        <v>46136</v>
      </c>
      <c r="C320">
        <f t="shared" ca="1" si="46"/>
        <v>46157</v>
      </c>
      <c r="D320">
        <f t="shared" ca="1" si="47"/>
        <v>16</v>
      </c>
      <c r="E320">
        <f t="shared" ca="1" si="48"/>
        <v>0.50895979016737025</v>
      </c>
      <c r="F320">
        <f t="shared" ca="1" si="49"/>
        <v>10000</v>
      </c>
      <c r="G320" t="str">
        <f t="shared" ca="1" si="50"/>
        <v>hipotecario</v>
      </c>
      <c r="H32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20" t="str">
        <f t="shared" ca="1" si="51"/>
        <v>Sí</v>
      </c>
      <c r="J32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20">
        <f ca="1">IF(Tabla2[[#This Row],[¿cliente deuda abierta?]]="Sí", Tabla2[[#This Row],[Deuda actual]]*Tabla2[[#This Row],[diferencia de días]], "0")</f>
        <v>160000</v>
      </c>
      <c r="L32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32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20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320">
        <f t="shared" ca="1" si="52"/>
        <v>2590.6799999999998</v>
      </c>
      <c r="P320">
        <f t="shared" ca="1" si="53"/>
        <v>175447.6</v>
      </c>
      <c r="Q320">
        <f t="shared" ca="1" si="54"/>
        <v>5</v>
      </c>
      <c r="R320">
        <f ca="1">((Tabla2[[#This Row],[Fantasma Comunicación]]+1)/(Tabla2[[#This Row],[Fantasma Comunicación]]+RANDBETWEEN(0,5)+2))-0.5</f>
        <v>0.16666666666666663</v>
      </c>
      <c r="S320">
        <f ca="1">1+MAX(0,Tabla2[[#This Row],[Deuda actual]]/Tabla2[[#This Row],[Liquidez]]+Tabla2[[#This Row],[Liquidez]]/(Tabla2[[#This Row],[Activos]]+Tabla2[[#This Row],[Liquidez]])+Tabla2[[#This Row],[Comunicación]])</f>
        <v>5.0412083465760658</v>
      </c>
      <c r="T320">
        <f ca="1">Tabla2[[#This Row],[Deuda actual]]*EXP(Tabla2[[#This Row],[Ki]]*Tabla2[[#This Row],[diferencia de días]])*(1+Tabla2[[#This Row],[Hg]])</f>
        <v>11573.836023247604</v>
      </c>
    </row>
    <row r="321" spans="1:20" ht="14.5" x14ac:dyDescent="0.35">
      <c r="A321">
        <f t="shared" si="44"/>
        <v>320</v>
      </c>
      <c r="B321">
        <f t="shared" ca="1" si="45"/>
        <v>46119</v>
      </c>
      <c r="C321">
        <f t="shared" ca="1" si="46"/>
        <v>46157</v>
      </c>
      <c r="D321">
        <f t="shared" ca="1" si="47"/>
        <v>7</v>
      </c>
      <c r="E321">
        <f t="shared" ca="1" si="48"/>
        <v>0.55216115985442138</v>
      </c>
      <c r="F321">
        <f t="shared" ca="1" si="49"/>
        <v>448.33</v>
      </c>
      <c r="G321" t="str">
        <f t="shared" ca="1" si="50"/>
        <v>personal</v>
      </c>
      <c r="H32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21" t="str">
        <f t="shared" ca="1" si="51"/>
        <v>Sí</v>
      </c>
      <c r="J32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21">
        <f ca="1">IF(Tabla2[[#This Row],[¿cliente deuda abierta?]]="Sí", Tabla2[[#This Row],[Deuda actual]]*Tabla2[[#This Row],[diferencia de días]], "0")</f>
        <v>3138.31</v>
      </c>
      <c r="L32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2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2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21">
        <f t="shared" ca="1" si="52"/>
        <v>1151.56</v>
      </c>
      <c r="P321">
        <f t="shared" ca="1" si="53"/>
        <v>118475.83</v>
      </c>
      <c r="Q321">
        <f t="shared" ca="1" si="54"/>
        <v>3</v>
      </c>
      <c r="R321">
        <f ca="1">((Tabla2[[#This Row],[Fantasma Comunicación]]+1)/(Tabla2[[#This Row],[Fantasma Comunicación]]+RANDBETWEEN(0,5)+2))-0.5</f>
        <v>-9.9999999999999978E-2</v>
      </c>
      <c r="S321">
        <f ca="1">1+MAX(0,Tabla2[[#This Row],[Deuda actual]]/Tabla2[[#This Row],[Liquidez]]+Tabla2[[#This Row],[Liquidez]]/(Tabla2[[#This Row],[Activos]]+Tabla2[[#This Row],[Liquidez]])+Tabla2[[#This Row],[Comunicación]])</f>
        <v>1.2989502709388787</v>
      </c>
      <c r="T321">
        <f ca="1">Tabla2[[#This Row],[Deuda actual]]*EXP(Tabla2[[#This Row],[Ki]]*Tabla2[[#This Row],[diferencia de días]])*(1+Tabla2[[#This Row],[Hg]])</f>
        <v>471.40600664693346</v>
      </c>
    </row>
    <row r="322" spans="1:20" ht="14.5" x14ac:dyDescent="0.35">
      <c r="A322">
        <f t="shared" ref="A322:A385" si="55">A321+1</f>
        <v>321</v>
      </c>
      <c r="B322">
        <f t="shared" ref="B322:B385" ca="1" si="56">RANDBETWEEN(DATE(2026,3,1), DATE(2026,5,1))</f>
        <v>46114</v>
      </c>
      <c r="C322">
        <f t="shared" ref="C322:C385" ca="1" si="57">TODAY()</f>
        <v>46157</v>
      </c>
      <c r="D322">
        <f t="shared" ref="D322:D385" ca="1" si="58">ROUND((-(15) * LN(RAND())),0)</f>
        <v>25</v>
      </c>
      <c r="E322">
        <f t="shared" ref="E322:E385" ca="1" si="59">RAND()</f>
        <v>0.15605220263891517</v>
      </c>
      <c r="F322">
        <f t="shared" ref="F322:F385" ca="1" si="60">ROUND(MIN(10000, _xlfn.LOGNORM.INV(RAND(), 69/10, 13/10)),2)</f>
        <v>2080.0300000000002</v>
      </c>
      <c r="G322" t="str">
        <f t="shared" ref="G322:G385" ca="1" si="61">IF(RAND()&lt;=0.5,"personal","hipotecario")</f>
        <v>hipotecario</v>
      </c>
      <c r="H32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22" t="str">
        <f t="shared" ref="I322:I385" ca="1" si="62">IF(RAND()&lt;=0.65, "Sí", "No")</f>
        <v>Sí</v>
      </c>
      <c r="J32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22">
        <f ca="1">IF(Tabla2[[#This Row],[¿cliente deuda abierta?]]="Sí", Tabla2[[#This Row],[Deuda actual]]*Tabla2[[#This Row],[diferencia de días]], "0")</f>
        <v>52000.750000000007</v>
      </c>
      <c r="L32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32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22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322">
        <f t="shared" ref="O322:O385" ca="1" si="63">ROUND(1000*(_xlfn.LOGNORM.INV(RAND(), 0.5, 0.2)),2)</f>
        <v>1533.06</v>
      </c>
      <c r="P322">
        <f t="shared" ref="P322:P385" ca="1" si="64">ROUND(50000*(_xlfn.LOGNORM.INV(RAND(), 1, 0.75)),2)</f>
        <v>80254.25</v>
      </c>
      <c r="Q322">
        <f t="shared" ref="Q322:Q385" ca="1" si="65">RANDBETWEEN(0,5)</f>
        <v>5</v>
      </c>
      <c r="R322">
        <f ca="1">((Tabla2[[#This Row],[Fantasma Comunicación]]+1)/(Tabla2[[#This Row],[Fantasma Comunicación]]+RANDBETWEEN(0,5)+2))-0.5</f>
        <v>0.16666666666666663</v>
      </c>
      <c r="S322">
        <f ca="1">1+MAX(0,Tabla2[[#This Row],[Deuda actual]]/Tabla2[[#This Row],[Liquidez]]+Tabla2[[#This Row],[Liquidez]]/(Tabla2[[#This Row],[Activos]]+Tabla2[[#This Row],[Liquidez]])+Tabla2[[#This Row],[Comunicación]])</f>
        <v>2.5421943050675169</v>
      </c>
      <c r="T322">
        <f ca="1">Tabla2[[#This Row],[Deuda actual]]*EXP(Tabla2[[#This Row],[Ki]]*Tabla2[[#This Row],[diferencia de días]])*(1+Tabla2[[#This Row],[Hg]])</f>
        <v>2311.0281139440904</v>
      </c>
    </row>
    <row r="323" spans="1:20" ht="14.5" x14ac:dyDescent="0.35">
      <c r="A323">
        <f t="shared" si="55"/>
        <v>322</v>
      </c>
      <c r="B323">
        <f t="shared" ca="1" si="56"/>
        <v>46116</v>
      </c>
      <c r="C323">
        <f t="shared" ca="1" si="57"/>
        <v>46157</v>
      </c>
      <c r="D323">
        <f t="shared" ca="1" si="58"/>
        <v>25</v>
      </c>
      <c r="E323">
        <f t="shared" ca="1" si="59"/>
        <v>0.98557573926282693</v>
      </c>
      <c r="F323">
        <f t="shared" ca="1" si="60"/>
        <v>316.62</v>
      </c>
      <c r="G323" t="str">
        <f t="shared" ca="1" si="61"/>
        <v>hipotecario</v>
      </c>
      <c r="H32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23" t="str">
        <f t="shared" ca="1" si="62"/>
        <v>No</v>
      </c>
      <c r="J32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164999.30937241862</v>
      </c>
      <c r="K323" t="str">
        <f ca="1">IF(Tabla2[[#This Row],[¿cliente deuda abierta?]]="Sí", Tabla2[[#This Row],[Deuda actual]]*Tabla2[[#This Row],[diferencia de días]], "0")</f>
        <v>0</v>
      </c>
      <c r="L32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2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32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323">
        <f t="shared" ca="1" si="63"/>
        <v>1966.93</v>
      </c>
      <c r="P323">
        <f t="shared" ca="1" si="64"/>
        <v>240144.76</v>
      </c>
      <c r="Q323">
        <f t="shared" ca="1" si="65"/>
        <v>1</v>
      </c>
      <c r="R323">
        <f ca="1">((Tabla2[[#This Row],[Fantasma Comunicación]]+1)/(Tabla2[[#This Row],[Fantasma Comunicación]]+RANDBETWEEN(0,5)+2))-0.5</f>
        <v>0</v>
      </c>
      <c r="S323">
        <f ca="1">1+MAX(0,Tabla2[[#This Row],[Deuda actual]]/Tabla2[[#This Row],[Liquidez]]+Tabla2[[#This Row],[Liquidez]]/(Tabla2[[#This Row],[Activos]]+Tabla2[[#This Row],[Liquidez]])+Tabla2[[#This Row],[Comunicación]])</f>
        <v>1.1690957269341453</v>
      </c>
      <c r="T323">
        <f ca="1">Tabla2[[#This Row],[Deuda actual]]*EXP(Tabla2[[#This Row],[Ki]]*Tabla2[[#This Row],[diferencia de días]])*(1+Tabla2[[#This Row],[Hg]])</f>
        <v>255.84166712175144</v>
      </c>
    </row>
    <row r="324" spans="1:20" ht="14.5" x14ac:dyDescent="0.35">
      <c r="A324">
        <f t="shared" si="55"/>
        <v>323</v>
      </c>
      <c r="B324">
        <f t="shared" ca="1" si="56"/>
        <v>46101</v>
      </c>
      <c r="C324">
        <f t="shared" ca="1" si="57"/>
        <v>46157</v>
      </c>
      <c r="D324">
        <f t="shared" ca="1" si="58"/>
        <v>11</v>
      </c>
      <c r="E324">
        <f t="shared" ca="1" si="59"/>
        <v>0.18860517475502536</v>
      </c>
      <c r="F324">
        <f t="shared" ca="1" si="60"/>
        <v>300.73</v>
      </c>
      <c r="G324" t="str">
        <f t="shared" ca="1" si="61"/>
        <v>hipotecario</v>
      </c>
      <c r="H32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24" t="str">
        <f t="shared" ca="1" si="62"/>
        <v>No</v>
      </c>
      <c r="J32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165000.15974441721</v>
      </c>
      <c r="K324" t="str">
        <f ca="1">IF(Tabla2[[#This Row],[¿cliente deuda abierta?]]="Sí", Tabla2[[#This Row],[Deuda actual]]*Tabla2[[#This Row],[diferencia de días]], "0")</f>
        <v>0</v>
      </c>
      <c r="L32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2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324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324">
        <f t="shared" ca="1" si="63"/>
        <v>2281.29</v>
      </c>
      <c r="P324">
        <f t="shared" ca="1" si="64"/>
        <v>206657</v>
      </c>
      <c r="Q324">
        <f t="shared" ca="1" si="65"/>
        <v>1</v>
      </c>
      <c r="R324">
        <f ca="1">((Tabla2[[#This Row],[Fantasma Comunicación]]+1)/(Tabla2[[#This Row],[Fantasma Comunicación]]+RANDBETWEEN(0,5)+2))-0.5</f>
        <v>-0.2142857142857143</v>
      </c>
      <c r="S324">
        <f ca="1">1+MAX(0,Tabla2[[#This Row],[Deuda actual]]/Tabla2[[#This Row],[Liquidez]]+Tabla2[[#This Row],[Liquidez]]/(Tabla2[[#This Row],[Activos]]+Tabla2[[#This Row],[Liquidez]])+Tabla2[[#This Row],[Comunicación]])</f>
        <v>1</v>
      </c>
      <c r="T324">
        <f ca="1">Tabla2[[#This Row],[Deuda actual]]*EXP(Tabla2[[#This Row],[Ki]]*Tabla2[[#This Row],[diferencia de días]])*(1+Tabla2[[#This Row],[Hg]])</f>
        <v>241.11386744047138</v>
      </c>
    </row>
    <row r="325" spans="1:20" ht="14.5" x14ac:dyDescent="0.35">
      <c r="A325">
        <f t="shared" si="55"/>
        <v>324</v>
      </c>
      <c r="B325">
        <f t="shared" ca="1" si="56"/>
        <v>46088</v>
      </c>
      <c r="C325">
        <f t="shared" ca="1" si="57"/>
        <v>46157</v>
      </c>
      <c r="D325">
        <f t="shared" ca="1" si="58"/>
        <v>26</v>
      </c>
      <c r="E325">
        <f t="shared" ca="1" si="59"/>
        <v>0.37054915912789543</v>
      </c>
      <c r="F325">
        <f t="shared" ca="1" si="60"/>
        <v>1466.27</v>
      </c>
      <c r="G325" t="str">
        <f t="shared" ca="1" si="61"/>
        <v>hipotecario</v>
      </c>
      <c r="H32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25" t="str">
        <f t="shared" ca="1" si="62"/>
        <v>Sí</v>
      </c>
      <c r="J32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25">
        <f ca="1">IF(Tabla2[[#This Row],[¿cliente deuda abierta?]]="Sí", Tabla2[[#This Row],[Deuda actual]]*Tabla2[[#This Row],[diferencia de días]], "0")</f>
        <v>38123.019999999997</v>
      </c>
      <c r="L32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32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25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325">
        <f t="shared" ca="1" si="63"/>
        <v>1424.53</v>
      </c>
      <c r="P325">
        <f t="shared" ca="1" si="64"/>
        <v>49140.46</v>
      </c>
      <c r="Q325">
        <f t="shared" ca="1" si="65"/>
        <v>0</v>
      </c>
      <c r="R325">
        <f ca="1">((Tabla2[[#This Row],[Fantasma Comunicación]]+1)/(Tabla2[[#This Row],[Fantasma Comunicación]]+RANDBETWEEN(0,5)+2))-0.5</f>
        <v>-0.25</v>
      </c>
      <c r="S325">
        <f ca="1">1+MAX(0,Tabla2[[#This Row],[Deuda actual]]/Tabla2[[#This Row],[Liquidez]]+Tabla2[[#This Row],[Liquidez]]/(Tabla2[[#This Row],[Activos]]+Tabla2[[#This Row],[Liquidez]])+Tabla2[[#This Row],[Comunicación]])</f>
        <v>1.8074731513306499</v>
      </c>
      <c r="T325">
        <f ca="1">Tabla2[[#This Row],[Deuda actual]]*EXP(Tabla2[[#This Row],[Ki]]*Tabla2[[#This Row],[diferencia de días]])*(1+Tabla2[[#This Row],[Hg]])</f>
        <v>1629.758657439219</v>
      </c>
    </row>
    <row r="326" spans="1:20" ht="14.5" x14ac:dyDescent="0.35">
      <c r="A326">
        <f t="shared" si="55"/>
        <v>325</v>
      </c>
      <c r="B326">
        <f t="shared" ca="1" si="56"/>
        <v>46096</v>
      </c>
      <c r="C326">
        <f t="shared" ca="1" si="57"/>
        <v>46157</v>
      </c>
      <c r="D326">
        <f t="shared" ca="1" si="58"/>
        <v>54</v>
      </c>
      <c r="E326">
        <f t="shared" ca="1" si="59"/>
        <v>0.36311814739810655</v>
      </c>
      <c r="F326">
        <f t="shared" ca="1" si="60"/>
        <v>666.36</v>
      </c>
      <c r="G326" t="str">
        <f t="shared" ca="1" si="61"/>
        <v>personal</v>
      </c>
      <c r="H32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326" t="str">
        <f t="shared" ca="1" si="62"/>
        <v>Sí</v>
      </c>
      <c r="J32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26">
        <f ca="1">IF(Tabla2[[#This Row],[¿cliente deuda abierta?]]="Sí", Tabla2[[#This Row],[Deuda actual]]*Tabla2[[#This Row],[diferencia de días]], "0")</f>
        <v>35983.440000000002</v>
      </c>
      <c r="L32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32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26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326">
        <f t="shared" ca="1" si="63"/>
        <v>2001.98</v>
      </c>
      <c r="P326">
        <f t="shared" ca="1" si="64"/>
        <v>202678.42</v>
      </c>
      <c r="Q326">
        <f t="shared" ca="1" si="65"/>
        <v>1</v>
      </c>
      <c r="R326">
        <f ca="1">((Tabla2[[#This Row],[Fantasma Comunicación]]+1)/(Tabla2[[#This Row],[Fantasma Comunicación]]+RANDBETWEEN(0,5)+2))-0.5</f>
        <v>-0.16666666666666669</v>
      </c>
      <c r="S326">
        <f ca="1">1+MAX(0,Tabla2[[#This Row],[Deuda actual]]/Tabla2[[#This Row],[Liquidez]]+Tabla2[[#This Row],[Liquidez]]/(Tabla2[[#This Row],[Activos]]+Tabla2[[#This Row],[Liquidez]])+Tabla2[[#This Row],[Comunicación]])</f>
        <v>1.1759648162828835</v>
      </c>
      <c r="T326">
        <f ca="1">Tabla2[[#This Row],[Deuda actual]]*EXP(Tabla2[[#This Row],[Ki]]*Tabla2[[#This Row],[diferencia de días]])*(1+Tabla2[[#This Row],[Hg]])</f>
        <v>794.83952969984921</v>
      </c>
    </row>
    <row r="327" spans="1:20" ht="14.5" x14ac:dyDescent="0.35">
      <c r="A327">
        <f t="shared" si="55"/>
        <v>326</v>
      </c>
      <c r="B327">
        <f t="shared" ca="1" si="56"/>
        <v>46096</v>
      </c>
      <c r="C327">
        <f t="shared" ca="1" si="57"/>
        <v>46157</v>
      </c>
      <c r="D327">
        <f t="shared" ca="1" si="58"/>
        <v>1</v>
      </c>
      <c r="E327">
        <f t="shared" ca="1" si="59"/>
        <v>0.75249012303731122</v>
      </c>
      <c r="F327">
        <f t="shared" ca="1" si="60"/>
        <v>6039.21</v>
      </c>
      <c r="G327" t="str">
        <f t="shared" ca="1" si="61"/>
        <v>personal</v>
      </c>
      <c r="H32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27" t="str">
        <f t="shared" ca="1" si="62"/>
        <v>Sí</v>
      </c>
      <c r="J32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27">
        <f ca="1">IF(Tabla2[[#This Row],[¿cliente deuda abierta?]]="Sí", Tabla2[[#This Row],[Deuda actual]]*Tabla2[[#This Row],[diferencia de días]], "0")</f>
        <v>6039.21</v>
      </c>
      <c r="L32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2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2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27">
        <f t="shared" ca="1" si="63"/>
        <v>1642.68</v>
      </c>
      <c r="P327">
        <f t="shared" ca="1" si="64"/>
        <v>235069.97</v>
      </c>
      <c r="Q327">
        <f t="shared" ca="1" si="65"/>
        <v>4</v>
      </c>
      <c r="R327">
        <f ca="1">((Tabla2[[#This Row],[Fantasma Comunicación]]+1)/(Tabla2[[#This Row],[Fantasma Comunicación]]+RANDBETWEEN(0,5)+2))-0.5</f>
        <v>-4.545454545454547E-2</v>
      </c>
      <c r="S327">
        <f ca="1">1+MAX(0,Tabla2[[#This Row],[Deuda actual]]/Tabla2[[#This Row],[Liquidez]]+Tabla2[[#This Row],[Liquidez]]/(Tabla2[[#This Row],[Activos]]+Tabla2[[#This Row],[Liquidez]])+Tabla2[[#This Row],[Comunicación]])</f>
        <v>4.6379222930397077</v>
      </c>
      <c r="T327">
        <f ca="1">Tabla2[[#This Row],[Deuda actual]]*EXP(Tabla2[[#This Row],[Ki]]*Tabla2[[#This Row],[diferencia de días]])*(1+Tabla2[[#This Row],[Hg]])</f>
        <v>6342.4388609318657</v>
      </c>
    </row>
    <row r="328" spans="1:20" ht="14.5" x14ac:dyDescent="0.35">
      <c r="A328">
        <f t="shared" si="55"/>
        <v>327</v>
      </c>
      <c r="B328">
        <f t="shared" ca="1" si="56"/>
        <v>46123</v>
      </c>
      <c r="C328">
        <f t="shared" ca="1" si="57"/>
        <v>46157</v>
      </c>
      <c r="D328">
        <f t="shared" ca="1" si="58"/>
        <v>12</v>
      </c>
      <c r="E328">
        <f t="shared" ca="1" si="59"/>
        <v>0.33840518420940058</v>
      </c>
      <c r="F328">
        <f t="shared" ca="1" si="60"/>
        <v>246.39</v>
      </c>
      <c r="G328" t="str">
        <f t="shared" ca="1" si="61"/>
        <v>personal</v>
      </c>
      <c r="H32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28" t="str">
        <f t="shared" ca="1" si="62"/>
        <v>No</v>
      </c>
      <c r="J32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12001.030774775831</v>
      </c>
      <c r="K328" t="str">
        <f ca="1">IF(Tabla2[[#This Row],[¿cliente deuda abierta?]]="Sí", Tabla2[[#This Row],[Deuda actual]]*Tabla2[[#This Row],[diferencia de días]], "0")</f>
        <v>0</v>
      </c>
      <c r="L32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2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2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28">
        <f t="shared" ca="1" si="63"/>
        <v>1388.26</v>
      </c>
      <c r="P328">
        <f t="shared" ca="1" si="64"/>
        <v>353138.23</v>
      </c>
      <c r="Q328">
        <f t="shared" ca="1" si="65"/>
        <v>5</v>
      </c>
      <c r="R328">
        <f ca="1">((Tabla2[[#This Row],[Fantasma Comunicación]]+1)/(Tabla2[[#This Row],[Fantasma Comunicación]]+RANDBETWEEN(0,5)+2))-0.5</f>
        <v>0</v>
      </c>
      <c r="S328">
        <f ca="1">1+MAX(0,Tabla2[[#This Row],[Deuda actual]]/Tabla2[[#This Row],[Liquidez]]+Tabla2[[#This Row],[Liquidez]]/(Tabla2[[#This Row],[Activos]]+Tabla2[[#This Row],[Liquidez]])+Tabla2[[#This Row],[Comunicación]])</f>
        <v>1.1813969780549427</v>
      </c>
      <c r="T328">
        <f ca="1">Tabla2[[#This Row],[Deuda actual]]*EXP(Tabla2[[#This Row],[Ki]]*Tabla2[[#This Row],[diferencia de días]])*(1+Tabla2[[#This Row],[Hg]])</f>
        <v>222.28384155410097</v>
      </c>
    </row>
    <row r="329" spans="1:20" ht="14.5" x14ac:dyDescent="0.35">
      <c r="A329">
        <f t="shared" si="55"/>
        <v>328</v>
      </c>
      <c r="B329">
        <f t="shared" ca="1" si="56"/>
        <v>46126</v>
      </c>
      <c r="C329">
        <f t="shared" ca="1" si="57"/>
        <v>46157</v>
      </c>
      <c r="D329">
        <f t="shared" ca="1" si="58"/>
        <v>13</v>
      </c>
      <c r="E329">
        <f t="shared" ca="1" si="59"/>
        <v>0.46262551829876464</v>
      </c>
      <c r="F329">
        <f t="shared" ca="1" si="60"/>
        <v>501.87</v>
      </c>
      <c r="G329" t="str">
        <f t="shared" ca="1" si="61"/>
        <v>personal</v>
      </c>
      <c r="H32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29" t="str">
        <f t="shared" ca="1" si="62"/>
        <v>Sí</v>
      </c>
      <c r="J32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29">
        <f ca="1">IF(Tabla2[[#This Row],[¿cliente deuda abierta?]]="Sí", Tabla2[[#This Row],[Deuda actual]]*Tabla2[[#This Row],[diferencia de días]], "0")</f>
        <v>6524.31</v>
      </c>
      <c r="L32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2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2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29">
        <f t="shared" ca="1" si="63"/>
        <v>1838.41</v>
      </c>
      <c r="P329">
        <f t="shared" ca="1" si="64"/>
        <v>97643.83</v>
      </c>
      <c r="Q329">
        <f t="shared" ca="1" si="65"/>
        <v>1</v>
      </c>
      <c r="R329">
        <f ca="1">((Tabla2[[#This Row],[Fantasma Comunicación]]+1)/(Tabla2[[#This Row],[Fantasma Comunicación]]+RANDBETWEEN(0,5)+2))-0.5</f>
        <v>0</v>
      </c>
      <c r="S329">
        <f ca="1">1+MAX(0,Tabla2[[#This Row],[Deuda actual]]/Tabla2[[#This Row],[Liquidez]]+Tabla2[[#This Row],[Liquidez]]/(Tabla2[[#This Row],[Activos]]+Tabla2[[#This Row],[Liquidez]])+Tabla2[[#This Row],[Comunicación]])</f>
        <v>1.2914711158171892</v>
      </c>
      <c r="T329">
        <f ca="1">Tabla2[[#This Row],[Deuda actual]]*EXP(Tabla2[[#This Row],[Ki]]*Tabla2[[#This Row],[diferencia de días]])*(1+Tabla2[[#This Row],[Hg]])</f>
        <v>528.3353877812857</v>
      </c>
    </row>
    <row r="330" spans="1:20" ht="14.5" x14ac:dyDescent="0.35">
      <c r="A330">
        <f t="shared" si="55"/>
        <v>329</v>
      </c>
      <c r="B330">
        <f t="shared" ca="1" si="56"/>
        <v>46101</v>
      </c>
      <c r="C330">
        <f t="shared" ca="1" si="57"/>
        <v>46157</v>
      </c>
      <c r="D330">
        <f t="shared" ca="1" si="58"/>
        <v>11</v>
      </c>
      <c r="E330">
        <f t="shared" ca="1" si="59"/>
        <v>0.77195496959331955</v>
      </c>
      <c r="F330">
        <f t="shared" ca="1" si="60"/>
        <v>183.31</v>
      </c>
      <c r="G330" t="str">
        <f t="shared" ca="1" si="61"/>
        <v>hipotecario</v>
      </c>
      <c r="H33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30" t="str">
        <f t="shared" ca="1" si="62"/>
        <v>Sí</v>
      </c>
      <c r="J33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30">
        <f ca="1">IF(Tabla2[[#This Row],[¿cliente deuda abierta?]]="Sí", Tabla2[[#This Row],[Deuda actual]]*Tabla2[[#This Row],[diferencia de días]], "0")</f>
        <v>2016.41</v>
      </c>
      <c r="L33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3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3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30">
        <f t="shared" ca="1" si="63"/>
        <v>1752.27</v>
      </c>
      <c r="P330">
        <f t="shared" ca="1" si="64"/>
        <v>436468.95</v>
      </c>
      <c r="Q330">
        <f t="shared" ca="1" si="65"/>
        <v>5</v>
      </c>
      <c r="R330">
        <f ca="1">((Tabla2[[#This Row],[Fantasma Comunicación]]+1)/(Tabla2[[#This Row],[Fantasma Comunicación]]+RANDBETWEEN(0,5)+2))-0.5</f>
        <v>9.9999999999999978E-2</v>
      </c>
      <c r="S330">
        <f ca="1">1+MAX(0,Tabla2[[#This Row],[Deuda actual]]/Tabla2[[#This Row],[Liquidez]]+Tabla2[[#This Row],[Liquidez]]/(Tabla2[[#This Row],[Activos]]+Tabla2[[#This Row],[Liquidez]])+Tabla2[[#This Row],[Comunicación]])</f>
        <v>1.2086114704598918</v>
      </c>
      <c r="T330">
        <f ca="1">Tabla2[[#This Row],[Deuda actual]]*EXP(Tabla2[[#This Row],[Ki]]*Tabla2[[#This Row],[diferencia de días]])*(1+Tabla2[[#This Row],[Hg]])</f>
        <v>192.8994122324778</v>
      </c>
    </row>
    <row r="331" spans="1:20" ht="14.5" x14ac:dyDescent="0.35">
      <c r="A331">
        <f t="shared" si="55"/>
        <v>330</v>
      </c>
      <c r="B331">
        <f t="shared" ca="1" si="56"/>
        <v>46109</v>
      </c>
      <c r="C331">
        <f t="shared" ca="1" si="57"/>
        <v>46157</v>
      </c>
      <c r="D331">
        <f t="shared" ca="1" si="58"/>
        <v>23</v>
      </c>
      <c r="E331">
        <f t="shared" ca="1" si="59"/>
        <v>0.40386489579473317</v>
      </c>
      <c r="F331">
        <f t="shared" ca="1" si="60"/>
        <v>2044.49</v>
      </c>
      <c r="G331" t="str">
        <f t="shared" ca="1" si="61"/>
        <v>personal</v>
      </c>
      <c r="H33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31" t="str">
        <f t="shared" ca="1" si="62"/>
        <v>Sí</v>
      </c>
      <c r="J33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31">
        <f ca="1">IF(Tabla2[[#This Row],[¿cliente deuda abierta?]]="Sí", Tabla2[[#This Row],[Deuda actual]]*Tabla2[[#This Row],[diferencia de días]], "0")</f>
        <v>47023.27</v>
      </c>
      <c r="L33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33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31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331">
        <f t="shared" ca="1" si="63"/>
        <v>1151.57</v>
      </c>
      <c r="P331">
        <f t="shared" ca="1" si="64"/>
        <v>133681.09</v>
      </c>
      <c r="Q331">
        <f t="shared" ca="1" si="65"/>
        <v>1</v>
      </c>
      <c r="R331">
        <f ca="1">((Tabla2[[#This Row],[Fantasma Comunicación]]+1)/(Tabla2[[#This Row],[Fantasma Comunicación]]+RANDBETWEEN(0,5)+2))-0.5</f>
        <v>0</v>
      </c>
      <c r="S331">
        <f ca="1">1+MAX(0,Tabla2[[#This Row],[Deuda actual]]/Tabla2[[#This Row],[Liquidez]]+Tabla2[[#This Row],[Liquidez]]/(Tabla2[[#This Row],[Activos]]+Tabla2[[#This Row],[Liquidez]])+Tabla2[[#This Row],[Comunicación]])</f>
        <v>2.7839343279581414</v>
      </c>
      <c r="T331">
        <f ca="1">Tabla2[[#This Row],[Deuda actual]]*EXP(Tabla2[[#This Row],[Ki]]*Tabla2[[#This Row],[diferencia de días]])*(1+Tabla2[[#This Row],[Hg]])</f>
        <v>2269.7247064413209</v>
      </c>
    </row>
    <row r="332" spans="1:20" ht="14.5" x14ac:dyDescent="0.35">
      <c r="A332">
        <f t="shared" si="55"/>
        <v>331</v>
      </c>
      <c r="B332">
        <f t="shared" ca="1" si="56"/>
        <v>46124</v>
      </c>
      <c r="C332">
        <f t="shared" ca="1" si="57"/>
        <v>46157</v>
      </c>
      <c r="D332">
        <f t="shared" ca="1" si="58"/>
        <v>18</v>
      </c>
      <c r="E332">
        <f t="shared" ca="1" si="59"/>
        <v>0.73446214745803307</v>
      </c>
      <c r="F332">
        <f t="shared" ca="1" si="60"/>
        <v>250.71</v>
      </c>
      <c r="G332" t="str">
        <f t="shared" ca="1" si="61"/>
        <v>hipotecario</v>
      </c>
      <c r="H33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32" t="str">
        <f t="shared" ca="1" si="62"/>
        <v>No</v>
      </c>
      <c r="J33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165001.54223959986</v>
      </c>
      <c r="K332" t="str">
        <f ca="1">IF(Tabla2[[#This Row],[¿cliente deuda abierta?]]="Sí", Tabla2[[#This Row],[Deuda actual]]*Tabla2[[#This Row],[diferencia de días]], "0")</f>
        <v>0</v>
      </c>
      <c r="L33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3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33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332">
        <f t="shared" ca="1" si="63"/>
        <v>1365.84</v>
      </c>
      <c r="P332">
        <f t="shared" ca="1" si="64"/>
        <v>59765.919999999998</v>
      </c>
      <c r="Q332">
        <f t="shared" ca="1" si="65"/>
        <v>2</v>
      </c>
      <c r="R332">
        <f ca="1">((Tabla2[[#This Row],[Fantasma Comunicación]]+1)/(Tabla2[[#This Row],[Fantasma Comunicación]]+RANDBETWEEN(0,5)+2))-0.5</f>
        <v>-7.1428571428571452E-2</v>
      </c>
      <c r="S332">
        <f ca="1">1+MAX(0,Tabla2[[#This Row],[Deuda actual]]/Tabla2[[#This Row],[Liquidez]]+Tabla2[[#This Row],[Liquidez]]/(Tabla2[[#This Row],[Activos]]+Tabla2[[#This Row],[Liquidez]])+Tabla2[[#This Row],[Comunicación]])</f>
        <v>1.1344713596025133</v>
      </c>
      <c r="T332">
        <f ca="1">Tabla2[[#This Row],[Deuda actual]]*EXP(Tabla2[[#This Row],[Ki]]*Tabla2[[#This Row],[diferencia de días]])*(1+Tabla2[[#This Row],[Hg]])</f>
        <v>202.01730082198503</v>
      </c>
    </row>
    <row r="333" spans="1:20" ht="14.5" x14ac:dyDescent="0.35">
      <c r="A333">
        <f t="shared" si="55"/>
        <v>332</v>
      </c>
      <c r="B333">
        <f t="shared" ca="1" si="56"/>
        <v>46120</v>
      </c>
      <c r="C333">
        <f t="shared" ca="1" si="57"/>
        <v>46157</v>
      </c>
      <c r="D333">
        <f t="shared" ca="1" si="58"/>
        <v>14</v>
      </c>
      <c r="E333">
        <f t="shared" ca="1" si="59"/>
        <v>0.22047165938335456</v>
      </c>
      <c r="F333">
        <f t="shared" ca="1" si="60"/>
        <v>2188.27</v>
      </c>
      <c r="G333" t="str">
        <f t="shared" ca="1" si="61"/>
        <v>personal</v>
      </c>
      <c r="H33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33" t="str">
        <f t="shared" ca="1" si="62"/>
        <v>Sí</v>
      </c>
      <c r="J33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33">
        <f ca="1">IF(Tabla2[[#This Row],[¿cliente deuda abierta?]]="Sí", Tabla2[[#This Row],[Deuda actual]]*Tabla2[[#This Row],[diferencia de días]], "0")</f>
        <v>30635.78</v>
      </c>
      <c r="L33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33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33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333">
        <f t="shared" ca="1" si="63"/>
        <v>1415.35</v>
      </c>
      <c r="P333">
        <f t="shared" ca="1" si="64"/>
        <v>76067.38</v>
      </c>
      <c r="Q333">
        <f t="shared" ca="1" si="65"/>
        <v>5</v>
      </c>
      <c r="R333">
        <f ca="1">((Tabla2[[#This Row],[Fantasma Comunicación]]+1)/(Tabla2[[#This Row],[Fantasma Comunicación]]+RANDBETWEEN(0,5)+2))-0.5</f>
        <v>9.9999999999999978E-2</v>
      </c>
      <c r="S333">
        <f ca="1">1+MAX(0,Tabla2[[#This Row],[Deuda actual]]/Tabla2[[#This Row],[Liquidez]]+Tabla2[[#This Row],[Liquidez]]/(Tabla2[[#This Row],[Activos]]+Tabla2[[#This Row],[Liquidez]])+Tabla2[[#This Row],[Comunicación]])</f>
        <v>2.6643647894318225</v>
      </c>
      <c r="T333">
        <f ca="1">Tabla2[[#This Row],[Deuda actual]]*EXP(Tabla2[[#This Row],[Ki]]*Tabla2[[#This Row],[diferencia de días]])*(1+Tabla2[[#This Row],[Hg]])</f>
        <v>2413.8463162331736</v>
      </c>
    </row>
    <row r="334" spans="1:20" ht="14.5" x14ac:dyDescent="0.35">
      <c r="A334">
        <f t="shared" si="55"/>
        <v>333</v>
      </c>
      <c r="B334">
        <f t="shared" ca="1" si="56"/>
        <v>46087</v>
      </c>
      <c r="C334">
        <f t="shared" ca="1" si="57"/>
        <v>46157</v>
      </c>
      <c r="D334">
        <f t="shared" ca="1" si="58"/>
        <v>11</v>
      </c>
      <c r="E334">
        <f t="shared" ca="1" si="59"/>
        <v>0.64255491399775033</v>
      </c>
      <c r="F334">
        <f t="shared" ca="1" si="60"/>
        <v>344.06</v>
      </c>
      <c r="G334" t="str">
        <f t="shared" ca="1" si="61"/>
        <v>hipotecario</v>
      </c>
      <c r="H33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34" t="str">
        <f t="shared" ca="1" si="62"/>
        <v>Sí</v>
      </c>
      <c r="J33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34">
        <f ca="1">IF(Tabla2[[#This Row],[¿cliente deuda abierta?]]="Sí", Tabla2[[#This Row],[Deuda actual]]*Tabla2[[#This Row],[diferencia de días]], "0")</f>
        <v>3784.66</v>
      </c>
      <c r="L33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3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3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34">
        <f t="shared" ca="1" si="63"/>
        <v>1845.91</v>
      </c>
      <c r="P334">
        <f t="shared" ca="1" si="64"/>
        <v>76848.460000000006</v>
      </c>
      <c r="Q334">
        <f t="shared" ca="1" si="65"/>
        <v>0</v>
      </c>
      <c r="R334">
        <f ca="1">((Tabla2[[#This Row],[Fantasma Comunicación]]+1)/(Tabla2[[#This Row],[Fantasma Comunicación]]+RANDBETWEEN(0,5)+2))-0.5</f>
        <v>0</v>
      </c>
      <c r="S334">
        <f ca="1">1+MAX(0,Tabla2[[#This Row],[Deuda actual]]/Tabla2[[#This Row],[Liquidez]]+Tabla2[[#This Row],[Liquidez]]/(Tabla2[[#This Row],[Activos]]+Tabla2[[#This Row],[Liquidez]])+Tabla2[[#This Row],[Comunicación]])</f>
        <v>1.2098471494984047</v>
      </c>
      <c r="T334">
        <f ca="1">Tabla2[[#This Row],[Deuda actual]]*EXP(Tabla2[[#This Row],[Ki]]*Tabla2[[#This Row],[diferencia de días]])*(1+Tabla2[[#This Row],[Hg]])</f>
        <v>362.05865349793419</v>
      </c>
    </row>
    <row r="335" spans="1:20" ht="14.5" x14ac:dyDescent="0.35">
      <c r="A335">
        <f t="shared" si="55"/>
        <v>334</v>
      </c>
      <c r="B335">
        <f t="shared" ca="1" si="56"/>
        <v>46102</v>
      </c>
      <c r="C335">
        <f t="shared" ca="1" si="57"/>
        <v>46157</v>
      </c>
      <c r="D335">
        <f t="shared" ca="1" si="58"/>
        <v>13</v>
      </c>
      <c r="E335">
        <f t="shared" ca="1" si="59"/>
        <v>0.84722229295360707</v>
      </c>
      <c r="F335">
        <f t="shared" ca="1" si="60"/>
        <v>130.15</v>
      </c>
      <c r="G335" t="str">
        <f t="shared" ca="1" si="61"/>
        <v>personal</v>
      </c>
      <c r="H33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35" t="str">
        <f t="shared" ca="1" si="62"/>
        <v>Sí</v>
      </c>
      <c r="J33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35">
        <f ca="1">IF(Tabla2[[#This Row],[¿cliente deuda abierta?]]="Sí", Tabla2[[#This Row],[Deuda actual]]*Tabla2[[#This Row],[diferencia de días]], "0")</f>
        <v>1691.95</v>
      </c>
      <c r="L33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3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3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35">
        <f t="shared" ca="1" si="63"/>
        <v>1598.47</v>
      </c>
      <c r="P335">
        <f t="shared" ca="1" si="64"/>
        <v>294014.45</v>
      </c>
      <c r="Q335">
        <f t="shared" ca="1" si="65"/>
        <v>3</v>
      </c>
      <c r="R335">
        <f ca="1">((Tabla2[[#This Row],[Fantasma Comunicación]]+1)/(Tabla2[[#This Row],[Fantasma Comunicación]]+RANDBETWEEN(0,5)+2))-0.5</f>
        <v>0</v>
      </c>
      <c r="S335">
        <f ca="1">1+MAX(0,Tabla2[[#This Row],[Deuda actual]]/Tabla2[[#This Row],[Liquidez]]+Tabla2[[#This Row],[Liquidez]]/(Tabla2[[#This Row],[Activos]]+Tabla2[[#This Row],[Liquidez]])+Tabla2[[#This Row],[Comunicación]])</f>
        <v>1.0868289170513004</v>
      </c>
      <c r="T335">
        <f ca="1">Tabla2[[#This Row],[Deuda actual]]*EXP(Tabla2[[#This Row],[Ki]]*Tabla2[[#This Row],[diferencia de días]])*(1+Tabla2[[#This Row],[Hg]])</f>
        <v>137.01327180292571</v>
      </c>
    </row>
    <row r="336" spans="1:20" ht="14.5" x14ac:dyDescent="0.35">
      <c r="A336">
        <f t="shared" si="55"/>
        <v>335</v>
      </c>
      <c r="B336">
        <f t="shared" ca="1" si="56"/>
        <v>46112</v>
      </c>
      <c r="C336">
        <f t="shared" ca="1" si="57"/>
        <v>46157</v>
      </c>
      <c r="D336">
        <f t="shared" ca="1" si="58"/>
        <v>12</v>
      </c>
      <c r="E336">
        <f t="shared" ca="1" si="59"/>
        <v>8.3692619591221318E-3</v>
      </c>
      <c r="F336">
        <f t="shared" ca="1" si="60"/>
        <v>3669.97</v>
      </c>
      <c r="G336" t="str">
        <f t="shared" ca="1" si="61"/>
        <v>personal</v>
      </c>
      <c r="H33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36" t="str">
        <f t="shared" ca="1" si="62"/>
        <v>No</v>
      </c>
      <c r="J33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11999.78104759593</v>
      </c>
      <c r="K336" t="str">
        <f ca="1">IF(Tabla2[[#This Row],[¿cliente deuda abierta?]]="Sí", Tabla2[[#This Row],[Deuda actual]]*Tabla2[[#This Row],[diferencia de días]], "0")</f>
        <v>0</v>
      </c>
      <c r="L33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3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36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36">
        <f t="shared" ca="1" si="63"/>
        <v>1861.16</v>
      </c>
      <c r="P336">
        <f t="shared" ca="1" si="64"/>
        <v>54545.7</v>
      </c>
      <c r="Q336">
        <f t="shared" ca="1" si="65"/>
        <v>4</v>
      </c>
      <c r="R336">
        <f ca="1">((Tabla2[[#This Row],[Fantasma Comunicación]]+1)/(Tabla2[[#This Row],[Fantasma Comunicación]]+RANDBETWEEN(0,5)+2))-0.5</f>
        <v>0</v>
      </c>
      <c r="S336">
        <f ca="1">1+MAX(0,Tabla2[[#This Row],[Deuda actual]]/Tabla2[[#This Row],[Liquidez]]+Tabla2[[#This Row],[Liquidez]]/(Tabla2[[#This Row],[Activos]]+Tabla2[[#This Row],[Liquidez]])+Tabla2[[#This Row],[Comunicación]])</f>
        <v>3.0048676581905762</v>
      </c>
      <c r="T336">
        <f ca="1">Tabla2[[#This Row],[Deuda actual]]*EXP(Tabla2[[#This Row],[Ki]]*Tabla2[[#This Row],[diferencia de días]])*(1+Tabla2[[#This Row],[Hg]])</f>
        <v>3310.9096553768577</v>
      </c>
    </row>
    <row r="337" spans="1:20" ht="14.5" x14ac:dyDescent="0.35">
      <c r="A337">
        <f t="shared" si="55"/>
        <v>336</v>
      </c>
      <c r="B337">
        <f t="shared" ca="1" si="56"/>
        <v>46109</v>
      </c>
      <c r="C337">
        <f t="shared" ca="1" si="57"/>
        <v>46157</v>
      </c>
      <c r="D337">
        <f t="shared" ca="1" si="58"/>
        <v>0</v>
      </c>
      <c r="E337">
        <f t="shared" ca="1" si="59"/>
        <v>0.49750340282017413</v>
      </c>
      <c r="F337">
        <f t="shared" ca="1" si="60"/>
        <v>6036.41</v>
      </c>
      <c r="G337" t="str">
        <f t="shared" ca="1" si="61"/>
        <v>hipotecario</v>
      </c>
      <c r="H33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37" t="str">
        <f t="shared" ca="1" si="62"/>
        <v>Sí</v>
      </c>
      <c r="J33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37">
        <f ca="1">IF(Tabla2[[#This Row],[¿cliente deuda abierta?]]="Sí", Tabla2[[#This Row],[Deuda actual]]*Tabla2[[#This Row],[diferencia de días]], "0")</f>
        <v>0</v>
      </c>
      <c r="L33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3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37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337">
        <f t="shared" ca="1" si="63"/>
        <v>1821.48</v>
      </c>
      <c r="P337">
        <f t="shared" ca="1" si="64"/>
        <v>89387.41</v>
      </c>
      <c r="Q337">
        <f t="shared" ca="1" si="65"/>
        <v>3</v>
      </c>
      <c r="R337">
        <f ca="1">((Tabla2[[#This Row],[Fantasma Comunicación]]+1)/(Tabla2[[#This Row],[Fantasma Comunicación]]+RANDBETWEEN(0,5)+2))-0.5</f>
        <v>7.1428571428571397E-2</v>
      </c>
      <c r="S337">
        <f ca="1">1+MAX(0,Tabla2[[#This Row],[Deuda actual]]/Tabla2[[#This Row],[Liquidez]]+Tabla2[[#This Row],[Liquidez]]/(Tabla2[[#This Row],[Activos]]+Tabla2[[#This Row],[Liquidez]])+Tabla2[[#This Row],[Comunicación]])</f>
        <v>4.4054128719952654</v>
      </c>
      <c r="T337">
        <f ca="1">Tabla2[[#This Row],[Deuda actual]]*EXP(Tabla2[[#This Row],[Ki]]*Tabla2[[#This Row],[diferencia de días]])*(1+Tabla2[[#This Row],[Hg]])</f>
        <v>6036.41</v>
      </c>
    </row>
    <row r="338" spans="1:20" ht="14.5" x14ac:dyDescent="0.35">
      <c r="A338">
        <f t="shared" si="55"/>
        <v>337</v>
      </c>
      <c r="B338">
        <f t="shared" ca="1" si="56"/>
        <v>46121</v>
      </c>
      <c r="C338">
        <f t="shared" ca="1" si="57"/>
        <v>46157</v>
      </c>
      <c r="D338">
        <f t="shared" ca="1" si="58"/>
        <v>0</v>
      </c>
      <c r="E338">
        <f t="shared" ca="1" si="59"/>
        <v>6.4568227752436536E-2</v>
      </c>
      <c r="F338">
        <f t="shared" ca="1" si="60"/>
        <v>373.58</v>
      </c>
      <c r="G338" t="str">
        <f t="shared" ca="1" si="61"/>
        <v>personal</v>
      </c>
      <c r="H33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38" t="str">
        <f t="shared" ca="1" si="62"/>
        <v>Sí</v>
      </c>
      <c r="J33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38">
        <f ca="1">IF(Tabla2[[#This Row],[¿cliente deuda abierta?]]="Sí", Tabla2[[#This Row],[Deuda actual]]*Tabla2[[#This Row],[diferencia de días]], "0")</f>
        <v>0</v>
      </c>
      <c r="L33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3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38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338">
        <f t="shared" ca="1" si="63"/>
        <v>960.48</v>
      </c>
      <c r="P338">
        <f t="shared" ca="1" si="64"/>
        <v>143497.18</v>
      </c>
      <c r="Q338">
        <f t="shared" ca="1" si="65"/>
        <v>4</v>
      </c>
      <c r="R338">
        <f ca="1">((Tabla2[[#This Row],[Fantasma Comunicación]]+1)/(Tabla2[[#This Row],[Fantasma Comunicación]]+RANDBETWEEN(0,5)+2))-0.5</f>
        <v>0.125</v>
      </c>
      <c r="S338">
        <f ca="1">1+MAX(0,Tabla2[[#This Row],[Deuda actual]]/Tabla2[[#This Row],[Liquidez]]+Tabla2[[#This Row],[Liquidez]]/(Tabla2[[#This Row],[Activos]]+Tabla2[[#This Row],[Liquidez]])+Tabla2[[#This Row],[Comunicación]])</f>
        <v>1.5206002262572511</v>
      </c>
      <c r="T338">
        <f ca="1">Tabla2[[#This Row],[Deuda actual]]*EXP(Tabla2[[#This Row],[Ki]]*Tabla2[[#This Row],[diferencia de días]])*(1+Tabla2[[#This Row],[Hg]])</f>
        <v>373.58</v>
      </c>
    </row>
    <row r="339" spans="1:20" ht="14.5" x14ac:dyDescent="0.35">
      <c r="A339">
        <f t="shared" si="55"/>
        <v>338</v>
      </c>
      <c r="B339">
        <f t="shared" ca="1" si="56"/>
        <v>46087</v>
      </c>
      <c r="C339">
        <f t="shared" ca="1" si="57"/>
        <v>46157</v>
      </c>
      <c r="D339">
        <f t="shared" ca="1" si="58"/>
        <v>27</v>
      </c>
      <c r="E339">
        <f t="shared" ca="1" si="59"/>
        <v>0.19342556580494552</v>
      </c>
      <c r="F339">
        <f t="shared" ca="1" si="60"/>
        <v>8277.9</v>
      </c>
      <c r="G339" t="str">
        <f t="shared" ca="1" si="61"/>
        <v>hipotecario</v>
      </c>
      <c r="H33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39" t="str">
        <f t="shared" ca="1" si="62"/>
        <v>Sí</v>
      </c>
      <c r="J33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39">
        <f ca="1">IF(Tabla2[[#This Row],[¿cliente deuda abierta?]]="Sí", Tabla2[[#This Row],[Deuda actual]]*Tabla2[[#This Row],[diferencia de días]], "0")</f>
        <v>223503.3</v>
      </c>
      <c r="L33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0.2</v>
      </c>
      <c r="M33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39">
        <f ca="1">MAX(Tabla2[[#This Row],[VALORES DE Hg para actuales deudores]:[Valores de HG para deudores cerrados]])*IF(Tabla2[[#This Row],[VALORES DE Hg para actuales deudores]]&gt;Tabla2[[#This Row],[Valores de HG para deudores cerrados]],-1,1)</f>
        <v>0.2</v>
      </c>
      <c r="O339">
        <f t="shared" ca="1" si="63"/>
        <v>1534.75</v>
      </c>
      <c r="P339">
        <f t="shared" ca="1" si="64"/>
        <v>182359.99</v>
      </c>
      <c r="Q339">
        <f t="shared" ca="1" si="65"/>
        <v>3</v>
      </c>
      <c r="R339">
        <f ca="1">((Tabla2[[#This Row],[Fantasma Comunicación]]+1)/(Tabla2[[#This Row],[Fantasma Comunicación]]+RANDBETWEEN(0,5)+2))-0.5</f>
        <v>0.16666666666666663</v>
      </c>
      <c r="S339">
        <f ca="1">1+MAX(0,Tabla2[[#This Row],[Deuda actual]]/Tabla2[[#This Row],[Liquidez]]+Tabla2[[#This Row],[Liquidez]]/(Tabla2[[#This Row],[Activos]]+Tabla2[[#This Row],[Liquidez]])+Tabla2[[#This Row],[Comunicación]])</f>
        <v>6.5686596474280412</v>
      </c>
      <c r="T339">
        <f ca="1">Tabla2[[#This Row],[Deuda actual]]*EXP(Tabla2[[#This Row],[Ki]]*Tabla2[[#This Row],[diferencia de días]])*(1+Tabla2[[#This Row],[Hg]])</f>
        <v>10041.342995750772</v>
      </c>
    </row>
    <row r="340" spans="1:20" ht="14.5" x14ac:dyDescent="0.35">
      <c r="A340">
        <f t="shared" si="55"/>
        <v>339</v>
      </c>
      <c r="B340">
        <f t="shared" ca="1" si="56"/>
        <v>46088</v>
      </c>
      <c r="C340">
        <f t="shared" ca="1" si="57"/>
        <v>46157</v>
      </c>
      <c r="D340">
        <f t="shared" ca="1" si="58"/>
        <v>23</v>
      </c>
      <c r="E340">
        <f t="shared" ca="1" si="59"/>
        <v>0.41146449766950199</v>
      </c>
      <c r="F340">
        <f t="shared" ca="1" si="60"/>
        <v>876.37</v>
      </c>
      <c r="G340" t="str">
        <f t="shared" ca="1" si="61"/>
        <v>personal</v>
      </c>
      <c r="H34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40" t="str">
        <f t="shared" ca="1" si="62"/>
        <v>No</v>
      </c>
      <c r="J34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12000.778925119657</v>
      </c>
      <c r="K340" t="str">
        <f ca="1">IF(Tabla2[[#This Row],[¿cliente deuda abierta?]]="Sí", Tabla2[[#This Row],[Deuda actual]]*Tabla2[[#This Row],[diferencia de días]], "0")</f>
        <v>0</v>
      </c>
      <c r="L34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4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40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40">
        <f t="shared" ca="1" si="63"/>
        <v>1620.07</v>
      </c>
      <c r="P340">
        <f t="shared" ca="1" si="64"/>
        <v>236743.16</v>
      </c>
      <c r="Q340">
        <f t="shared" ca="1" si="65"/>
        <v>5</v>
      </c>
      <c r="R340">
        <f ca="1">((Tabla2[[#This Row],[Fantasma Comunicación]]+1)/(Tabla2[[#This Row],[Fantasma Comunicación]]+RANDBETWEEN(0,5)+2))-0.5</f>
        <v>9.9999999999999978E-2</v>
      </c>
      <c r="S340">
        <f ca="1">1+MAX(0,Tabla2[[#This Row],[Deuda actual]]/Tabla2[[#This Row],[Liquidez]]+Tabla2[[#This Row],[Liquidez]]/(Tabla2[[#This Row],[Activos]]+Tabla2[[#This Row],[Liquidez]])+Tabla2[[#This Row],[Comunicación]])</f>
        <v>1.6477424055315735</v>
      </c>
      <c r="T340">
        <f ca="1">Tabla2[[#This Row],[Deuda actual]]*EXP(Tabla2[[#This Row],[Ki]]*Tabla2[[#This Row],[diferencia de días]])*(1+Tabla2[[#This Row],[Hg]])</f>
        <v>796.02282537924873</v>
      </c>
    </row>
    <row r="341" spans="1:20" ht="14.5" x14ac:dyDescent="0.35">
      <c r="A341">
        <f t="shared" si="55"/>
        <v>340</v>
      </c>
      <c r="B341">
        <f t="shared" ca="1" si="56"/>
        <v>46117</v>
      </c>
      <c r="C341">
        <f t="shared" ca="1" si="57"/>
        <v>46157</v>
      </c>
      <c r="D341">
        <f t="shared" ca="1" si="58"/>
        <v>110</v>
      </c>
      <c r="E341">
        <f t="shared" ca="1" si="59"/>
        <v>0.12525865793178281</v>
      </c>
      <c r="F341">
        <f t="shared" ca="1" si="60"/>
        <v>924.83</v>
      </c>
      <c r="G341" t="str">
        <f t="shared" ca="1" si="61"/>
        <v>hipotecario</v>
      </c>
      <c r="H34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0</v>
      </c>
      <c r="I341" t="str">
        <f t="shared" ca="1" si="62"/>
        <v>Sí</v>
      </c>
      <c r="J34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41">
        <f ca="1">IF(Tabla2[[#This Row],[¿cliente deuda abierta?]]="Sí", Tabla2[[#This Row],[Deuda actual]]*Tabla2[[#This Row],[diferencia de días]], "0")</f>
        <v>101731.3</v>
      </c>
      <c r="L34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0.5</v>
      </c>
      <c r="M34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41">
        <f ca="1">MAX(Tabla2[[#This Row],[VALORES DE Hg para actuales deudores]:[Valores de HG para deudores cerrados]])*IF(Tabla2[[#This Row],[VALORES DE Hg para actuales deudores]]&gt;Tabla2[[#This Row],[Valores de HG para deudores cerrados]],-1,1)</f>
        <v>0.5</v>
      </c>
      <c r="O341">
        <f t="shared" ca="1" si="63"/>
        <v>1648.03</v>
      </c>
      <c r="P341">
        <f t="shared" ca="1" si="64"/>
        <v>221532.98</v>
      </c>
      <c r="Q341">
        <f t="shared" ca="1" si="65"/>
        <v>5</v>
      </c>
      <c r="R341">
        <f ca="1">((Tabla2[[#This Row],[Fantasma Comunicación]]+1)/(Tabla2[[#This Row],[Fantasma Comunicación]]+RANDBETWEEN(0,5)+2))-0.5</f>
        <v>0.25</v>
      </c>
      <c r="S341">
        <f ca="1">1+MAX(0,Tabla2[[#This Row],[Deuda actual]]/Tabla2[[#This Row],[Liquidez]]+Tabla2[[#This Row],[Liquidez]]/(Tabla2[[#This Row],[Activos]]+Tabla2[[#This Row],[Liquidez]])+Tabla2[[#This Row],[Comunicación]])</f>
        <v>1.8185573121109044</v>
      </c>
      <c r="T341">
        <f ca="1">Tabla2[[#This Row],[Deuda actual]]*EXP(Tabla2[[#This Row],[Ki]]*Tabla2[[#This Row],[diferencia de días]])*(1+Tabla2[[#This Row],[Hg]])</f>
        <v>1387.2450000000001</v>
      </c>
    </row>
    <row r="342" spans="1:20" ht="14.5" x14ac:dyDescent="0.35">
      <c r="A342">
        <f t="shared" si="55"/>
        <v>341</v>
      </c>
      <c r="B342">
        <f t="shared" ca="1" si="56"/>
        <v>46092</v>
      </c>
      <c r="C342">
        <f t="shared" ca="1" si="57"/>
        <v>46157</v>
      </c>
      <c r="D342">
        <f t="shared" ca="1" si="58"/>
        <v>33</v>
      </c>
      <c r="E342">
        <f t="shared" ca="1" si="59"/>
        <v>0.56173765363026762</v>
      </c>
      <c r="F342">
        <f t="shared" ca="1" si="60"/>
        <v>6398.84</v>
      </c>
      <c r="G342" t="str">
        <f t="shared" ca="1" si="61"/>
        <v>personal</v>
      </c>
      <c r="H34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342" t="str">
        <f t="shared" ca="1" si="62"/>
        <v>No</v>
      </c>
      <c r="J34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12001.536481734689</v>
      </c>
      <c r="K342" t="str">
        <f ca="1">IF(Tabla2[[#This Row],[¿cliente deuda abierta?]]="Sí", Tabla2[[#This Row],[Deuda actual]]*Tabla2[[#This Row],[diferencia de días]], "0")</f>
        <v>0</v>
      </c>
      <c r="L34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4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42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42">
        <f t="shared" ca="1" si="63"/>
        <v>1893.46</v>
      </c>
      <c r="P342">
        <f t="shared" ca="1" si="64"/>
        <v>106604.72</v>
      </c>
      <c r="Q342">
        <f t="shared" ca="1" si="65"/>
        <v>1</v>
      </c>
      <c r="R342">
        <f ca="1">((Tabla2[[#This Row],[Fantasma Comunicación]]+1)/(Tabla2[[#This Row],[Fantasma Comunicación]]+RANDBETWEEN(0,5)+2))-0.5</f>
        <v>0.16666666666666663</v>
      </c>
      <c r="S342">
        <f ca="1">1+MAX(0,Tabla2[[#This Row],[Deuda actual]]/Tabla2[[#This Row],[Liquidez]]+Tabla2[[#This Row],[Liquidez]]/(Tabla2[[#This Row],[Activos]]+Tabla2[[#This Row],[Liquidez]])+Tabla2[[#This Row],[Comunicación]])</f>
        <v>4.563561128234829</v>
      </c>
      <c r="T342">
        <f ca="1">Tabla2[[#This Row],[Deuda actual]]*EXP(Tabla2[[#This Row],[Ki]]*Tabla2[[#This Row],[diferencia de días]])*(1+Tabla2[[#This Row],[Hg]])</f>
        <v>5952.172079266953</v>
      </c>
    </row>
    <row r="343" spans="1:20" ht="14.5" x14ac:dyDescent="0.35">
      <c r="A343">
        <f t="shared" si="55"/>
        <v>342</v>
      </c>
      <c r="B343">
        <f t="shared" ca="1" si="56"/>
        <v>46142</v>
      </c>
      <c r="C343">
        <f t="shared" ca="1" si="57"/>
        <v>46157</v>
      </c>
      <c r="D343">
        <f t="shared" ca="1" si="58"/>
        <v>7</v>
      </c>
      <c r="E343">
        <f t="shared" ca="1" si="59"/>
        <v>0.75675842034401497</v>
      </c>
      <c r="F343">
        <f t="shared" ca="1" si="60"/>
        <v>1420.74</v>
      </c>
      <c r="G343" t="str">
        <f t="shared" ca="1" si="61"/>
        <v>personal</v>
      </c>
      <c r="H34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43" t="str">
        <f t="shared" ca="1" si="62"/>
        <v>No</v>
      </c>
      <c r="J34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12000.960976998789</v>
      </c>
      <c r="K343" t="str">
        <f ca="1">IF(Tabla2[[#This Row],[¿cliente deuda abierta?]]="Sí", Tabla2[[#This Row],[Deuda actual]]*Tabla2[[#This Row],[diferencia de días]], "0")</f>
        <v>0</v>
      </c>
      <c r="L34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4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4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43">
        <f t="shared" ca="1" si="63"/>
        <v>1815.74</v>
      </c>
      <c r="P343">
        <f t="shared" ca="1" si="64"/>
        <v>43216.76</v>
      </c>
      <c r="Q343">
        <f t="shared" ca="1" si="65"/>
        <v>0</v>
      </c>
      <c r="R343">
        <f ca="1">((Tabla2[[#This Row],[Fantasma Comunicación]]+1)/(Tabla2[[#This Row],[Fantasma Comunicación]]+RANDBETWEEN(0,5)+2))-0.5</f>
        <v>-0.3</v>
      </c>
      <c r="S343">
        <f ca="1">1+MAX(0,Tabla2[[#This Row],[Deuda actual]]/Tabla2[[#This Row],[Liquidez]]+Tabla2[[#This Row],[Liquidez]]/(Tabla2[[#This Row],[Activos]]+Tabla2[[#This Row],[Liquidez]])+Tabla2[[#This Row],[Comunicación]])</f>
        <v>1.5227784981833612</v>
      </c>
      <c r="T343">
        <f ca="1">Tabla2[[#This Row],[Deuda actual]]*EXP(Tabla2[[#This Row],[Ki]]*Tabla2[[#This Row],[diferencia de días]])*(1+Tabla2[[#This Row],[Hg]])</f>
        <v>1280.4573860776616</v>
      </c>
    </row>
    <row r="344" spans="1:20" ht="14.5" x14ac:dyDescent="0.35">
      <c r="A344">
        <f t="shared" si="55"/>
        <v>343</v>
      </c>
      <c r="B344">
        <f t="shared" ca="1" si="56"/>
        <v>46093</v>
      </c>
      <c r="C344">
        <f t="shared" ca="1" si="57"/>
        <v>46157</v>
      </c>
      <c r="D344">
        <f t="shared" ca="1" si="58"/>
        <v>24</v>
      </c>
      <c r="E344">
        <f t="shared" ca="1" si="59"/>
        <v>0.8313857433492986</v>
      </c>
      <c r="F344">
        <f t="shared" ca="1" si="60"/>
        <v>363.38</v>
      </c>
      <c r="G344" t="str">
        <f t="shared" ca="1" si="61"/>
        <v>personal</v>
      </c>
      <c r="H34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44" t="str">
        <f t="shared" ca="1" si="62"/>
        <v>Sí</v>
      </c>
      <c r="J34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44">
        <f ca="1">IF(Tabla2[[#This Row],[¿cliente deuda abierta?]]="Sí", Tabla2[[#This Row],[Deuda actual]]*Tabla2[[#This Row],[diferencia de días]], "0")</f>
        <v>8721.119999999999</v>
      </c>
      <c r="L34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4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4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44">
        <f t="shared" ca="1" si="63"/>
        <v>960.64</v>
      </c>
      <c r="P344">
        <f t="shared" ca="1" si="64"/>
        <v>406908.7</v>
      </c>
      <c r="Q344">
        <f t="shared" ca="1" si="65"/>
        <v>5</v>
      </c>
      <c r="R344">
        <f ca="1">((Tabla2[[#This Row],[Fantasma Comunicación]]+1)/(Tabla2[[#This Row],[Fantasma Comunicación]]+RANDBETWEEN(0,5)+2))-0.5</f>
        <v>0</v>
      </c>
      <c r="S344">
        <f ca="1">1+MAX(0,Tabla2[[#This Row],[Deuda actual]]/Tabla2[[#This Row],[Liquidez]]+Tabla2[[#This Row],[Liquidez]]/(Tabla2[[#This Row],[Activos]]+Tabla2[[#This Row],[Liquidez]])+Tabla2[[#This Row],[Comunicación]])</f>
        <v>1.3806239182962061</v>
      </c>
      <c r="T344">
        <f ca="1">Tabla2[[#This Row],[Deuda actual]]*EXP(Tabla2[[#This Row],[Ki]]*Tabla2[[#This Row],[diferencia de días]])*(1+Tabla2[[#This Row],[Hg]])</f>
        <v>385.22950857489701</v>
      </c>
    </row>
    <row r="345" spans="1:20" ht="14.5" x14ac:dyDescent="0.35">
      <c r="A345">
        <f t="shared" si="55"/>
        <v>344</v>
      </c>
      <c r="B345">
        <f t="shared" ca="1" si="56"/>
        <v>46093</v>
      </c>
      <c r="C345">
        <f t="shared" ca="1" si="57"/>
        <v>46157</v>
      </c>
      <c r="D345">
        <f t="shared" ca="1" si="58"/>
        <v>31</v>
      </c>
      <c r="E345">
        <f t="shared" ca="1" si="59"/>
        <v>0.1111573462640858</v>
      </c>
      <c r="F345">
        <f t="shared" ca="1" si="60"/>
        <v>7425.73</v>
      </c>
      <c r="G345" t="str">
        <f t="shared" ca="1" si="61"/>
        <v>hipotecario</v>
      </c>
      <c r="H34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345" t="str">
        <f t="shared" ca="1" si="62"/>
        <v>Sí</v>
      </c>
      <c r="J34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45">
        <f ca="1">IF(Tabla2[[#This Row],[¿cliente deuda abierta?]]="Sí", Tabla2[[#This Row],[Deuda actual]]*Tabla2[[#This Row],[diferencia de días]], "0")</f>
        <v>230197.62999999998</v>
      </c>
      <c r="L34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0.2</v>
      </c>
      <c r="M34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45">
        <f ca="1">MAX(Tabla2[[#This Row],[VALORES DE Hg para actuales deudores]:[Valores de HG para deudores cerrados]])*IF(Tabla2[[#This Row],[VALORES DE Hg para actuales deudores]]&gt;Tabla2[[#This Row],[Valores de HG para deudores cerrados]],-1,1)</f>
        <v>0.2</v>
      </c>
      <c r="O345">
        <f t="shared" ca="1" si="63"/>
        <v>1239.75</v>
      </c>
      <c r="P345">
        <f t="shared" ca="1" si="64"/>
        <v>89455.679999999993</v>
      </c>
      <c r="Q345">
        <f t="shared" ca="1" si="65"/>
        <v>4</v>
      </c>
      <c r="R345">
        <f ca="1">((Tabla2[[#This Row],[Fantasma Comunicación]]+1)/(Tabla2[[#This Row],[Fantasma Comunicación]]+RANDBETWEEN(0,5)+2))-0.5</f>
        <v>-4.545454545454547E-2</v>
      </c>
      <c r="S345">
        <f ca="1">1+MAX(0,Tabla2[[#This Row],[Deuda actual]]/Tabla2[[#This Row],[Liquidez]]+Tabla2[[#This Row],[Liquidez]]/(Tabla2[[#This Row],[Activos]]+Tabla2[[#This Row],[Liquidez]])+Tabla2[[#This Row],[Comunicación]])</f>
        <v>6.9579143674683062</v>
      </c>
      <c r="T345">
        <f ca="1">Tabla2[[#This Row],[Deuda actual]]*EXP(Tabla2[[#This Row],[Ki]]*Tabla2[[#This Row],[diferencia de días]])*(1+Tabla2[[#This Row],[Hg]])</f>
        <v>9191.4394209303209</v>
      </c>
    </row>
    <row r="346" spans="1:20" ht="14.5" x14ac:dyDescent="0.35">
      <c r="A346">
        <f t="shared" si="55"/>
        <v>345</v>
      </c>
      <c r="B346">
        <f t="shared" ca="1" si="56"/>
        <v>46114</v>
      </c>
      <c r="C346">
        <f t="shared" ca="1" si="57"/>
        <v>46157</v>
      </c>
      <c r="D346">
        <f t="shared" ca="1" si="58"/>
        <v>12</v>
      </c>
      <c r="E346">
        <f t="shared" ca="1" si="59"/>
        <v>0.20624635673612501</v>
      </c>
      <c r="F346">
        <f t="shared" ca="1" si="60"/>
        <v>2044.41</v>
      </c>
      <c r="G346" t="str">
        <f t="shared" ca="1" si="61"/>
        <v>hipotecario</v>
      </c>
      <c r="H34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46" t="str">
        <f t="shared" ca="1" si="62"/>
        <v>No</v>
      </c>
      <c r="J34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164999.77717754411</v>
      </c>
      <c r="K346" t="str">
        <f ca="1">IF(Tabla2[[#This Row],[¿cliente deuda abierta?]]="Sí", Tabla2[[#This Row],[Deuda actual]]*Tabla2[[#This Row],[diferencia de días]], "0")</f>
        <v>0</v>
      </c>
      <c r="L34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4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346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346">
        <f t="shared" ca="1" si="63"/>
        <v>1388.99</v>
      </c>
      <c r="P346">
        <f t="shared" ca="1" si="64"/>
        <v>435253.43</v>
      </c>
      <c r="Q346">
        <f t="shared" ca="1" si="65"/>
        <v>2</v>
      </c>
      <c r="R346">
        <f ca="1">((Tabla2[[#This Row],[Fantasma Comunicación]]+1)/(Tabla2[[#This Row],[Fantasma Comunicación]]+RANDBETWEEN(0,5)+2))-0.5</f>
        <v>-0.16666666666666669</v>
      </c>
      <c r="S346">
        <f ca="1">1+MAX(0,Tabla2[[#This Row],[Deuda actual]]/Tabla2[[#This Row],[Liquidez]]+Tabla2[[#This Row],[Liquidez]]/(Tabla2[[#This Row],[Activos]]+Tabla2[[#This Row],[Liquidez]])+Tabla2[[#This Row],[Comunicación]])</f>
        <v>2.3083824511035718</v>
      </c>
      <c r="T346">
        <f ca="1">Tabla2[[#This Row],[Deuda actual]]*EXP(Tabla2[[#This Row],[Ki]]*Tabla2[[#This Row],[diferencia de días]])*(1+Tabla2[[#This Row],[Hg]])</f>
        <v>1639.4579812911588</v>
      </c>
    </row>
    <row r="347" spans="1:20" ht="14.5" x14ac:dyDescent="0.35">
      <c r="A347">
        <f t="shared" si="55"/>
        <v>346</v>
      </c>
      <c r="B347">
        <f t="shared" ca="1" si="56"/>
        <v>46129</v>
      </c>
      <c r="C347">
        <f t="shared" ca="1" si="57"/>
        <v>46157</v>
      </c>
      <c r="D347">
        <f t="shared" ca="1" si="58"/>
        <v>3</v>
      </c>
      <c r="E347">
        <f t="shared" ca="1" si="59"/>
        <v>0.39129505783049012</v>
      </c>
      <c r="F347">
        <f t="shared" ca="1" si="60"/>
        <v>963.84</v>
      </c>
      <c r="G347" t="str">
        <f t="shared" ca="1" si="61"/>
        <v>personal</v>
      </c>
      <c r="H34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47" t="str">
        <f t="shared" ca="1" si="62"/>
        <v>Sí</v>
      </c>
      <c r="J34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47">
        <f ca="1">IF(Tabla2[[#This Row],[¿cliente deuda abierta?]]="Sí", Tabla2[[#This Row],[Deuda actual]]*Tabla2[[#This Row],[diferencia de días]], "0")</f>
        <v>2891.52</v>
      </c>
      <c r="L34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4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4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47">
        <f t="shared" ca="1" si="63"/>
        <v>1961.06</v>
      </c>
      <c r="P347">
        <f t="shared" ca="1" si="64"/>
        <v>244927.71</v>
      </c>
      <c r="Q347">
        <f t="shared" ca="1" si="65"/>
        <v>4</v>
      </c>
      <c r="R347">
        <f ca="1">((Tabla2[[#This Row],[Fantasma Comunicación]]+1)/(Tabla2[[#This Row],[Fantasma Comunicación]]+RANDBETWEEN(0,5)+2))-0.5</f>
        <v>0.33333333333333337</v>
      </c>
      <c r="S347">
        <f ca="1">1+MAX(0,Tabla2[[#This Row],[Deuda actual]]/Tabla2[[#This Row],[Liquidez]]+Tabla2[[#This Row],[Liquidez]]/(Tabla2[[#This Row],[Activos]]+Tabla2[[#This Row],[Liquidez]])+Tabla2[[#This Row],[Comunicación]])</f>
        <v>1.8327657210719426</v>
      </c>
      <c r="T347">
        <f ca="1">Tabla2[[#This Row],[Deuda actual]]*EXP(Tabla2[[#This Row],[Ki]]*Tabla2[[#This Row],[diferencia de días]])*(1+Tabla2[[#This Row],[Hg]])</f>
        <v>1012.6394014021986</v>
      </c>
    </row>
    <row r="348" spans="1:20" ht="14.5" x14ac:dyDescent="0.35">
      <c r="A348">
        <f t="shared" si="55"/>
        <v>347</v>
      </c>
      <c r="B348">
        <f t="shared" ca="1" si="56"/>
        <v>46101</v>
      </c>
      <c r="C348">
        <f t="shared" ca="1" si="57"/>
        <v>46157</v>
      </c>
      <c r="D348">
        <f t="shared" ca="1" si="58"/>
        <v>38</v>
      </c>
      <c r="E348">
        <f t="shared" ca="1" si="59"/>
        <v>0.39546815257283507</v>
      </c>
      <c r="F348">
        <f t="shared" ca="1" si="60"/>
        <v>4022.2</v>
      </c>
      <c r="G348" t="str">
        <f t="shared" ca="1" si="61"/>
        <v>hipotecario</v>
      </c>
      <c r="H34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348" t="str">
        <f t="shared" ca="1" si="62"/>
        <v>No</v>
      </c>
      <c r="J34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164999.98599136254</v>
      </c>
      <c r="K348" t="str">
        <f ca="1">IF(Tabla2[[#This Row],[¿cliente deuda abierta?]]="Sí", Tabla2[[#This Row],[Deuda actual]]*Tabla2[[#This Row],[diferencia de días]], "0")</f>
        <v>0</v>
      </c>
      <c r="L34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4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348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348">
        <f t="shared" ca="1" si="63"/>
        <v>2183.8000000000002</v>
      </c>
      <c r="P348">
        <f t="shared" ca="1" si="64"/>
        <v>57347.79</v>
      </c>
      <c r="Q348">
        <f t="shared" ca="1" si="65"/>
        <v>3</v>
      </c>
      <c r="R348">
        <f ca="1">((Tabla2[[#This Row],[Fantasma Comunicación]]+1)/(Tabla2[[#This Row],[Fantasma Comunicación]]+RANDBETWEEN(0,5)+2))-0.5</f>
        <v>0.30000000000000004</v>
      </c>
      <c r="S348">
        <f ca="1">1+MAX(0,Tabla2[[#This Row],[Deuda actual]]/Tabla2[[#This Row],[Liquidez]]+Tabla2[[#This Row],[Liquidez]]/(Tabla2[[#This Row],[Activos]]+Tabla2[[#This Row],[Liquidez]])+Tabla2[[#This Row],[Comunicación]])</f>
        <v>3.1785183779917543</v>
      </c>
      <c r="T348">
        <f ca="1">Tabla2[[#This Row],[Deuda actual]]*EXP(Tabla2[[#This Row],[Ki]]*Tabla2[[#This Row],[diferencia de días]])*(1+Tabla2[[#This Row],[Hg]])</f>
        <v>3342.3878119071146</v>
      </c>
    </row>
    <row r="349" spans="1:20" ht="14.5" x14ac:dyDescent="0.35">
      <c r="A349">
        <f t="shared" si="55"/>
        <v>348</v>
      </c>
      <c r="B349">
        <f t="shared" ca="1" si="56"/>
        <v>46106</v>
      </c>
      <c r="C349">
        <f t="shared" ca="1" si="57"/>
        <v>46157</v>
      </c>
      <c r="D349">
        <f t="shared" ca="1" si="58"/>
        <v>2</v>
      </c>
      <c r="E349">
        <f t="shared" ca="1" si="59"/>
        <v>0.63172897907269343</v>
      </c>
      <c r="F349">
        <f t="shared" ca="1" si="60"/>
        <v>321.32</v>
      </c>
      <c r="G349" t="str">
        <f t="shared" ca="1" si="61"/>
        <v>hipotecario</v>
      </c>
      <c r="H34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49" t="str">
        <f t="shared" ca="1" si="62"/>
        <v>No</v>
      </c>
      <c r="J34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165000.18740213042</v>
      </c>
      <c r="K349" t="str">
        <f ca="1">IF(Tabla2[[#This Row],[¿cliente deuda abierta?]]="Sí", Tabla2[[#This Row],[Deuda actual]]*Tabla2[[#This Row],[diferencia de días]], "0")</f>
        <v>0</v>
      </c>
      <c r="L34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4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349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349">
        <f t="shared" ca="1" si="63"/>
        <v>1429.3</v>
      </c>
      <c r="P349">
        <f t="shared" ca="1" si="64"/>
        <v>59818.21</v>
      </c>
      <c r="Q349">
        <f t="shared" ca="1" si="65"/>
        <v>2</v>
      </c>
      <c r="R349">
        <f ca="1">((Tabla2[[#This Row],[Fantasma Comunicación]]+1)/(Tabla2[[#This Row],[Fantasma Comunicación]]+RANDBETWEEN(0,5)+2))-0.5</f>
        <v>-7.1428571428571452E-2</v>
      </c>
      <c r="S349">
        <f ca="1">1+MAX(0,Tabla2[[#This Row],[Deuda actual]]/Tabla2[[#This Row],[Liquidez]]+Tabla2[[#This Row],[Liquidez]]/(Tabla2[[#This Row],[Activos]]+Tabla2[[#This Row],[Liquidez]])+Tabla2[[#This Row],[Comunicación]])</f>
        <v>1.1767172347069139</v>
      </c>
      <c r="T349">
        <f ca="1">Tabla2[[#This Row],[Deuda actual]]*EXP(Tabla2[[#This Row],[Ki]]*Tabla2[[#This Row],[diferencia de días]])*(1+Tabla2[[#This Row],[Hg]])</f>
        <v>257.15884296722226</v>
      </c>
    </row>
    <row r="350" spans="1:20" ht="14.5" x14ac:dyDescent="0.35">
      <c r="A350">
        <f t="shared" si="55"/>
        <v>349</v>
      </c>
      <c r="B350">
        <f t="shared" ca="1" si="56"/>
        <v>46100</v>
      </c>
      <c r="C350">
        <f t="shared" ca="1" si="57"/>
        <v>46157</v>
      </c>
      <c r="D350">
        <f t="shared" ca="1" si="58"/>
        <v>21</v>
      </c>
      <c r="E350">
        <f t="shared" ca="1" si="59"/>
        <v>0.55840112746545645</v>
      </c>
      <c r="F350">
        <f t="shared" ca="1" si="60"/>
        <v>6792</v>
      </c>
      <c r="G350" t="str">
        <f t="shared" ca="1" si="61"/>
        <v>personal</v>
      </c>
      <c r="H35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50" t="str">
        <f t="shared" ca="1" si="62"/>
        <v>No</v>
      </c>
      <c r="J35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11999.414972737024</v>
      </c>
      <c r="K350" t="str">
        <f ca="1">IF(Tabla2[[#This Row],[¿cliente deuda abierta?]]="Sí", Tabla2[[#This Row],[Deuda actual]]*Tabla2[[#This Row],[diferencia de días]], "0")</f>
        <v>0</v>
      </c>
      <c r="L35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5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50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50">
        <f t="shared" ca="1" si="63"/>
        <v>1599.04</v>
      </c>
      <c r="P350">
        <f t="shared" ca="1" si="64"/>
        <v>192140.14</v>
      </c>
      <c r="Q350">
        <f t="shared" ca="1" si="65"/>
        <v>4</v>
      </c>
      <c r="R350">
        <f ca="1">((Tabla2[[#This Row],[Fantasma Comunicación]]+1)/(Tabla2[[#This Row],[Fantasma Comunicación]]+RANDBETWEEN(0,5)+2))-0.5</f>
        <v>0.33333333333333337</v>
      </c>
      <c r="S350">
        <f ca="1">1+MAX(0,Tabla2[[#This Row],[Deuda actual]]/Tabla2[[#This Row],[Liquidez]]+Tabla2[[#This Row],[Liquidez]]/(Tabla2[[#This Row],[Activos]]+Tabla2[[#This Row],[Liquidez]])+Tabla2[[#This Row],[Comunicación]])</f>
        <v>5.5891354330502043</v>
      </c>
      <c r="T350">
        <f ca="1">Tabla2[[#This Row],[Deuda actual]]*EXP(Tabla2[[#This Row],[Ki]]*Tabla2[[#This Row],[diferencia de días]])*(1+Tabla2[[#This Row],[Hg]])</f>
        <v>6164.3637847010477</v>
      </c>
    </row>
    <row r="351" spans="1:20" ht="14.5" x14ac:dyDescent="0.35">
      <c r="A351">
        <f t="shared" si="55"/>
        <v>350</v>
      </c>
      <c r="B351">
        <f t="shared" ca="1" si="56"/>
        <v>46133</v>
      </c>
      <c r="C351">
        <f t="shared" ca="1" si="57"/>
        <v>46157</v>
      </c>
      <c r="D351">
        <f t="shared" ca="1" si="58"/>
        <v>2</v>
      </c>
      <c r="E351">
        <f t="shared" ca="1" si="59"/>
        <v>0.90071634337784112</v>
      </c>
      <c r="F351">
        <f t="shared" ca="1" si="60"/>
        <v>6561.74</v>
      </c>
      <c r="G351" t="str">
        <f t="shared" ca="1" si="61"/>
        <v>personal</v>
      </c>
      <c r="H35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51" t="str">
        <f t="shared" ca="1" si="62"/>
        <v>Sí</v>
      </c>
      <c r="J35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51">
        <f ca="1">IF(Tabla2[[#This Row],[¿cliente deuda abierta?]]="Sí", Tabla2[[#This Row],[Deuda actual]]*Tabla2[[#This Row],[diferencia de días]], "0")</f>
        <v>13123.48</v>
      </c>
      <c r="L35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5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5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51">
        <f t="shared" ca="1" si="63"/>
        <v>1763.34</v>
      </c>
      <c r="P351">
        <f t="shared" ca="1" si="64"/>
        <v>196894.19</v>
      </c>
      <c r="Q351">
        <f t="shared" ca="1" si="65"/>
        <v>5</v>
      </c>
      <c r="R351">
        <f ca="1">((Tabla2[[#This Row],[Fantasma Comunicación]]+1)/(Tabla2[[#This Row],[Fantasma Comunicación]]+RANDBETWEEN(0,5)+2))-0.5</f>
        <v>0.3571428571428571</v>
      </c>
      <c r="S351">
        <f ca="1">1+MAX(0,Tabla2[[#This Row],[Deuda actual]]/Tabla2[[#This Row],[Liquidez]]+Tabla2[[#This Row],[Liquidez]]/(Tabla2[[#This Row],[Activos]]+Tabla2[[#This Row],[Liquidez]])+Tabla2[[#This Row],[Comunicación]])</f>
        <v>5.0872186796243026</v>
      </c>
      <c r="T351">
        <f ca="1">Tabla2[[#This Row],[Deuda actual]]*EXP(Tabla2[[#This Row],[Ki]]*Tabla2[[#This Row],[diferencia de días]])*(1+Tabla2[[#This Row],[Hg]])</f>
        <v>6892.5834820596601</v>
      </c>
    </row>
    <row r="352" spans="1:20" ht="14.5" x14ac:dyDescent="0.35">
      <c r="A352">
        <f t="shared" si="55"/>
        <v>351</v>
      </c>
      <c r="B352">
        <f t="shared" ca="1" si="56"/>
        <v>46108</v>
      </c>
      <c r="C352">
        <f t="shared" ca="1" si="57"/>
        <v>46157</v>
      </c>
      <c r="D352">
        <f t="shared" ca="1" si="58"/>
        <v>30</v>
      </c>
      <c r="E352">
        <f t="shared" ca="1" si="59"/>
        <v>0.82060628541053471</v>
      </c>
      <c r="F352">
        <f t="shared" ca="1" si="60"/>
        <v>975.33</v>
      </c>
      <c r="G352" t="str">
        <f t="shared" ca="1" si="61"/>
        <v>personal</v>
      </c>
      <c r="H35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352" t="str">
        <f t="shared" ca="1" si="62"/>
        <v>Sí</v>
      </c>
      <c r="J35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52">
        <f ca="1">IF(Tabla2[[#This Row],[¿cliente deuda abierta?]]="Sí", Tabla2[[#This Row],[Deuda actual]]*Tabla2[[#This Row],[diferencia de días]], "0")</f>
        <v>29259.9</v>
      </c>
      <c r="L35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5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5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52">
        <f t="shared" ca="1" si="63"/>
        <v>1242.75</v>
      </c>
      <c r="P352">
        <f t="shared" ca="1" si="64"/>
        <v>155384</v>
      </c>
      <c r="Q352">
        <f t="shared" ca="1" si="65"/>
        <v>3</v>
      </c>
      <c r="R352">
        <f ca="1">((Tabla2[[#This Row],[Fantasma Comunicación]]+1)/(Tabla2[[#This Row],[Fantasma Comunicación]]+RANDBETWEEN(0,5)+2))-0.5</f>
        <v>0</v>
      </c>
      <c r="S352">
        <f ca="1">1+MAX(0,Tabla2[[#This Row],[Deuda actual]]/Tabla2[[#This Row],[Liquidez]]+Tabla2[[#This Row],[Liquidez]]/(Tabla2[[#This Row],[Activos]]+Tabla2[[#This Row],[Liquidez]])+Tabla2[[#This Row],[Comunicación]])</f>
        <v>1.7927504008177366</v>
      </c>
      <c r="T352">
        <f ca="1">Tabla2[[#This Row],[Deuda actual]]*EXP(Tabla2[[#This Row],[Ki]]*Tabla2[[#This Row],[diferencia de días]])*(1+Tabla2[[#This Row],[Hg]])</f>
        <v>1055.2848816309279</v>
      </c>
    </row>
    <row r="353" spans="1:20" ht="14.5" x14ac:dyDescent="0.35">
      <c r="A353">
        <f t="shared" si="55"/>
        <v>352</v>
      </c>
      <c r="B353">
        <f t="shared" ca="1" si="56"/>
        <v>46082</v>
      </c>
      <c r="C353">
        <f t="shared" ca="1" si="57"/>
        <v>46157</v>
      </c>
      <c r="D353">
        <f t="shared" ca="1" si="58"/>
        <v>5</v>
      </c>
      <c r="E353">
        <f t="shared" ca="1" si="59"/>
        <v>0.96025722352354959</v>
      </c>
      <c r="F353">
        <f t="shared" ca="1" si="60"/>
        <v>234.64</v>
      </c>
      <c r="G353" t="str">
        <f t="shared" ca="1" si="61"/>
        <v>hipotecario</v>
      </c>
      <c r="H35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53" t="str">
        <f t="shared" ca="1" si="62"/>
        <v>Sí</v>
      </c>
      <c r="J35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53">
        <f ca="1">IF(Tabla2[[#This Row],[¿cliente deuda abierta?]]="Sí", Tabla2[[#This Row],[Deuda actual]]*Tabla2[[#This Row],[diferencia de días]], "0")</f>
        <v>1173.1999999999998</v>
      </c>
      <c r="L35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5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5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53">
        <f t="shared" ca="1" si="63"/>
        <v>1537.61</v>
      </c>
      <c r="P353">
        <f t="shared" ca="1" si="64"/>
        <v>53041.22</v>
      </c>
      <c r="Q353">
        <f t="shared" ca="1" si="65"/>
        <v>0</v>
      </c>
      <c r="R353">
        <f ca="1">((Tabla2[[#This Row],[Fantasma Comunicación]]+1)/(Tabla2[[#This Row],[Fantasma Comunicación]]+RANDBETWEEN(0,5)+2))-0.5</f>
        <v>-0.33333333333333337</v>
      </c>
      <c r="S353">
        <f ca="1">1+MAX(0,Tabla2[[#This Row],[Deuda actual]]/Tabla2[[#This Row],[Liquidez]]+Tabla2[[#This Row],[Liquidez]]/(Tabla2[[#This Row],[Activos]]+Tabla2[[#This Row],[Liquidez]])+Tabla2[[#This Row],[Comunicación]])</f>
        <v>1</v>
      </c>
      <c r="T353">
        <f ca="1">Tabla2[[#This Row],[Deuda actual]]*EXP(Tabla2[[#This Row],[Ki]]*Tabla2[[#This Row],[diferencia de días]])*(1+Tabla2[[#This Row],[Hg]])</f>
        <v>246.61849522707229</v>
      </c>
    </row>
    <row r="354" spans="1:20" ht="14.5" x14ac:dyDescent="0.35">
      <c r="A354">
        <f t="shared" si="55"/>
        <v>353</v>
      </c>
      <c r="B354">
        <f t="shared" ca="1" si="56"/>
        <v>46105</v>
      </c>
      <c r="C354">
        <f t="shared" ca="1" si="57"/>
        <v>46157</v>
      </c>
      <c r="D354">
        <f t="shared" ca="1" si="58"/>
        <v>3</v>
      </c>
      <c r="E354">
        <f t="shared" ca="1" si="59"/>
        <v>0.89667596647763048</v>
      </c>
      <c r="F354">
        <f t="shared" ca="1" si="60"/>
        <v>5009.32</v>
      </c>
      <c r="G354" t="str">
        <f t="shared" ca="1" si="61"/>
        <v>personal</v>
      </c>
      <c r="H35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54" t="str">
        <f t="shared" ca="1" si="62"/>
        <v>No</v>
      </c>
      <c r="J35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12000.974351918105</v>
      </c>
      <c r="K354" t="str">
        <f ca="1">IF(Tabla2[[#This Row],[¿cliente deuda abierta?]]="Sí", Tabla2[[#This Row],[Deuda actual]]*Tabla2[[#This Row],[diferencia de días]], "0")</f>
        <v>0</v>
      </c>
      <c r="L35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5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5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54">
        <f t="shared" ca="1" si="63"/>
        <v>1283.17</v>
      </c>
      <c r="P354">
        <f t="shared" ca="1" si="64"/>
        <v>135760.46</v>
      </c>
      <c r="Q354">
        <f t="shared" ca="1" si="65"/>
        <v>1</v>
      </c>
      <c r="R354">
        <f ca="1">((Tabla2[[#This Row],[Fantasma Comunicación]]+1)/(Tabla2[[#This Row],[Fantasma Comunicación]]+RANDBETWEEN(0,5)+2))-0.5</f>
        <v>-0.25</v>
      </c>
      <c r="S354">
        <f ca="1">1+MAX(0,Tabla2[[#This Row],[Deuda actual]]/Tabla2[[#This Row],[Liquidez]]+Tabla2[[#This Row],[Liquidez]]/(Tabla2[[#This Row],[Activos]]+Tabla2[[#This Row],[Liquidez]])+Tabla2[[#This Row],[Comunicación]])</f>
        <v>4.6632263115692254</v>
      </c>
      <c r="T354">
        <f ca="1">Tabla2[[#This Row],[Deuda actual]]*EXP(Tabla2[[#This Row],[Ki]]*Tabla2[[#This Row],[diferencia de días]])*(1+Tabla2[[#This Row],[Hg]])</f>
        <v>4511.093844472166</v>
      </c>
    </row>
    <row r="355" spans="1:20" ht="14.5" x14ac:dyDescent="0.35">
      <c r="A355">
        <f t="shared" si="55"/>
        <v>354</v>
      </c>
      <c r="B355">
        <f t="shared" ca="1" si="56"/>
        <v>46122</v>
      </c>
      <c r="C355">
        <f t="shared" ca="1" si="57"/>
        <v>46157</v>
      </c>
      <c r="D355">
        <f t="shared" ca="1" si="58"/>
        <v>6</v>
      </c>
      <c r="E355">
        <f t="shared" ca="1" si="59"/>
        <v>0.72530448651553669</v>
      </c>
      <c r="F355">
        <f t="shared" ca="1" si="60"/>
        <v>89.25</v>
      </c>
      <c r="G355" t="str">
        <f t="shared" ca="1" si="61"/>
        <v>personal</v>
      </c>
      <c r="H35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55" t="str">
        <f t="shared" ca="1" si="62"/>
        <v>Sí</v>
      </c>
      <c r="J35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55">
        <f ca="1">IF(Tabla2[[#This Row],[¿cliente deuda abierta?]]="Sí", Tabla2[[#This Row],[Deuda actual]]*Tabla2[[#This Row],[diferencia de días]], "0")</f>
        <v>535.5</v>
      </c>
      <c r="L35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5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5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55">
        <f t="shared" ca="1" si="63"/>
        <v>1705.99</v>
      </c>
      <c r="P355">
        <f t="shared" ca="1" si="64"/>
        <v>192803.36</v>
      </c>
      <c r="Q355">
        <f t="shared" ca="1" si="65"/>
        <v>4</v>
      </c>
      <c r="R355">
        <f ca="1">((Tabla2[[#This Row],[Fantasma Comunicación]]+1)/(Tabla2[[#This Row],[Fantasma Comunicación]]+RANDBETWEEN(0,5)+2))-0.5</f>
        <v>-4.545454545454547E-2</v>
      </c>
      <c r="S355">
        <f ca="1">1+MAX(0,Tabla2[[#This Row],[Deuda actual]]/Tabla2[[#This Row],[Liquidez]]+Tabla2[[#This Row],[Liquidez]]/(Tabla2[[#This Row],[Activos]]+Tabla2[[#This Row],[Liquidez]])+Tabla2[[#This Row],[Comunicación]])</f>
        <v>1.0156318539496227</v>
      </c>
      <c r="T355">
        <f ca="1">Tabla2[[#This Row],[Deuda actual]]*EXP(Tabla2[[#This Row],[Ki]]*Tabla2[[#This Row],[diferencia de días]])*(1+Tabla2[[#This Row],[Hg]])</f>
        <v>93.825022499997289</v>
      </c>
    </row>
    <row r="356" spans="1:20" ht="14.5" x14ac:dyDescent="0.35">
      <c r="A356">
        <f t="shared" si="55"/>
        <v>355</v>
      </c>
      <c r="B356">
        <f t="shared" ca="1" si="56"/>
        <v>46107</v>
      </c>
      <c r="C356">
        <f t="shared" ca="1" si="57"/>
        <v>46157</v>
      </c>
      <c r="D356">
        <f t="shared" ca="1" si="58"/>
        <v>2</v>
      </c>
      <c r="E356">
        <f t="shared" ca="1" si="59"/>
        <v>0.64893355071618131</v>
      </c>
      <c r="F356">
        <f t="shared" ca="1" si="60"/>
        <v>1735.11</v>
      </c>
      <c r="G356" t="str">
        <f t="shared" ca="1" si="61"/>
        <v>personal</v>
      </c>
      <c r="H35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56" t="str">
        <f t="shared" ca="1" si="62"/>
        <v>Sí</v>
      </c>
      <c r="J35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56">
        <f ca="1">IF(Tabla2[[#This Row],[¿cliente deuda abierta?]]="Sí", Tabla2[[#This Row],[Deuda actual]]*Tabla2[[#This Row],[diferencia de días]], "0")</f>
        <v>3470.22</v>
      </c>
      <c r="L35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5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5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56">
        <f t="shared" ca="1" si="63"/>
        <v>1319.65</v>
      </c>
      <c r="P356">
        <f t="shared" ca="1" si="64"/>
        <v>92796.01</v>
      </c>
      <c r="Q356">
        <f t="shared" ca="1" si="65"/>
        <v>2</v>
      </c>
      <c r="R356">
        <f ca="1">((Tabla2[[#This Row],[Fantasma Comunicación]]+1)/(Tabla2[[#This Row],[Fantasma Comunicación]]+RANDBETWEEN(0,5)+2))-0.5</f>
        <v>-0.125</v>
      </c>
      <c r="S356">
        <f ca="1">1+MAX(0,Tabla2[[#This Row],[Deuda actual]]/Tabla2[[#This Row],[Liquidez]]+Tabla2[[#This Row],[Liquidez]]/(Tabla2[[#This Row],[Activos]]+Tabla2[[#This Row],[Liquidez]])+Tabla2[[#This Row],[Comunicación]])</f>
        <v>2.2038474780875825</v>
      </c>
      <c r="T356">
        <f ca="1">Tabla2[[#This Row],[Deuda actual]]*EXP(Tabla2[[#This Row],[Ki]]*Tabla2[[#This Row],[diferencia de días]])*(1+Tabla2[[#This Row],[Hg]])</f>
        <v>1822.5943919686752</v>
      </c>
    </row>
    <row r="357" spans="1:20" ht="14.5" x14ac:dyDescent="0.35">
      <c r="A357">
        <f t="shared" si="55"/>
        <v>356</v>
      </c>
      <c r="B357">
        <f t="shared" ca="1" si="56"/>
        <v>46089</v>
      </c>
      <c r="C357">
        <f t="shared" ca="1" si="57"/>
        <v>46157</v>
      </c>
      <c r="D357">
        <f t="shared" ca="1" si="58"/>
        <v>8</v>
      </c>
      <c r="E357">
        <f t="shared" ca="1" si="59"/>
        <v>0.55154164157956242</v>
      </c>
      <c r="F357">
        <f t="shared" ca="1" si="60"/>
        <v>517.71</v>
      </c>
      <c r="G357" t="str">
        <f t="shared" ca="1" si="61"/>
        <v>personal</v>
      </c>
      <c r="H35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57" t="str">
        <f t="shared" ca="1" si="62"/>
        <v>No</v>
      </c>
      <c r="J35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11999.838842030382</v>
      </c>
      <c r="K357" t="str">
        <f ca="1">IF(Tabla2[[#This Row],[¿cliente deuda abierta?]]="Sí", Tabla2[[#This Row],[Deuda actual]]*Tabla2[[#This Row],[diferencia de días]], "0")</f>
        <v>0</v>
      </c>
      <c r="L35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5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57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57">
        <f t="shared" ca="1" si="63"/>
        <v>1857.3</v>
      </c>
      <c r="P357">
        <f t="shared" ca="1" si="64"/>
        <v>495121.43</v>
      </c>
      <c r="Q357">
        <f t="shared" ca="1" si="65"/>
        <v>4</v>
      </c>
      <c r="R357">
        <f ca="1">((Tabla2[[#This Row],[Fantasma Comunicación]]+1)/(Tabla2[[#This Row],[Fantasma Comunicación]]+RANDBETWEEN(0,5)+2))-0.5</f>
        <v>0.125</v>
      </c>
      <c r="S357">
        <f ca="1">1+MAX(0,Tabla2[[#This Row],[Deuda actual]]/Tabla2[[#This Row],[Liquidez]]+Tabla2[[#This Row],[Liquidez]]/(Tabla2[[#This Row],[Activos]]+Tabla2[[#This Row],[Liquidez]])+Tabla2[[#This Row],[Comunicación]])</f>
        <v>1.4074805191744035</v>
      </c>
      <c r="T357">
        <f ca="1">Tabla2[[#This Row],[Deuda actual]]*EXP(Tabla2[[#This Row],[Ki]]*Tabla2[[#This Row],[diferencia de días]])*(1+Tabla2[[#This Row],[Hg]])</f>
        <v>466.68509912012831</v>
      </c>
    </row>
    <row r="358" spans="1:20" ht="14.5" x14ac:dyDescent="0.35">
      <c r="A358">
        <f t="shared" si="55"/>
        <v>357</v>
      </c>
      <c r="B358">
        <f t="shared" ca="1" si="56"/>
        <v>46142</v>
      </c>
      <c r="C358">
        <f t="shared" ca="1" si="57"/>
        <v>46157</v>
      </c>
      <c r="D358">
        <f t="shared" ca="1" si="58"/>
        <v>30</v>
      </c>
      <c r="E358">
        <f t="shared" ca="1" si="59"/>
        <v>0.88388456937943416</v>
      </c>
      <c r="F358">
        <f t="shared" ca="1" si="60"/>
        <v>241.39</v>
      </c>
      <c r="G358" t="str">
        <f t="shared" ca="1" si="61"/>
        <v>hipotecario</v>
      </c>
      <c r="H35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358" t="str">
        <f t="shared" ca="1" si="62"/>
        <v>Sí</v>
      </c>
      <c r="J35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58">
        <f ca="1">IF(Tabla2[[#This Row],[¿cliente deuda abierta?]]="Sí", Tabla2[[#This Row],[Deuda actual]]*Tabla2[[#This Row],[diferencia de días]], "0")</f>
        <v>7241.7</v>
      </c>
      <c r="L35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5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5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58">
        <f t="shared" ca="1" si="63"/>
        <v>1004.61</v>
      </c>
      <c r="P358">
        <f t="shared" ca="1" si="64"/>
        <v>125991.96</v>
      </c>
      <c r="Q358">
        <f t="shared" ca="1" si="65"/>
        <v>2</v>
      </c>
      <c r="R358">
        <f ca="1">((Tabla2[[#This Row],[Fantasma Comunicación]]+1)/(Tabla2[[#This Row],[Fantasma Comunicación]]+RANDBETWEEN(0,5)+2))-0.5</f>
        <v>0.25</v>
      </c>
      <c r="S358">
        <f ca="1">1+MAX(0,Tabla2[[#This Row],[Deuda actual]]/Tabla2[[#This Row],[Liquidez]]+Tabla2[[#This Row],[Liquidez]]/(Tabla2[[#This Row],[Activos]]+Tabla2[[#This Row],[Liquidez]])+Tabla2[[#This Row],[Comunicación]])</f>
        <v>1.498192827210628</v>
      </c>
      <c r="T358">
        <f ca="1">Tabla2[[#This Row],[Deuda actual]]*EXP(Tabla2[[#This Row],[Ki]]*Tabla2[[#This Row],[diferencia de días]])*(1+Tabla2[[#This Row],[Hg]])</f>
        <v>261.17849094859139</v>
      </c>
    </row>
    <row r="359" spans="1:20" ht="14.5" x14ac:dyDescent="0.35">
      <c r="A359">
        <f t="shared" si="55"/>
        <v>358</v>
      </c>
      <c r="B359">
        <f t="shared" ca="1" si="56"/>
        <v>46136</v>
      </c>
      <c r="C359">
        <f t="shared" ca="1" si="57"/>
        <v>46157</v>
      </c>
      <c r="D359">
        <f t="shared" ca="1" si="58"/>
        <v>2</v>
      </c>
      <c r="E359">
        <f t="shared" ca="1" si="59"/>
        <v>0.1930322682078468</v>
      </c>
      <c r="F359">
        <f t="shared" ca="1" si="60"/>
        <v>3577.08</v>
      </c>
      <c r="G359" t="str">
        <f t="shared" ca="1" si="61"/>
        <v>personal</v>
      </c>
      <c r="H35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59" t="str">
        <f t="shared" ca="1" si="62"/>
        <v>Sí</v>
      </c>
      <c r="J35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59">
        <f ca="1">IF(Tabla2[[#This Row],[¿cliente deuda abierta?]]="Sí", Tabla2[[#This Row],[Deuda actual]]*Tabla2[[#This Row],[diferencia de días]], "0")</f>
        <v>7154.16</v>
      </c>
      <c r="L35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5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5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59">
        <f t="shared" ca="1" si="63"/>
        <v>2394.98</v>
      </c>
      <c r="P359">
        <f t="shared" ca="1" si="64"/>
        <v>110257.69</v>
      </c>
      <c r="Q359">
        <f t="shared" ca="1" si="65"/>
        <v>2</v>
      </c>
      <c r="R359">
        <f ca="1">((Tabla2[[#This Row],[Fantasma Comunicación]]+1)/(Tabla2[[#This Row],[Fantasma Comunicación]]+RANDBETWEEN(0,5)+2))-0.5</f>
        <v>9.9999999999999978E-2</v>
      </c>
      <c r="S359">
        <f ca="1">1+MAX(0,Tabla2[[#This Row],[Deuda actual]]/Tabla2[[#This Row],[Liquidez]]+Tabla2[[#This Row],[Liquidez]]/(Tabla2[[#This Row],[Activos]]+Tabla2[[#This Row],[Liquidez]])+Tabla2[[#This Row],[Comunicación]])</f>
        <v>2.6148339191372427</v>
      </c>
      <c r="T359">
        <f ca="1">Tabla2[[#This Row],[Deuda actual]]*EXP(Tabla2[[#This Row],[Ki]]*Tabla2[[#This Row],[diferencia de días]])*(1+Tabla2[[#This Row],[Hg]])</f>
        <v>3757.4366741147878</v>
      </c>
    </row>
    <row r="360" spans="1:20" ht="14.5" x14ac:dyDescent="0.35">
      <c r="A360">
        <f t="shared" si="55"/>
        <v>359</v>
      </c>
      <c r="B360">
        <f t="shared" ca="1" si="56"/>
        <v>46138</v>
      </c>
      <c r="C360">
        <f t="shared" ca="1" si="57"/>
        <v>46157</v>
      </c>
      <c r="D360">
        <f t="shared" ca="1" si="58"/>
        <v>1</v>
      </c>
      <c r="E360">
        <f t="shared" ca="1" si="59"/>
        <v>4.601717732009114E-2</v>
      </c>
      <c r="F360">
        <f t="shared" ca="1" si="60"/>
        <v>463.74</v>
      </c>
      <c r="G360" t="str">
        <f t="shared" ca="1" si="61"/>
        <v>hipotecario</v>
      </c>
      <c r="H36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60" t="str">
        <f t="shared" ca="1" si="62"/>
        <v>No</v>
      </c>
      <c r="J36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165000.28377978044</v>
      </c>
      <c r="K360" t="str">
        <f ca="1">IF(Tabla2[[#This Row],[¿cliente deuda abierta?]]="Sí", Tabla2[[#This Row],[Deuda actual]]*Tabla2[[#This Row],[diferencia de días]], "0")</f>
        <v>0</v>
      </c>
      <c r="L36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6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36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360">
        <f t="shared" ca="1" si="63"/>
        <v>2262.96</v>
      </c>
      <c r="P360">
        <f t="shared" ca="1" si="64"/>
        <v>163538.39000000001</v>
      </c>
      <c r="Q360">
        <f t="shared" ca="1" si="65"/>
        <v>5</v>
      </c>
      <c r="R360">
        <f ca="1">((Tabla2[[#This Row],[Fantasma Comunicación]]+1)/(Tabla2[[#This Row],[Fantasma Comunicación]]+RANDBETWEEN(0,5)+2))-0.5</f>
        <v>0</v>
      </c>
      <c r="S360">
        <f ca="1">1+MAX(0,Tabla2[[#This Row],[Deuda actual]]/Tabla2[[#This Row],[Liquidez]]+Tabla2[[#This Row],[Liquidez]]/(Tabla2[[#This Row],[Activos]]+Tabla2[[#This Row],[Liquidez]])+Tabla2[[#This Row],[Comunicación]])</f>
        <v>1.2185749135112125</v>
      </c>
      <c r="T360">
        <f ca="1">Tabla2[[#This Row],[Deuda actual]]*EXP(Tabla2[[#This Row],[Ki]]*Tabla2[[#This Row],[diferencia de días]])*(1+Tabla2[[#This Row],[Hg]])</f>
        <v>371.06620582033474</v>
      </c>
    </row>
    <row r="361" spans="1:20" ht="14.5" x14ac:dyDescent="0.35">
      <c r="A361">
        <f t="shared" si="55"/>
        <v>360</v>
      </c>
      <c r="B361">
        <f t="shared" ca="1" si="56"/>
        <v>46086</v>
      </c>
      <c r="C361">
        <f t="shared" ca="1" si="57"/>
        <v>46157</v>
      </c>
      <c r="D361">
        <f t="shared" ca="1" si="58"/>
        <v>32</v>
      </c>
      <c r="E361">
        <f t="shared" ca="1" si="59"/>
        <v>0.87520275284151527</v>
      </c>
      <c r="F361">
        <f t="shared" ca="1" si="60"/>
        <v>485.14</v>
      </c>
      <c r="G361" t="str">
        <f t="shared" ca="1" si="61"/>
        <v>hipotecario</v>
      </c>
      <c r="H36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361" t="str">
        <f t="shared" ca="1" si="62"/>
        <v>Sí</v>
      </c>
      <c r="J36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61">
        <f ca="1">IF(Tabla2[[#This Row],[¿cliente deuda abierta?]]="Sí", Tabla2[[#This Row],[Deuda actual]]*Tabla2[[#This Row],[diferencia de días]], "0")</f>
        <v>15524.48</v>
      </c>
      <c r="L36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6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6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61">
        <f t="shared" ca="1" si="63"/>
        <v>1995.96</v>
      </c>
      <c r="P361">
        <f t="shared" ca="1" si="64"/>
        <v>411404.39</v>
      </c>
      <c r="Q361">
        <f t="shared" ca="1" si="65"/>
        <v>2</v>
      </c>
      <c r="R361">
        <f ca="1">((Tabla2[[#This Row],[Fantasma Comunicación]]+1)/(Tabla2[[#This Row],[Fantasma Comunicación]]+RANDBETWEEN(0,5)+2))-0.5</f>
        <v>-0.16666666666666669</v>
      </c>
      <c r="S361">
        <f ca="1">1+MAX(0,Tabla2[[#This Row],[Deuda actual]]/Tabla2[[#This Row],[Liquidez]]+Tabla2[[#This Row],[Liquidez]]/(Tabla2[[#This Row],[Activos]]+Tabla2[[#This Row],[Liquidez]])+Tabla2[[#This Row],[Comunicación]])</f>
        <v>1.0812224691805847</v>
      </c>
      <c r="T361">
        <f ca="1">Tabla2[[#This Row],[Deuda actual]]*EXP(Tabla2[[#This Row],[Ki]]*Tabla2[[#This Row],[diferencia de días]])*(1+Tabla2[[#This Row],[Hg]])</f>
        <v>525.96131964991139</v>
      </c>
    </row>
    <row r="362" spans="1:20" ht="14.5" x14ac:dyDescent="0.35">
      <c r="A362">
        <f t="shared" si="55"/>
        <v>361</v>
      </c>
      <c r="B362">
        <f t="shared" ca="1" si="56"/>
        <v>46091</v>
      </c>
      <c r="C362">
        <f t="shared" ca="1" si="57"/>
        <v>46157</v>
      </c>
      <c r="D362">
        <f t="shared" ca="1" si="58"/>
        <v>16</v>
      </c>
      <c r="E362">
        <f t="shared" ca="1" si="59"/>
        <v>0.44712341523187704</v>
      </c>
      <c r="F362">
        <f t="shared" ca="1" si="60"/>
        <v>567.46</v>
      </c>
      <c r="G362" t="str">
        <f t="shared" ca="1" si="61"/>
        <v>personal</v>
      </c>
      <c r="H36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62" t="str">
        <f t="shared" ca="1" si="62"/>
        <v>Sí</v>
      </c>
      <c r="J36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62">
        <f ca="1">IF(Tabla2[[#This Row],[¿cliente deuda abierta?]]="Sí", Tabla2[[#This Row],[Deuda actual]]*Tabla2[[#This Row],[diferencia de días]], "0")</f>
        <v>9079.36</v>
      </c>
      <c r="L36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6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6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62">
        <f t="shared" ca="1" si="63"/>
        <v>1950.44</v>
      </c>
      <c r="P362">
        <f t="shared" ca="1" si="64"/>
        <v>56707.32</v>
      </c>
      <c r="Q362">
        <f t="shared" ca="1" si="65"/>
        <v>5</v>
      </c>
      <c r="R362">
        <f ca="1">((Tabla2[[#This Row],[Fantasma Comunicación]]+1)/(Tabla2[[#This Row],[Fantasma Comunicación]]+RANDBETWEEN(0,5)+2))-0.5</f>
        <v>0</v>
      </c>
      <c r="S362">
        <f ca="1">1+MAX(0,Tabla2[[#This Row],[Deuda actual]]/Tabla2[[#This Row],[Liquidez]]+Tabla2[[#This Row],[Liquidez]]/(Tabla2[[#This Row],[Activos]]+Tabla2[[#This Row],[Liquidez]])+Tabla2[[#This Row],[Comunicación]])</f>
        <v>1.3241906648203989</v>
      </c>
      <c r="T362">
        <f ca="1">Tabla2[[#This Row],[Deuda actual]]*EXP(Tabla2[[#This Row],[Ki]]*Tabla2[[#This Row],[diferencia de días]])*(1+Tabla2[[#This Row],[Hg]])</f>
        <v>599.65855993388618</v>
      </c>
    </row>
    <row r="363" spans="1:20" ht="14.5" x14ac:dyDescent="0.35">
      <c r="A363">
        <f t="shared" si="55"/>
        <v>362</v>
      </c>
      <c r="B363">
        <f t="shared" ca="1" si="56"/>
        <v>46143</v>
      </c>
      <c r="C363">
        <f t="shared" ca="1" si="57"/>
        <v>46157</v>
      </c>
      <c r="D363">
        <f t="shared" ca="1" si="58"/>
        <v>55</v>
      </c>
      <c r="E363">
        <f t="shared" ca="1" si="59"/>
        <v>0.69835099516147003</v>
      </c>
      <c r="F363">
        <f t="shared" ca="1" si="60"/>
        <v>10000</v>
      </c>
      <c r="G363" t="str">
        <f t="shared" ca="1" si="61"/>
        <v>personal</v>
      </c>
      <c r="H36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363" t="str">
        <f t="shared" ca="1" si="62"/>
        <v>No</v>
      </c>
      <c r="J36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11999.057849626013</v>
      </c>
      <c r="K363" t="str">
        <f ca="1">IF(Tabla2[[#This Row],[¿cliente deuda abierta?]]="Sí", Tabla2[[#This Row],[Deuda actual]]*Tabla2[[#This Row],[diferencia de días]], "0")</f>
        <v>0</v>
      </c>
      <c r="L36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6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6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63">
        <f t="shared" ca="1" si="63"/>
        <v>1842.72</v>
      </c>
      <c r="P363">
        <f t="shared" ca="1" si="64"/>
        <v>151871.76</v>
      </c>
      <c r="Q363">
        <f t="shared" ca="1" si="65"/>
        <v>3</v>
      </c>
      <c r="R363">
        <f ca="1">((Tabla2[[#This Row],[Fantasma Comunicación]]+1)/(Tabla2[[#This Row],[Fantasma Comunicación]]+RANDBETWEEN(0,5)+2))-0.5</f>
        <v>-5.555555555555558E-2</v>
      </c>
      <c r="S363">
        <f ca="1">1+MAX(0,Tabla2[[#This Row],[Deuda actual]]/Tabla2[[#This Row],[Liquidez]]+Tabla2[[#This Row],[Liquidez]]/(Tabla2[[#This Row],[Activos]]+Tabla2[[#This Row],[Liquidez]])+Tabla2[[#This Row],[Comunicación]])</f>
        <v>6.3831928257698243</v>
      </c>
      <c r="T363">
        <f ca="1">Tabla2[[#This Row],[Deuda actual]]*EXP(Tabla2[[#This Row],[Ki]]*Tabla2[[#This Row],[diferencia de días]])*(1+Tabla2[[#This Row],[Hg]])</f>
        <v>9773.9880609515094</v>
      </c>
    </row>
    <row r="364" spans="1:20" ht="14.5" x14ac:dyDescent="0.35">
      <c r="A364">
        <f t="shared" si="55"/>
        <v>363</v>
      </c>
      <c r="B364">
        <f t="shared" ca="1" si="56"/>
        <v>46113</v>
      </c>
      <c r="C364">
        <f t="shared" ca="1" si="57"/>
        <v>46157</v>
      </c>
      <c r="D364">
        <f t="shared" ca="1" si="58"/>
        <v>1</v>
      </c>
      <c r="E364">
        <f t="shared" ca="1" si="59"/>
        <v>0.53673817664422507</v>
      </c>
      <c r="F364">
        <f t="shared" ca="1" si="60"/>
        <v>7088.53</v>
      </c>
      <c r="G364" t="str">
        <f t="shared" ca="1" si="61"/>
        <v>personal</v>
      </c>
      <c r="H36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64" t="str">
        <f t="shared" ca="1" si="62"/>
        <v>No</v>
      </c>
      <c r="J36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11998.989456430607</v>
      </c>
      <c r="K364" t="str">
        <f ca="1">IF(Tabla2[[#This Row],[¿cliente deuda abierta?]]="Sí", Tabla2[[#This Row],[Deuda actual]]*Tabla2[[#This Row],[diferencia de días]], "0")</f>
        <v>0</v>
      </c>
      <c r="L36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6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6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64">
        <f t="shared" ca="1" si="63"/>
        <v>1988.87</v>
      </c>
      <c r="P364">
        <f t="shared" ca="1" si="64"/>
        <v>263703.63</v>
      </c>
      <c r="Q364">
        <f t="shared" ca="1" si="65"/>
        <v>4</v>
      </c>
      <c r="R364">
        <f ca="1">((Tabla2[[#This Row],[Fantasma Comunicación]]+1)/(Tabla2[[#This Row],[Fantasma Comunicación]]+RANDBETWEEN(0,5)+2))-0.5</f>
        <v>0.125</v>
      </c>
      <c r="S364">
        <f ca="1">1+MAX(0,Tabla2[[#This Row],[Deuda actual]]/Tabla2[[#This Row],[Liquidez]]+Tabla2[[#This Row],[Liquidez]]/(Tabla2[[#This Row],[Activos]]+Tabla2[[#This Row],[Liquidez]])+Tabla2[[#This Row],[Comunicación]])</f>
        <v>4.6965848204784741</v>
      </c>
      <c r="T364">
        <f ca="1">Tabla2[[#This Row],[Deuda actual]]*EXP(Tabla2[[#This Row],[Ki]]*Tabla2[[#This Row],[diferencia de días]])*(1+Tabla2[[#This Row],[Hg]])</f>
        <v>6380.9530630020472</v>
      </c>
    </row>
    <row r="365" spans="1:20" ht="14.5" x14ac:dyDescent="0.35">
      <c r="A365">
        <f t="shared" si="55"/>
        <v>364</v>
      </c>
      <c r="B365">
        <f t="shared" ca="1" si="56"/>
        <v>46129</v>
      </c>
      <c r="C365">
        <f t="shared" ca="1" si="57"/>
        <v>46157</v>
      </c>
      <c r="D365">
        <f t="shared" ca="1" si="58"/>
        <v>12</v>
      </c>
      <c r="E365">
        <f t="shared" ca="1" si="59"/>
        <v>0.76729230009436089</v>
      </c>
      <c r="F365">
        <f t="shared" ca="1" si="60"/>
        <v>463.15</v>
      </c>
      <c r="G365" t="str">
        <f t="shared" ca="1" si="61"/>
        <v>personal</v>
      </c>
      <c r="H36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65" t="str">
        <f t="shared" ca="1" si="62"/>
        <v>Sí</v>
      </c>
      <c r="J36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65">
        <f ca="1">IF(Tabla2[[#This Row],[¿cliente deuda abierta?]]="Sí", Tabla2[[#This Row],[Deuda actual]]*Tabla2[[#This Row],[diferencia de días]], "0")</f>
        <v>5557.7999999999993</v>
      </c>
      <c r="L36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6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6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65">
        <f t="shared" ca="1" si="63"/>
        <v>1918.02</v>
      </c>
      <c r="P365">
        <f t="shared" ca="1" si="64"/>
        <v>198600.39</v>
      </c>
      <c r="Q365">
        <f t="shared" ca="1" si="65"/>
        <v>5</v>
      </c>
      <c r="R365">
        <f ca="1">((Tabla2[[#This Row],[Fantasma Comunicación]]+1)/(Tabla2[[#This Row],[Fantasma Comunicación]]+RANDBETWEEN(0,5)+2))-0.5</f>
        <v>4.5454545454545414E-2</v>
      </c>
      <c r="S365">
        <f ca="1">1+MAX(0,Tabla2[[#This Row],[Deuda actual]]/Tabla2[[#This Row],[Liquidez]]+Tabla2[[#This Row],[Liquidez]]/(Tabla2[[#This Row],[Activos]]+Tabla2[[#This Row],[Liquidez]])+Tabla2[[#This Row],[Comunicación]])</f>
        <v>1.2964928290437019</v>
      </c>
      <c r="T365">
        <f ca="1">Tabla2[[#This Row],[Deuda actual]]*EXP(Tabla2[[#This Row],[Ki]]*Tabla2[[#This Row],[diferencia de días]])*(1+Tabla2[[#This Row],[Hg]])</f>
        <v>487.47603968672502</v>
      </c>
    </row>
    <row r="366" spans="1:20" ht="14.5" x14ac:dyDescent="0.35">
      <c r="A366">
        <f t="shared" si="55"/>
        <v>365</v>
      </c>
      <c r="B366">
        <f t="shared" ca="1" si="56"/>
        <v>46128</v>
      </c>
      <c r="C366">
        <f t="shared" ca="1" si="57"/>
        <v>46157</v>
      </c>
      <c r="D366">
        <f t="shared" ca="1" si="58"/>
        <v>1</v>
      </c>
      <c r="E366">
        <f t="shared" ca="1" si="59"/>
        <v>1.5726563055068477E-2</v>
      </c>
      <c r="F366">
        <f t="shared" ca="1" si="60"/>
        <v>947.93</v>
      </c>
      <c r="G366" t="str">
        <f t="shared" ca="1" si="61"/>
        <v>personal</v>
      </c>
      <c r="H36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66" t="str">
        <f t="shared" ca="1" si="62"/>
        <v>No</v>
      </c>
      <c r="J36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12000.494579372773</v>
      </c>
      <c r="K366" t="str">
        <f ca="1">IF(Tabla2[[#This Row],[¿cliente deuda abierta?]]="Sí", Tabla2[[#This Row],[Deuda actual]]*Tabla2[[#This Row],[diferencia de días]], "0")</f>
        <v>0</v>
      </c>
      <c r="L36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6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66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66">
        <f t="shared" ca="1" si="63"/>
        <v>1298.7</v>
      </c>
      <c r="P366">
        <f t="shared" ca="1" si="64"/>
        <v>94718.61</v>
      </c>
      <c r="Q366">
        <f t="shared" ca="1" si="65"/>
        <v>5</v>
      </c>
      <c r="R366">
        <f ca="1">((Tabla2[[#This Row],[Fantasma Comunicación]]+1)/(Tabla2[[#This Row],[Fantasma Comunicación]]+RANDBETWEEN(0,5)+2))-0.5</f>
        <v>4.5454545454545414E-2</v>
      </c>
      <c r="S366">
        <f ca="1">1+MAX(0,Tabla2[[#This Row],[Deuda actual]]/Tabla2[[#This Row],[Liquidez]]+Tabla2[[#This Row],[Liquidez]]/(Tabla2[[#This Row],[Activos]]+Tabla2[[#This Row],[Liquidez]])+Tabla2[[#This Row],[Comunicación]])</f>
        <v>1.7888870615110914</v>
      </c>
      <c r="T366">
        <f ca="1">Tabla2[[#This Row],[Deuda actual]]*EXP(Tabla2[[#This Row],[Ki]]*Tabla2[[#This Row],[diferencia de días]])*(1+Tabla2[[#This Row],[Hg]])</f>
        <v>853.30764446387764</v>
      </c>
    </row>
    <row r="367" spans="1:20" ht="14.5" x14ac:dyDescent="0.35">
      <c r="A367">
        <f t="shared" si="55"/>
        <v>366</v>
      </c>
      <c r="B367">
        <f t="shared" ca="1" si="56"/>
        <v>46083</v>
      </c>
      <c r="C367">
        <f t="shared" ca="1" si="57"/>
        <v>46157</v>
      </c>
      <c r="D367">
        <f t="shared" ca="1" si="58"/>
        <v>23</v>
      </c>
      <c r="E367">
        <f t="shared" ca="1" si="59"/>
        <v>0.16072253534308512</v>
      </c>
      <c r="F367">
        <f t="shared" ca="1" si="60"/>
        <v>5851.64</v>
      </c>
      <c r="G367" t="str">
        <f t="shared" ca="1" si="61"/>
        <v>personal</v>
      </c>
      <c r="H36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67" t="str">
        <f t="shared" ca="1" si="62"/>
        <v>No</v>
      </c>
      <c r="J36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12000.535284923233</v>
      </c>
      <c r="K367" t="str">
        <f ca="1">IF(Tabla2[[#This Row],[¿cliente deuda abierta?]]="Sí", Tabla2[[#This Row],[Deuda actual]]*Tabla2[[#This Row],[diferencia de días]], "0")</f>
        <v>0</v>
      </c>
      <c r="L36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6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67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67">
        <f t="shared" ca="1" si="63"/>
        <v>1022.22</v>
      </c>
      <c r="P367">
        <f t="shared" ca="1" si="64"/>
        <v>74189.990000000005</v>
      </c>
      <c r="Q367">
        <f t="shared" ca="1" si="65"/>
        <v>1</v>
      </c>
      <c r="R367">
        <f ca="1">((Tabla2[[#This Row],[Fantasma Comunicación]]+1)/(Tabla2[[#This Row],[Fantasma Comunicación]]+RANDBETWEEN(0,5)+2))-0.5</f>
        <v>-0.25</v>
      </c>
      <c r="S367">
        <f ca="1">1+MAX(0,Tabla2[[#This Row],[Deuda actual]]/Tabla2[[#This Row],[Liquidez]]+Tabla2[[#This Row],[Liquidez]]/(Tabla2[[#This Row],[Activos]]+Tabla2[[#This Row],[Liquidez]])+Tabla2[[#This Row],[Comunicación]])</f>
        <v>6.4880340235338636</v>
      </c>
      <c r="T367">
        <f ca="1">Tabla2[[#This Row],[Deuda actual]]*EXP(Tabla2[[#This Row],[Ki]]*Tabla2[[#This Row],[diferencia de días]])*(1+Tabla2[[#This Row],[Hg]])</f>
        <v>5315.1511415295226</v>
      </c>
    </row>
    <row r="368" spans="1:20" ht="14.5" x14ac:dyDescent="0.35">
      <c r="A368">
        <f t="shared" si="55"/>
        <v>367</v>
      </c>
      <c r="B368">
        <f t="shared" ca="1" si="56"/>
        <v>46087</v>
      </c>
      <c r="C368">
        <f t="shared" ca="1" si="57"/>
        <v>46157</v>
      </c>
      <c r="D368">
        <f t="shared" ca="1" si="58"/>
        <v>10</v>
      </c>
      <c r="E368">
        <f t="shared" ca="1" si="59"/>
        <v>1.335147837794759E-2</v>
      </c>
      <c r="F368">
        <f t="shared" ca="1" si="60"/>
        <v>319.24</v>
      </c>
      <c r="G368" t="str">
        <f t="shared" ca="1" si="61"/>
        <v>personal</v>
      </c>
      <c r="H36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68" t="str">
        <f t="shared" ca="1" si="62"/>
        <v>No</v>
      </c>
      <c r="J36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11998.576193308376</v>
      </c>
      <c r="K368" t="str">
        <f ca="1">IF(Tabla2[[#This Row],[¿cliente deuda abierta?]]="Sí", Tabla2[[#This Row],[Deuda actual]]*Tabla2[[#This Row],[diferencia de días]], "0")</f>
        <v>0</v>
      </c>
      <c r="L36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6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6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68">
        <f t="shared" ca="1" si="63"/>
        <v>1583.75</v>
      </c>
      <c r="P368">
        <f t="shared" ca="1" si="64"/>
        <v>74994.86</v>
      </c>
      <c r="Q368">
        <f t="shared" ca="1" si="65"/>
        <v>4</v>
      </c>
      <c r="R368">
        <f ca="1">((Tabla2[[#This Row],[Fantasma Comunicación]]+1)/(Tabla2[[#This Row],[Fantasma Comunicación]]+RANDBETWEEN(0,5)+2))-0.5</f>
        <v>0</v>
      </c>
      <c r="S368">
        <f ca="1">1+MAX(0,Tabla2[[#This Row],[Deuda actual]]/Tabla2[[#This Row],[Liquidez]]+Tabla2[[#This Row],[Liquidez]]/(Tabla2[[#This Row],[Activos]]+Tabla2[[#This Row],[Liquidez]])+Tabla2[[#This Row],[Comunicación]])</f>
        <v>1.2222535804267818</v>
      </c>
      <c r="T368">
        <f ca="1">Tabla2[[#This Row],[Deuda actual]]*EXP(Tabla2[[#This Row],[Ki]]*Tabla2[[#This Row],[diferencia de días]])*(1+Tabla2[[#This Row],[Hg]])</f>
        <v>287.89120701527963</v>
      </c>
    </row>
    <row r="369" spans="1:20" ht="14.5" x14ac:dyDescent="0.35">
      <c r="A369">
        <f t="shared" si="55"/>
        <v>368</v>
      </c>
      <c r="B369">
        <f t="shared" ca="1" si="56"/>
        <v>46120</v>
      </c>
      <c r="C369">
        <f t="shared" ca="1" si="57"/>
        <v>46157</v>
      </c>
      <c r="D369">
        <f t="shared" ca="1" si="58"/>
        <v>9</v>
      </c>
      <c r="E369">
        <f t="shared" ca="1" si="59"/>
        <v>0.47486948880080093</v>
      </c>
      <c r="F369">
        <f t="shared" ca="1" si="60"/>
        <v>970.8</v>
      </c>
      <c r="G369" t="str">
        <f t="shared" ca="1" si="61"/>
        <v>hipotecario</v>
      </c>
      <c r="H36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69" t="str">
        <f t="shared" ca="1" si="62"/>
        <v>Sí</v>
      </c>
      <c r="J36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69">
        <f ca="1">IF(Tabla2[[#This Row],[¿cliente deuda abierta?]]="Sí", Tabla2[[#This Row],[Deuda actual]]*Tabla2[[#This Row],[diferencia de días]], "0")</f>
        <v>8737.1999999999989</v>
      </c>
      <c r="L36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6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6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69">
        <f t="shared" ca="1" si="63"/>
        <v>1207.6199999999999</v>
      </c>
      <c r="P369">
        <f t="shared" ca="1" si="64"/>
        <v>86214.03</v>
      </c>
      <c r="Q369">
        <f t="shared" ca="1" si="65"/>
        <v>3</v>
      </c>
      <c r="R369">
        <f ca="1">((Tabla2[[#This Row],[Fantasma Comunicación]]+1)/(Tabla2[[#This Row],[Fantasma Comunicación]]+RANDBETWEEN(0,5)+2))-0.5</f>
        <v>7.1428571428571397E-2</v>
      </c>
      <c r="S369">
        <f ca="1">1+MAX(0,Tabla2[[#This Row],[Deuda actual]]/Tabla2[[#This Row],[Liquidez]]+Tabla2[[#This Row],[Liquidez]]/(Tabla2[[#This Row],[Activos]]+Tabla2[[#This Row],[Liquidez]])+Tabla2[[#This Row],[Comunicación]])</f>
        <v>1.889137577142022</v>
      </c>
      <c r="T369">
        <f ca="1">Tabla2[[#This Row],[Deuda actual]]*EXP(Tabla2[[#This Row],[Ki]]*Tabla2[[#This Row],[diferencia de días]])*(1+Tabla2[[#This Row],[Hg]])</f>
        <v>1021.1764643220446</v>
      </c>
    </row>
    <row r="370" spans="1:20" ht="14.5" x14ac:dyDescent="0.35">
      <c r="A370">
        <f t="shared" si="55"/>
        <v>369</v>
      </c>
      <c r="B370">
        <f t="shared" ca="1" si="56"/>
        <v>46123</v>
      </c>
      <c r="C370">
        <f t="shared" ca="1" si="57"/>
        <v>46157</v>
      </c>
      <c r="D370">
        <f t="shared" ca="1" si="58"/>
        <v>3</v>
      </c>
      <c r="E370">
        <f t="shared" ca="1" si="59"/>
        <v>0.11233415736798569</v>
      </c>
      <c r="F370">
        <f t="shared" ca="1" si="60"/>
        <v>291.75</v>
      </c>
      <c r="G370" t="str">
        <f t="shared" ca="1" si="61"/>
        <v>personal</v>
      </c>
      <c r="H37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70" t="str">
        <f t="shared" ca="1" si="62"/>
        <v>Sí</v>
      </c>
      <c r="J37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70">
        <f ca="1">IF(Tabla2[[#This Row],[¿cliente deuda abierta?]]="Sí", Tabla2[[#This Row],[Deuda actual]]*Tabla2[[#This Row],[diferencia de días]], "0")</f>
        <v>875.25</v>
      </c>
      <c r="L37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7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7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70">
        <f t="shared" ca="1" si="63"/>
        <v>2568.8000000000002</v>
      </c>
      <c r="P370">
        <f t="shared" ca="1" si="64"/>
        <v>54726.04</v>
      </c>
      <c r="Q370">
        <f t="shared" ca="1" si="65"/>
        <v>4</v>
      </c>
      <c r="R370">
        <f ca="1">((Tabla2[[#This Row],[Fantasma Comunicación]]+1)/(Tabla2[[#This Row],[Fantasma Comunicación]]+RANDBETWEEN(0,5)+2))-0.5</f>
        <v>0.2142857142857143</v>
      </c>
      <c r="S370">
        <f ca="1">1+MAX(0,Tabla2[[#This Row],[Deuda actual]]/Tabla2[[#This Row],[Liquidez]]+Tabla2[[#This Row],[Liquidez]]/(Tabla2[[#This Row],[Activos]]+Tabla2[[#This Row],[Liquidez]])+Tabla2[[#This Row],[Comunicación]])</f>
        <v>1.3726948989343737</v>
      </c>
      <c r="T370">
        <f ca="1">Tabla2[[#This Row],[Deuda actual]]*EXP(Tabla2[[#This Row],[Ki]]*Tabla2[[#This Row],[diferencia de días]])*(1+Tabla2[[#This Row],[Hg]])</f>
        <v>306.52135765177979</v>
      </c>
    </row>
    <row r="371" spans="1:20" ht="14.5" x14ac:dyDescent="0.35">
      <c r="A371">
        <f t="shared" si="55"/>
        <v>370</v>
      </c>
      <c r="B371">
        <f t="shared" ca="1" si="56"/>
        <v>46083</v>
      </c>
      <c r="C371">
        <f t="shared" ca="1" si="57"/>
        <v>46157</v>
      </c>
      <c r="D371">
        <f t="shared" ca="1" si="58"/>
        <v>7</v>
      </c>
      <c r="E371">
        <f t="shared" ca="1" si="59"/>
        <v>0.21305848771882296</v>
      </c>
      <c r="F371">
        <f t="shared" ca="1" si="60"/>
        <v>10000</v>
      </c>
      <c r="G371" t="str">
        <f t="shared" ca="1" si="61"/>
        <v>personal</v>
      </c>
      <c r="H37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71" t="str">
        <f t="shared" ca="1" si="62"/>
        <v>Sí</v>
      </c>
      <c r="J37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71">
        <f ca="1">IF(Tabla2[[#This Row],[¿cliente deuda abierta?]]="Sí", Tabla2[[#This Row],[Deuda actual]]*Tabla2[[#This Row],[diferencia de días]], "0")</f>
        <v>70000</v>
      </c>
      <c r="L37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37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71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371">
        <f t="shared" ca="1" si="63"/>
        <v>1710.26</v>
      </c>
      <c r="P371">
        <f t="shared" ca="1" si="64"/>
        <v>105665.75</v>
      </c>
      <c r="Q371">
        <f t="shared" ca="1" si="65"/>
        <v>0</v>
      </c>
      <c r="R371">
        <f ca="1">((Tabla2[[#This Row],[Fantasma Comunicación]]+1)/(Tabla2[[#This Row],[Fantasma Comunicación]]+RANDBETWEEN(0,5)+2))-0.5</f>
        <v>-0.33333333333333337</v>
      </c>
      <c r="S371">
        <f ca="1">1+MAX(0,Tabla2[[#This Row],[Deuda actual]]/Tabla2[[#This Row],[Liquidez]]+Tabla2[[#This Row],[Liquidez]]/(Tabla2[[#This Row],[Activos]]+Tabla2[[#This Row],[Liquidez]])+Tabla2[[#This Row],[Comunicación]])</f>
        <v>6.5296586220978101</v>
      </c>
      <c r="T371">
        <f ca="1">Tabla2[[#This Row],[Deuda actual]]*EXP(Tabla2[[#This Row],[Ki]]*Tabla2[[#This Row],[diferencia de días]])*(1+Tabla2[[#This Row],[Hg]])</f>
        <v>11516.111275261173</v>
      </c>
    </row>
    <row r="372" spans="1:20" ht="14.5" x14ac:dyDescent="0.35">
      <c r="A372">
        <f t="shared" si="55"/>
        <v>371</v>
      </c>
      <c r="B372">
        <f t="shared" ca="1" si="56"/>
        <v>46100</v>
      </c>
      <c r="C372">
        <f t="shared" ca="1" si="57"/>
        <v>46157</v>
      </c>
      <c r="D372">
        <f t="shared" ca="1" si="58"/>
        <v>0</v>
      </c>
      <c r="E372">
        <f t="shared" ca="1" si="59"/>
        <v>0.49486420492302163</v>
      </c>
      <c r="F372">
        <f t="shared" ca="1" si="60"/>
        <v>688.73</v>
      </c>
      <c r="G372" t="str">
        <f t="shared" ca="1" si="61"/>
        <v>personal</v>
      </c>
      <c r="H37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72" t="str">
        <f t="shared" ca="1" si="62"/>
        <v>Sí</v>
      </c>
      <c r="J37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72">
        <f ca="1">IF(Tabla2[[#This Row],[¿cliente deuda abierta?]]="Sí", Tabla2[[#This Row],[Deuda actual]]*Tabla2[[#This Row],[diferencia de días]], "0")</f>
        <v>0</v>
      </c>
      <c r="L37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7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72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372">
        <f t="shared" ca="1" si="63"/>
        <v>1713.17</v>
      </c>
      <c r="P372">
        <f t="shared" ca="1" si="64"/>
        <v>41902.47</v>
      </c>
      <c r="Q372">
        <f t="shared" ca="1" si="65"/>
        <v>1</v>
      </c>
      <c r="R372">
        <f ca="1">((Tabla2[[#This Row],[Fantasma Comunicación]]+1)/(Tabla2[[#This Row],[Fantasma Comunicación]]+RANDBETWEEN(0,5)+2))-0.5</f>
        <v>-0.16666666666666669</v>
      </c>
      <c r="S372">
        <f ca="1">1+MAX(0,Tabla2[[#This Row],[Deuda actual]]/Tabla2[[#This Row],[Liquidez]]+Tabla2[[#This Row],[Liquidez]]/(Tabla2[[#This Row],[Activos]]+Tabla2[[#This Row],[Liquidez]])+Tabla2[[#This Row],[Comunicación]])</f>
        <v>1.2746329485373304</v>
      </c>
      <c r="T372">
        <f ca="1">Tabla2[[#This Row],[Deuda actual]]*EXP(Tabla2[[#This Row],[Ki]]*Tabla2[[#This Row],[diferencia de días]])*(1+Tabla2[[#This Row],[Hg]])</f>
        <v>688.73</v>
      </c>
    </row>
    <row r="373" spans="1:20" ht="14.5" x14ac:dyDescent="0.35">
      <c r="A373">
        <f t="shared" si="55"/>
        <v>372</v>
      </c>
      <c r="B373">
        <f t="shared" ca="1" si="56"/>
        <v>46087</v>
      </c>
      <c r="C373">
        <f t="shared" ca="1" si="57"/>
        <v>46157</v>
      </c>
      <c r="D373">
        <f t="shared" ca="1" si="58"/>
        <v>7</v>
      </c>
      <c r="E373">
        <f t="shared" ca="1" si="59"/>
        <v>0.67335254679080836</v>
      </c>
      <c r="F373">
        <f t="shared" ca="1" si="60"/>
        <v>1293.8900000000001</v>
      </c>
      <c r="G373" t="str">
        <f t="shared" ca="1" si="61"/>
        <v>hipotecario</v>
      </c>
      <c r="H37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73" t="str">
        <f t="shared" ca="1" si="62"/>
        <v>No</v>
      </c>
      <c r="J37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164999.34245175275</v>
      </c>
      <c r="K373" t="str">
        <f ca="1">IF(Tabla2[[#This Row],[¿cliente deuda abierta?]]="Sí", Tabla2[[#This Row],[Deuda actual]]*Tabla2[[#This Row],[diferencia de días]], "0")</f>
        <v>0</v>
      </c>
      <c r="L37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7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37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373">
        <f t="shared" ca="1" si="63"/>
        <v>1457.46</v>
      </c>
      <c r="P373">
        <f t="shared" ca="1" si="64"/>
        <v>101168.73</v>
      </c>
      <c r="Q373">
        <f t="shared" ca="1" si="65"/>
        <v>5</v>
      </c>
      <c r="R373">
        <f ca="1">((Tabla2[[#This Row],[Fantasma Comunicación]]+1)/(Tabla2[[#This Row],[Fantasma Comunicación]]+RANDBETWEEN(0,5)+2))-0.5</f>
        <v>0.3571428571428571</v>
      </c>
      <c r="S373">
        <f ca="1">1+MAX(0,Tabla2[[#This Row],[Deuda actual]]/Tabla2[[#This Row],[Liquidez]]+Tabla2[[#This Row],[Liquidez]]/(Tabla2[[#This Row],[Activos]]+Tabla2[[#This Row],[Liquidez]])+Tabla2[[#This Row],[Comunicación]])</f>
        <v>2.2591149999966929</v>
      </c>
      <c r="T373">
        <f ca="1">Tabla2[[#This Row],[Deuda actual]]*EXP(Tabla2[[#This Row],[Ki]]*Tabla2[[#This Row],[diferencia de días]])*(1+Tabla2[[#This Row],[Hg]])</f>
        <v>1036.5621716833173</v>
      </c>
    </row>
    <row r="374" spans="1:20" ht="14.5" x14ac:dyDescent="0.35">
      <c r="A374">
        <f t="shared" si="55"/>
        <v>373</v>
      </c>
      <c r="B374">
        <f t="shared" ca="1" si="56"/>
        <v>46136</v>
      </c>
      <c r="C374">
        <f t="shared" ca="1" si="57"/>
        <v>46157</v>
      </c>
      <c r="D374">
        <f t="shared" ca="1" si="58"/>
        <v>8</v>
      </c>
      <c r="E374">
        <f t="shared" ca="1" si="59"/>
        <v>0.34378831288180689</v>
      </c>
      <c r="F374">
        <f t="shared" ca="1" si="60"/>
        <v>1036.72</v>
      </c>
      <c r="G374" t="str">
        <f t="shared" ca="1" si="61"/>
        <v>hipotecario</v>
      </c>
      <c r="H37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74" t="str">
        <f t="shared" ca="1" si="62"/>
        <v>Sí</v>
      </c>
      <c r="J37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74">
        <f ca="1">IF(Tabla2[[#This Row],[¿cliente deuda abierta?]]="Sí", Tabla2[[#This Row],[Deuda actual]]*Tabla2[[#This Row],[diferencia de días]], "0")</f>
        <v>8293.76</v>
      </c>
      <c r="L37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7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7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74">
        <f t="shared" ca="1" si="63"/>
        <v>1534.41</v>
      </c>
      <c r="P374">
        <f t="shared" ca="1" si="64"/>
        <v>108579.89</v>
      </c>
      <c r="Q374">
        <f t="shared" ca="1" si="65"/>
        <v>2</v>
      </c>
      <c r="R374">
        <f ca="1">((Tabla2[[#This Row],[Fantasma Comunicación]]+1)/(Tabla2[[#This Row],[Fantasma Comunicación]]+RANDBETWEEN(0,5)+2))-0.5</f>
        <v>-0.125</v>
      </c>
      <c r="S374">
        <f ca="1">1+MAX(0,Tabla2[[#This Row],[Deuda actual]]/Tabla2[[#This Row],[Liquidez]]+Tabla2[[#This Row],[Liquidez]]/(Tabla2[[#This Row],[Activos]]+Tabla2[[#This Row],[Liquidez]])+Tabla2[[#This Row],[Comunicación]])</f>
        <v>1.5645820196054738</v>
      </c>
      <c r="T374">
        <f ca="1">Tabla2[[#This Row],[Deuda actual]]*EXP(Tabla2[[#This Row],[Ki]]*Tabla2[[#This Row],[diferencia de días]])*(1+Tabla2[[#This Row],[Hg]])</f>
        <v>1090.2990836950983</v>
      </c>
    </row>
    <row r="375" spans="1:20" ht="14.5" x14ac:dyDescent="0.35">
      <c r="A375">
        <f t="shared" si="55"/>
        <v>374</v>
      </c>
      <c r="B375">
        <f t="shared" ca="1" si="56"/>
        <v>46127</v>
      </c>
      <c r="C375">
        <f t="shared" ca="1" si="57"/>
        <v>46157</v>
      </c>
      <c r="D375">
        <f t="shared" ca="1" si="58"/>
        <v>7</v>
      </c>
      <c r="E375">
        <f t="shared" ca="1" si="59"/>
        <v>0.94014951590136941</v>
      </c>
      <c r="F375">
        <f t="shared" ca="1" si="60"/>
        <v>2370.73</v>
      </c>
      <c r="G375" t="str">
        <f t="shared" ca="1" si="61"/>
        <v>hipotecario</v>
      </c>
      <c r="H37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75" t="str">
        <f t="shared" ca="1" si="62"/>
        <v>Sí</v>
      </c>
      <c r="J37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75">
        <f ca="1">IF(Tabla2[[#This Row],[¿cliente deuda abierta?]]="Sí", Tabla2[[#This Row],[Deuda actual]]*Tabla2[[#This Row],[diferencia de días]], "0")</f>
        <v>16595.11</v>
      </c>
      <c r="L37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7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7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75">
        <f t="shared" ca="1" si="63"/>
        <v>1572.2</v>
      </c>
      <c r="P375">
        <f t="shared" ca="1" si="64"/>
        <v>41786.1</v>
      </c>
      <c r="Q375">
        <f t="shared" ca="1" si="65"/>
        <v>2</v>
      </c>
      <c r="R375">
        <f ca="1">((Tabla2[[#This Row],[Fantasma Comunicación]]+1)/(Tabla2[[#This Row],[Fantasma Comunicación]]+RANDBETWEEN(0,5)+2))-0.5</f>
        <v>0</v>
      </c>
      <c r="S375">
        <f ca="1">1+MAX(0,Tabla2[[#This Row],[Deuda actual]]/Tabla2[[#This Row],[Liquidez]]+Tabla2[[#This Row],[Liquidez]]/(Tabla2[[#This Row],[Activos]]+Tabla2[[#This Row],[Liquidez]])+Tabla2[[#This Row],[Comunicación]])</f>
        <v>2.5441667655648494</v>
      </c>
      <c r="T375">
        <f ca="1">Tabla2[[#This Row],[Deuda actual]]*EXP(Tabla2[[#This Row],[Ki]]*Tabla2[[#This Row],[diferencia de días]])*(1+Tabla2[[#This Row],[Hg]])</f>
        <v>2492.7539137199933</v>
      </c>
    </row>
    <row r="376" spans="1:20" ht="14.5" x14ac:dyDescent="0.35">
      <c r="A376">
        <f t="shared" si="55"/>
        <v>375</v>
      </c>
      <c r="B376">
        <f t="shared" ca="1" si="56"/>
        <v>46125</v>
      </c>
      <c r="C376">
        <f t="shared" ca="1" si="57"/>
        <v>46157</v>
      </c>
      <c r="D376">
        <f t="shared" ca="1" si="58"/>
        <v>13</v>
      </c>
      <c r="E376">
        <f t="shared" ca="1" si="59"/>
        <v>0.46917856702888738</v>
      </c>
      <c r="F376">
        <f t="shared" ca="1" si="60"/>
        <v>734.17</v>
      </c>
      <c r="G376" t="str">
        <f t="shared" ca="1" si="61"/>
        <v>hipotecario</v>
      </c>
      <c r="H37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76" t="str">
        <f t="shared" ca="1" si="62"/>
        <v>No</v>
      </c>
      <c r="J37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164998.75478514523</v>
      </c>
      <c r="K376" t="str">
        <f ca="1">IF(Tabla2[[#This Row],[¿cliente deuda abierta?]]="Sí", Tabla2[[#This Row],[Deuda actual]]*Tabla2[[#This Row],[diferencia de días]], "0")</f>
        <v>0</v>
      </c>
      <c r="L37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7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376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376">
        <f t="shared" ca="1" si="63"/>
        <v>1613.62</v>
      </c>
      <c r="P376">
        <f t="shared" ca="1" si="64"/>
        <v>472888.52</v>
      </c>
      <c r="Q376">
        <f t="shared" ca="1" si="65"/>
        <v>2</v>
      </c>
      <c r="R376">
        <f ca="1">((Tabla2[[#This Row],[Fantasma Comunicación]]+1)/(Tabla2[[#This Row],[Fantasma Comunicación]]+RANDBETWEEN(0,5)+2))-0.5</f>
        <v>-0.16666666666666669</v>
      </c>
      <c r="S376">
        <f ca="1">1+MAX(0,Tabla2[[#This Row],[Deuda actual]]/Tabla2[[#This Row],[Liquidez]]+Tabla2[[#This Row],[Liquidez]]/(Tabla2[[#This Row],[Activos]]+Tabla2[[#This Row],[Liquidez]])+Tabla2[[#This Row],[Comunicación]])</f>
        <v>1.2917171978539161</v>
      </c>
      <c r="T376">
        <f ca="1">Tabla2[[#This Row],[Deuda actual]]*EXP(Tabla2[[#This Row],[Ki]]*Tabla2[[#This Row],[diferencia de días]])*(1+Tabla2[[#This Row],[Hg]])</f>
        <v>588.86506051730191</v>
      </c>
    </row>
    <row r="377" spans="1:20" ht="14.5" x14ac:dyDescent="0.35">
      <c r="A377">
        <f t="shared" si="55"/>
        <v>376</v>
      </c>
      <c r="B377">
        <f t="shared" ca="1" si="56"/>
        <v>46112</v>
      </c>
      <c r="C377">
        <f t="shared" ca="1" si="57"/>
        <v>46157</v>
      </c>
      <c r="D377">
        <f t="shared" ca="1" si="58"/>
        <v>0</v>
      </c>
      <c r="E377">
        <f t="shared" ca="1" si="59"/>
        <v>0.75811706229792319</v>
      </c>
      <c r="F377">
        <f t="shared" ca="1" si="60"/>
        <v>261.8</v>
      </c>
      <c r="G377" t="str">
        <f t="shared" ca="1" si="61"/>
        <v>personal</v>
      </c>
      <c r="H37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77" t="str">
        <f t="shared" ca="1" si="62"/>
        <v>No</v>
      </c>
      <c r="J37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12000.556945536284</v>
      </c>
      <c r="K377" t="str">
        <f ca="1">IF(Tabla2[[#This Row],[¿cliente deuda abierta?]]="Sí", Tabla2[[#This Row],[Deuda actual]]*Tabla2[[#This Row],[diferencia de días]], "0")</f>
        <v>0</v>
      </c>
      <c r="L37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7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77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77">
        <f t="shared" ca="1" si="63"/>
        <v>1876.01</v>
      </c>
      <c r="P377">
        <f t="shared" ca="1" si="64"/>
        <v>148587.42000000001</v>
      </c>
      <c r="Q377">
        <f t="shared" ca="1" si="65"/>
        <v>2</v>
      </c>
      <c r="R377">
        <f ca="1">((Tabla2[[#This Row],[Fantasma Comunicación]]+1)/(Tabla2[[#This Row],[Fantasma Comunicación]]+RANDBETWEEN(0,5)+2))-0.5</f>
        <v>-7.1428571428571452E-2</v>
      </c>
      <c r="S377">
        <f ca="1">1+MAX(0,Tabla2[[#This Row],[Deuda actual]]/Tabla2[[#This Row],[Liquidez]]+Tabla2[[#This Row],[Liquidez]]/(Tabla2[[#This Row],[Activos]]+Tabla2[[#This Row],[Liquidez]])+Tabla2[[#This Row],[Comunicación]])</f>
        <v>1.0805911358750859</v>
      </c>
      <c r="T377">
        <f ca="1">Tabla2[[#This Row],[Deuda actual]]*EXP(Tabla2[[#This Row],[Ki]]*Tabla2[[#This Row],[diferencia de días]])*(1+Tabla2[[#This Row],[Hg]])</f>
        <v>235.62</v>
      </c>
    </row>
    <row r="378" spans="1:20" ht="14.5" x14ac:dyDescent="0.35">
      <c r="A378">
        <f t="shared" si="55"/>
        <v>377</v>
      </c>
      <c r="B378">
        <f t="shared" ca="1" si="56"/>
        <v>46100</v>
      </c>
      <c r="C378">
        <f t="shared" ca="1" si="57"/>
        <v>46157</v>
      </c>
      <c r="D378">
        <f t="shared" ca="1" si="58"/>
        <v>11</v>
      </c>
      <c r="E378">
        <f t="shared" ca="1" si="59"/>
        <v>0.78764965428361289</v>
      </c>
      <c r="F378">
        <f t="shared" ca="1" si="60"/>
        <v>814.86</v>
      </c>
      <c r="G378" t="str">
        <f t="shared" ca="1" si="61"/>
        <v>personal</v>
      </c>
      <c r="H37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78" t="str">
        <f t="shared" ca="1" si="62"/>
        <v>No</v>
      </c>
      <c r="J37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11998.243843100377</v>
      </c>
      <c r="K378" t="str">
        <f ca="1">IF(Tabla2[[#This Row],[¿cliente deuda abierta?]]="Sí", Tabla2[[#This Row],[Deuda actual]]*Tabla2[[#This Row],[diferencia de días]], "0")</f>
        <v>0</v>
      </c>
      <c r="L37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7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7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78">
        <f t="shared" ca="1" si="63"/>
        <v>1590.28</v>
      </c>
      <c r="P378">
        <f t="shared" ca="1" si="64"/>
        <v>1276257.99</v>
      </c>
      <c r="Q378">
        <f t="shared" ca="1" si="65"/>
        <v>1</v>
      </c>
      <c r="R378">
        <f ca="1">((Tabla2[[#This Row],[Fantasma Comunicación]]+1)/(Tabla2[[#This Row],[Fantasma Comunicación]]+RANDBETWEEN(0,5)+2))-0.5</f>
        <v>-0.2142857142857143</v>
      </c>
      <c r="S378">
        <f ca="1">1+MAX(0,Tabla2[[#This Row],[Deuda actual]]/Tabla2[[#This Row],[Liquidez]]+Tabla2[[#This Row],[Liquidez]]/(Tabla2[[#This Row],[Activos]]+Tabla2[[#This Row],[Liquidez]])+Tabla2[[#This Row],[Comunicación]])</f>
        <v>1.299359116031545</v>
      </c>
      <c r="T378">
        <f ca="1">Tabla2[[#This Row],[Deuda actual]]*EXP(Tabla2[[#This Row],[Ki]]*Tabla2[[#This Row],[diferencia de días]])*(1+Tabla2[[#This Row],[Hg]])</f>
        <v>734.9891988672905</v>
      </c>
    </row>
    <row r="379" spans="1:20" ht="14.5" x14ac:dyDescent="0.35">
      <c r="A379">
        <f t="shared" si="55"/>
        <v>378</v>
      </c>
      <c r="B379">
        <f t="shared" ca="1" si="56"/>
        <v>46085</v>
      </c>
      <c r="C379">
        <f t="shared" ca="1" si="57"/>
        <v>46157</v>
      </c>
      <c r="D379">
        <f t="shared" ca="1" si="58"/>
        <v>2</v>
      </c>
      <c r="E379">
        <f t="shared" ca="1" si="59"/>
        <v>0.52997544914376138</v>
      </c>
      <c r="F379">
        <f t="shared" ca="1" si="60"/>
        <v>628.41999999999996</v>
      </c>
      <c r="G379" t="str">
        <f t="shared" ca="1" si="61"/>
        <v>personal</v>
      </c>
      <c r="H37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79" t="str">
        <f t="shared" ca="1" si="62"/>
        <v>Sí</v>
      </c>
      <c r="J37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79">
        <f ca="1">IF(Tabla2[[#This Row],[¿cliente deuda abierta?]]="Sí", Tabla2[[#This Row],[Deuda actual]]*Tabla2[[#This Row],[diferencia de días]], "0")</f>
        <v>1256.8399999999999</v>
      </c>
      <c r="L37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7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7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79">
        <f t="shared" ca="1" si="63"/>
        <v>1208.9000000000001</v>
      </c>
      <c r="P379">
        <f t="shared" ca="1" si="64"/>
        <v>382843.13</v>
      </c>
      <c r="Q379">
        <f t="shared" ca="1" si="65"/>
        <v>1</v>
      </c>
      <c r="R379">
        <f ca="1">((Tabla2[[#This Row],[Fantasma Comunicación]]+1)/(Tabla2[[#This Row],[Fantasma Comunicación]]+RANDBETWEEN(0,5)+2))-0.5</f>
        <v>0.16666666666666663</v>
      </c>
      <c r="S379">
        <f ca="1">1+MAX(0,Tabla2[[#This Row],[Deuda actual]]/Tabla2[[#This Row],[Liquidez]]+Tabla2[[#This Row],[Liquidez]]/(Tabla2[[#This Row],[Activos]]+Tabla2[[#This Row],[Liquidez]])+Tabla2[[#This Row],[Comunicación]])</f>
        <v>1.68964236000407</v>
      </c>
      <c r="T379">
        <f ca="1">Tabla2[[#This Row],[Deuda actual]]*EXP(Tabla2[[#This Row],[Ki]]*Tabla2[[#This Row],[diferencia de días]])*(1+Tabla2[[#This Row],[Hg]])</f>
        <v>660.10498919431905</v>
      </c>
    </row>
    <row r="380" spans="1:20" ht="14.5" x14ac:dyDescent="0.35">
      <c r="A380">
        <f t="shared" si="55"/>
        <v>379</v>
      </c>
      <c r="B380">
        <f t="shared" ca="1" si="56"/>
        <v>46139</v>
      </c>
      <c r="C380">
        <f t="shared" ca="1" si="57"/>
        <v>46157</v>
      </c>
      <c r="D380">
        <f t="shared" ca="1" si="58"/>
        <v>34</v>
      </c>
      <c r="E380">
        <f t="shared" ca="1" si="59"/>
        <v>0.667205117571947</v>
      </c>
      <c r="F380">
        <f t="shared" ca="1" si="60"/>
        <v>2626.86</v>
      </c>
      <c r="G380" t="str">
        <f t="shared" ca="1" si="61"/>
        <v>personal</v>
      </c>
      <c r="H38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380" t="str">
        <f t="shared" ca="1" si="62"/>
        <v>No</v>
      </c>
      <c r="J38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12001.249853105917</v>
      </c>
      <c r="K380" t="str">
        <f ca="1">IF(Tabla2[[#This Row],[¿cliente deuda abierta?]]="Sí", Tabla2[[#This Row],[Deuda actual]]*Tabla2[[#This Row],[diferencia de días]], "0")</f>
        <v>0</v>
      </c>
      <c r="L38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8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80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80">
        <f t="shared" ca="1" si="63"/>
        <v>2070.4299999999998</v>
      </c>
      <c r="P380">
        <f t="shared" ca="1" si="64"/>
        <v>103909.9</v>
      </c>
      <c r="Q380">
        <f t="shared" ca="1" si="65"/>
        <v>4</v>
      </c>
      <c r="R380">
        <f ca="1">((Tabla2[[#This Row],[Fantasma Comunicación]]+1)/(Tabla2[[#This Row],[Fantasma Comunicación]]+RANDBETWEEN(0,5)+2))-0.5</f>
        <v>5.555555555555558E-2</v>
      </c>
      <c r="S380">
        <f ca="1">1+MAX(0,Tabla2[[#This Row],[Deuda actual]]/Tabla2[[#This Row],[Liquidez]]+Tabla2[[#This Row],[Liquidez]]/(Tabla2[[#This Row],[Activos]]+Tabla2[[#This Row],[Liquidez]])+Tabla2[[#This Row],[Comunicación]])</f>
        <v>2.3438424750571567</v>
      </c>
      <c r="T380">
        <f ca="1">Tabla2[[#This Row],[Deuda actual]]*EXP(Tabla2[[#This Row],[Ki]]*Tabla2[[#This Row],[diferencia de días]])*(1+Tabla2[[#This Row],[Hg]])</f>
        <v>2445.9380280268419</v>
      </c>
    </row>
    <row r="381" spans="1:20" ht="14.5" x14ac:dyDescent="0.35">
      <c r="A381">
        <f t="shared" si="55"/>
        <v>380</v>
      </c>
      <c r="B381">
        <f t="shared" ca="1" si="56"/>
        <v>46086</v>
      </c>
      <c r="C381">
        <f t="shared" ca="1" si="57"/>
        <v>46157</v>
      </c>
      <c r="D381">
        <f t="shared" ca="1" si="58"/>
        <v>23</v>
      </c>
      <c r="E381">
        <f t="shared" ca="1" si="59"/>
        <v>0.61876533267207212</v>
      </c>
      <c r="F381">
        <f t="shared" ca="1" si="60"/>
        <v>131.56</v>
      </c>
      <c r="G381" t="str">
        <f t="shared" ca="1" si="61"/>
        <v>personal</v>
      </c>
      <c r="H38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81" t="str">
        <f t="shared" ca="1" si="62"/>
        <v>Sí</v>
      </c>
      <c r="J38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81">
        <f ca="1">IF(Tabla2[[#This Row],[¿cliente deuda abierta?]]="Sí", Tabla2[[#This Row],[Deuda actual]]*Tabla2[[#This Row],[diferencia de días]], "0")</f>
        <v>3025.88</v>
      </c>
      <c r="L38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8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8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81">
        <f t="shared" ca="1" si="63"/>
        <v>1465.07</v>
      </c>
      <c r="P381">
        <f t="shared" ca="1" si="64"/>
        <v>65043.92</v>
      </c>
      <c r="Q381">
        <f t="shared" ca="1" si="65"/>
        <v>3</v>
      </c>
      <c r="R381">
        <f ca="1">((Tabla2[[#This Row],[Fantasma Comunicación]]+1)/(Tabla2[[#This Row],[Fantasma Comunicación]]+RANDBETWEEN(0,5)+2))-0.5</f>
        <v>0</v>
      </c>
      <c r="S381">
        <f ca="1">1+MAX(0,Tabla2[[#This Row],[Deuda actual]]/Tabla2[[#This Row],[Liquidez]]+Tabla2[[#This Row],[Liquidez]]/(Tabla2[[#This Row],[Activos]]+Tabla2[[#This Row],[Liquidez]])+Tabla2[[#This Row],[Comunicación]])</f>
        <v>1.1118259069824417</v>
      </c>
      <c r="T381">
        <f ca="1">Tabla2[[#This Row],[Deuda actual]]*EXP(Tabla2[[#This Row],[Ki]]*Tabla2[[#This Row],[diferencia de días]])*(1+Tabla2[[#This Row],[Hg]])</f>
        <v>139.41473356920361</v>
      </c>
    </row>
    <row r="382" spans="1:20" ht="14.5" x14ac:dyDescent="0.35">
      <c r="A382">
        <f t="shared" si="55"/>
        <v>381</v>
      </c>
      <c r="B382">
        <f t="shared" ca="1" si="56"/>
        <v>46084</v>
      </c>
      <c r="C382">
        <f t="shared" ca="1" si="57"/>
        <v>46157</v>
      </c>
      <c r="D382">
        <f t="shared" ca="1" si="58"/>
        <v>25</v>
      </c>
      <c r="E382">
        <f t="shared" ca="1" si="59"/>
        <v>0.62631870103195952</v>
      </c>
      <c r="F382">
        <f t="shared" ca="1" si="60"/>
        <v>653.92999999999995</v>
      </c>
      <c r="G382" t="str">
        <f t="shared" ca="1" si="61"/>
        <v>hipotecario</v>
      </c>
      <c r="H38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82" t="str">
        <f t="shared" ca="1" si="62"/>
        <v>Sí</v>
      </c>
      <c r="J38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82">
        <f ca="1">IF(Tabla2[[#This Row],[¿cliente deuda abierta?]]="Sí", Tabla2[[#This Row],[Deuda actual]]*Tabla2[[#This Row],[diferencia de días]], "0")</f>
        <v>16348.249999999998</v>
      </c>
      <c r="L38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8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8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82">
        <f t="shared" ca="1" si="63"/>
        <v>2444.9299999999998</v>
      </c>
      <c r="P382">
        <f t="shared" ca="1" si="64"/>
        <v>109025.85</v>
      </c>
      <c r="Q382">
        <f t="shared" ca="1" si="65"/>
        <v>0</v>
      </c>
      <c r="R382">
        <f ca="1">((Tabla2[[#This Row],[Fantasma Comunicación]]+1)/(Tabla2[[#This Row],[Fantasma Comunicación]]+RANDBETWEEN(0,5)+2))-0.5</f>
        <v>-0.35714285714285715</v>
      </c>
      <c r="S382">
        <f ca="1">1+MAX(0,Tabla2[[#This Row],[Deuda actual]]/Tabla2[[#This Row],[Liquidez]]+Tabla2[[#This Row],[Liquidez]]/(Tabla2[[#This Row],[Activos]]+Tabla2[[#This Row],[Liquidez]])+Tabla2[[#This Row],[Comunicación]])</f>
        <v>1</v>
      </c>
      <c r="T382">
        <f ca="1">Tabla2[[#This Row],[Deuda actual]]*EXP(Tabla2[[#This Row],[Ki]]*Tabla2[[#This Row],[diferencia de días]])*(1+Tabla2[[#This Row],[Hg]])</f>
        <v>693.52721104941736</v>
      </c>
    </row>
    <row r="383" spans="1:20" ht="14.5" x14ac:dyDescent="0.35">
      <c r="A383">
        <f t="shared" si="55"/>
        <v>382</v>
      </c>
      <c r="B383">
        <f t="shared" ca="1" si="56"/>
        <v>46124</v>
      </c>
      <c r="C383">
        <f t="shared" ca="1" si="57"/>
        <v>46157</v>
      </c>
      <c r="D383">
        <f t="shared" ca="1" si="58"/>
        <v>6</v>
      </c>
      <c r="E383">
        <f t="shared" ca="1" si="59"/>
        <v>7.4125802064090474E-2</v>
      </c>
      <c r="F383">
        <f t="shared" ca="1" si="60"/>
        <v>1967.67</v>
      </c>
      <c r="G383" t="str">
        <f t="shared" ca="1" si="61"/>
        <v>personal</v>
      </c>
      <c r="H38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83" t="str">
        <f t="shared" ca="1" si="62"/>
        <v>No</v>
      </c>
      <c r="J38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12000.243163984707</v>
      </c>
      <c r="K383" t="str">
        <f ca="1">IF(Tabla2[[#This Row],[¿cliente deuda abierta?]]="Sí", Tabla2[[#This Row],[Deuda actual]]*Tabla2[[#This Row],[diferencia de días]], "0")</f>
        <v>0</v>
      </c>
      <c r="L38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8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8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83">
        <f t="shared" ca="1" si="63"/>
        <v>2048.4</v>
      </c>
      <c r="P383">
        <f t="shared" ca="1" si="64"/>
        <v>186513.7</v>
      </c>
      <c r="Q383">
        <f t="shared" ca="1" si="65"/>
        <v>4</v>
      </c>
      <c r="R383">
        <f ca="1">((Tabla2[[#This Row],[Fantasma Comunicación]]+1)/(Tabla2[[#This Row],[Fantasma Comunicación]]+RANDBETWEEN(0,5)+2))-0.5</f>
        <v>0</v>
      </c>
      <c r="S383">
        <f ca="1">1+MAX(0,Tabla2[[#This Row],[Deuda actual]]/Tabla2[[#This Row],[Liquidez]]+Tabla2[[#This Row],[Liquidez]]/(Tabla2[[#This Row],[Activos]]+Tabla2[[#This Row],[Liquidez]])+Tabla2[[#This Row],[Comunicación]])</f>
        <v>1.9714520168719756</v>
      </c>
      <c r="T383">
        <f ca="1">Tabla2[[#This Row],[Deuda actual]]*EXP(Tabla2[[#This Row],[Ki]]*Tabla2[[#This Row],[diferencia de días]])*(1+Tabla2[[#This Row],[Hg]])</f>
        <v>1773.0293591603331</v>
      </c>
    </row>
    <row r="384" spans="1:20" ht="14.5" x14ac:dyDescent="0.35">
      <c r="A384">
        <f t="shared" si="55"/>
        <v>383</v>
      </c>
      <c r="B384">
        <f t="shared" ca="1" si="56"/>
        <v>46115</v>
      </c>
      <c r="C384">
        <f t="shared" ca="1" si="57"/>
        <v>46157</v>
      </c>
      <c r="D384">
        <f t="shared" ca="1" si="58"/>
        <v>20</v>
      </c>
      <c r="E384">
        <f t="shared" ca="1" si="59"/>
        <v>9.1259823782139482E-2</v>
      </c>
      <c r="F384">
        <f t="shared" ca="1" si="60"/>
        <v>2375.58</v>
      </c>
      <c r="G384" t="str">
        <f t="shared" ca="1" si="61"/>
        <v>hipotecario</v>
      </c>
      <c r="H38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84" t="str">
        <f t="shared" ca="1" si="62"/>
        <v>Sí</v>
      </c>
      <c r="J38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84">
        <f ca="1">IF(Tabla2[[#This Row],[¿cliente deuda abierta?]]="Sí", Tabla2[[#This Row],[Deuda actual]]*Tabla2[[#This Row],[diferencia de días]], "0")</f>
        <v>47511.6</v>
      </c>
      <c r="L38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38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84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384">
        <f t="shared" ca="1" si="63"/>
        <v>1235.3699999999999</v>
      </c>
      <c r="P384">
        <f t="shared" ca="1" si="64"/>
        <v>108617.25</v>
      </c>
      <c r="Q384">
        <f t="shared" ca="1" si="65"/>
        <v>0</v>
      </c>
      <c r="R384">
        <f ca="1">((Tabla2[[#This Row],[Fantasma Comunicación]]+1)/(Tabla2[[#This Row],[Fantasma Comunicación]]+RANDBETWEEN(0,5)+2))-0.5</f>
        <v>-0.16666666666666669</v>
      </c>
      <c r="S384">
        <f ca="1">1+MAX(0,Tabla2[[#This Row],[Deuda actual]]/Tabla2[[#This Row],[Liquidez]]+Tabla2[[#This Row],[Liquidez]]/(Tabla2[[#This Row],[Activos]]+Tabla2[[#This Row],[Liquidez]])+Tabla2[[#This Row],[Comunicación]])</f>
        <v>2.767549482996237</v>
      </c>
      <c r="T384">
        <f ca="1">Tabla2[[#This Row],[Deuda actual]]*EXP(Tabla2[[#This Row],[Ki]]*Tabla2[[#This Row],[diferencia de días]])*(1+Tabla2[[#This Row],[Hg]])</f>
        <v>2634.1269478504664</v>
      </c>
    </row>
    <row r="385" spans="1:20" ht="14.5" x14ac:dyDescent="0.35">
      <c r="A385">
        <f t="shared" si="55"/>
        <v>384</v>
      </c>
      <c r="B385">
        <f t="shared" ca="1" si="56"/>
        <v>46104</v>
      </c>
      <c r="C385">
        <f t="shared" ca="1" si="57"/>
        <v>46157</v>
      </c>
      <c r="D385">
        <f t="shared" ca="1" si="58"/>
        <v>7</v>
      </c>
      <c r="E385">
        <f t="shared" ca="1" si="59"/>
        <v>2.3768961504505581E-3</v>
      </c>
      <c r="F385">
        <f t="shared" ca="1" si="60"/>
        <v>9277.06</v>
      </c>
      <c r="G385" t="str">
        <f t="shared" ca="1" si="61"/>
        <v>hipotecario</v>
      </c>
      <c r="H38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85" t="str">
        <f t="shared" ca="1" si="62"/>
        <v>Sí</v>
      </c>
      <c r="J38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85">
        <f ca="1">IF(Tabla2[[#This Row],[¿cliente deuda abierta?]]="Sí", Tabla2[[#This Row],[Deuda actual]]*Tabla2[[#This Row],[diferencia de días]], "0")</f>
        <v>64939.42</v>
      </c>
      <c r="L38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38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85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385">
        <f t="shared" ca="1" si="63"/>
        <v>2035.33</v>
      </c>
      <c r="P385">
        <f t="shared" ca="1" si="64"/>
        <v>188956.65</v>
      </c>
      <c r="Q385">
        <f t="shared" ca="1" si="65"/>
        <v>0</v>
      </c>
      <c r="R385">
        <f ca="1">((Tabla2[[#This Row],[Fantasma Comunicación]]+1)/(Tabla2[[#This Row],[Fantasma Comunicación]]+RANDBETWEEN(0,5)+2))-0.5</f>
        <v>0</v>
      </c>
      <c r="S385">
        <f ca="1">1+MAX(0,Tabla2[[#This Row],[Deuda actual]]/Tabla2[[#This Row],[Liquidez]]+Tabla2[[#This Row],[Liquidez]]/(Tabla2[[#This Row],[Activos]]+Tabla2[[#This Row],[Liquidez]])+Tabla2[[#This Row],[Comunicación]])</f>
        <v>5.5686693310335009</v>
      </c>
      <c r="T385">
        <f ca="1">Tabla2[[#This Row],[Deuda actual]]*EXP(Tabla2[[#This Row],[Ki]]*Tabla2[[#This Row],[diferencia de días]])*(1+Tabla2[[#This Row],[Hg]])</f>
        <v>10683.565526727443</v>
      </c>
    </row>
    <row r="386" spans="1:20" ht="14.5" x14ac:dyDescent="0.35">
      <c r="A386">
        <f t="shared" ref="A386:A449" si="66">A385+1</f>
        <v>385</v>
      </c>
      <c r="B386">
        <f t="shared" ref="B386:B449" ca="1" si="67">RANDBETWEEN(DATE(2026,3,1), DATE(2026,5,1))</f>
        <v>46092</v>
      </c>
      <c r="C386">
        <f t="shared" ref="C386:C449" ca="1" si="68">TODAY()</f>
        <v>46157</v>
      </c>
      <c r="D386">
        <f t="shared" ref="D386:D449" ca="1" si="69">ROUND((-(15) * LN(RAND())),0)</f>
        <v>11</v>
      </c>
      <c r="E386">
        <f t="shared" ref="E386:E449" ca="1" si="70">RAND()</f>
        <v>0.8712949398385379</v>
      </c>
      <c r="F386">
        <f t="shared" ref="F386:F449" ca="1" si="71">ROUND(MIN(10000, _xlfn.LOGNORM.INV(RAND(), 69/10, 13/10)),2)</f>
        <v>4686.1499999999996</v>
      </c>
      <c r="G386" t="str">
        <f t="shared" ref="G386:G449" ca="1" si="72">IF(RAND()&lt;=0.5,"personal","hipotecario")</f>
        <v>personal</v>
      </c>
      <c r="H38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86" t="str">
        <f t="shared" ref="I386:I449" ca="1" si="73">IF(RAND()&lt;=0.65, "Sí", "No")</f>
        <v>Sí</v>
      </c>
      <c r="J38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86">
        <f ca="1">IF(Tabla2[[#This Row],[¿cliente deuda abierta?]]="Sí", Tabla2[[#This Row],[Deuda actual]]*Tabla2[[#This Row],[diferencia de días]], "0")</f>
        <v>51547.649999999994</v>
      </c>
      <c r="L38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38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86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386">
        <f t="shared" ref="O386:O449" ca="1" si="74">ROUND(1000*(_xlfn.LOGNORM.INV(RAND(), 0.5, 0.2)),2)</f>
        <v>1317.54</v>
      </c>
      <c r="P386">
        <f t="shared" ref="P386:P449" ca="1" si="75">ROUND(50000*(_xlfn.LOGNORM.INV(RAND(), 1, 0.75)),2)</f>
        <v>43676.12</v>
      </c>
      <c r="Q386">
        <f t="shared" ref="Q386:Q449" ca="1" si="76">RANDBETWEEN(0,5)</f>
        <v>2</v>
      </c>
      <c r="R386">
        <f ca="1">((Tabla2[[#This Row],[Fantasma Comunicación]]+1)/(Tabla2[[#This Row],[Fantasma Comunicación]]+RANDBETWEEN(0,5)+2))-0.5</f>
        <v>0</v>
      </c>
      <c r="S386">
        <f ca="1">1+MAX(0,Tabla2[[#This Row],[Deuda actual]]/Tabla2[[#This Row],[Liquidez]]+Tabla2[[#This Row],[Liquidez]]/(Tabla2[[#This Row],[Activos]]+Tabla2[[#This Row],[Liquidez]])+Tabla2[[#This Row],[Comunicación]])</f>
        <v>4.5860249025831976</v>
      </c>
      <c r="T386">
        <f ca="1">Tabla2[[#This Row],[Deuda actual]]*EXP(Tabla2[[#This Row],[Ki]]*Tabla2[[#This Row],[diferencia de días]])*(1+Tabla2[[#This Row],[Hg]])</f>
        <v>5166.1179666843227</v>
      </c>
    </row>
    <row r="387" spans="1:20" ht="14.5" x14ac:dyDescent="0.35">
      <c r="A387">
        <f t="shared" si="66"/>
        <v>386</v>
      </c>
      <c r="B387">
        <f t="shared" ca="1" si="67"/>
        <v>46100</v>
      </c>
      <c r="C387">
        <f t="shared" ca="1" si="68"/>
        <v>46157</v>
      </c>
      <c r="D387">
        <f t="shared" ca="1" si="69"/>
        <v>35</v>
      </c>
      <c r="E387">
        <f t="shared" ca="1" si="70"/>
        <v>0.56363967773841506</v>
      </c>
      <c r="F387">
        <f t="shared" ca="1" si="71"/>
        <v>6943.43</v>
      </c>
      <c r="G387" t="str">
        <f t="shared" ca="1" si="72"/>
        <v>hipotecario</v>
      </c>
      <c r="H38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387" t="str">
        <f t="shared" ca="1" si="73"/>
        <v>No</v>
      </c>
      <c r="J38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165000.42374479756</v>
      </c>
      <c r="K387" t="str">
        <f ca="1">IF(Tabla2[[#This Row],[¿cliente deuda abierta?]]="Sí", Tabla2[[#This Row],[Deuda actual]]*Tabla2[[#This Row],[diferencia de días]], "0")</f>
        <v>0</v>
      </c>
      <c r="L38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8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38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387">
        <f t="shared" ca="1" si="74"/>
        <v>1612.74</v>
      </c>
      <c r="P387">
        <f t="shared" ca="1" si="75"/>
        <v>157591.73000000001</v>
      </c>
      <c r="Q387">
        <f t="shared" ca="1" si="76"/>
        <v>0</v>
      </c>
      <c r="R387">
        <f ca="1">((Tabla2[[#This Row],[Fantasma Comunicación]]+1)/(Tabla2[[#This Row],[Fantasma Comunicación]]+RANDBETWEEN(0,5)+2))-0.5</f>
        <v>-0.25</v>
      </c>
      <c r="S387">
        <f ca="1">1+MAX(0,Tabla2[[#This Row],[Deuda actual]]/Tabla2[[#This Row],[Liquidez]]+Tabla2[[#This Row],[Liquidez]]/(Tabla2[[#This Row],[Activos]]+Tabla2[[#This Row],[Liquidez]])+Tabla2[[#This Row],[Comunicación]])</f>
        <v>5.0654922946181449</v>
      </c>
      <c r="T387">
        <f ca="1">Tabla2[[#This Row],[Deuda actual]]*EXP(Tabla2[[#This Row],[Ki]]*Tabla2[[#This Row],[diferencia de días]])*(1+Tabla2[[#This Row],[Hg]])</f>
        <v>5752.6023637364551</v>
      </c>
    </row>
    <row r="388" spans="1:20" ht="14.5" x14ac:dyDescent="0.35">
      <c r="A388">
        <f t="shared" si="66"/>
        <v>387</v>
      </c>
      <c r="B388">
        <f t="shared" ca="1" si="67"/>
        <v>46128</v>
      </c>
      <c r="C388">
        <f t="shared" ca="1" si="68"/>
        <v>46157</v>
      </c>
      <c r="D388">
        <f t="shared" ca="1" si="69"/>
        <v>31</v>
      </c>
      <c r="E388">
        <f t="shared" ca="1" si="70"/>
        <v>0.62405994605538495</v>
      </c>
      <c r="F388">
        <f t="shared" ca="1" si="71"/>
        <v>10000</v>
      </c>
      <c r="G388" t="str">
        <f t="shared" ca="1" si="72"/>
        <v>personal</v>
      </c>
      <c r="H38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388" t="str">
        <f t="shared" ca="1" si="73"/>
        <v>No</v>
      </c>
      <c r="J38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11999.790360650873</v>
      </c>
      <c r="K388" t="str">
        <f ca="1">IF(Tabla2[[#This Row],[¿cliente deuda abierta?]]="Sí", Tabla2[[#This Row],[Deuda actual]]*Tabla2[[#This Row],[diferencia de días]], "0")</f>
        <v>0</v>
      </c>
      <c r="L38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8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8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88">
        <f t="shared" ca="1" si="74"/>
        <v>2164.58</v>
      </c>
      <c r="P388">
        <f t="shared" ca="1" si="75"/>
        <v>82862.37</v>
      </c>
      <c r="Q388">
        <f t="shared" ca="1" si="76"/>
        <v>4</v>
      </c>
      <c r="R388">
        <f ca="1">((Tabla2[[#This Row],[Fantasma Comunicación]]+1)/(Tabla2[[#This Row],[Fantasma Comunicación]]+RANDBETWEEN(0,5)+2))-0.5</f>
        <v>0.2142857142857143</v>
      </c>
      <c r="S388">
        <f ca="1">1+MAX(0,Tabla2[[#This Row],[Deuda actual]]/Tabla2[[#This Row],[Liquidez]]+Tabla2[[#This Row],[Liquidez]]/(Tabla2[[#This Row],[Activos]]+Tabla2[[#This Row],[Liquidez]])+Tabla2[[#This Row],[Comunicación]])</f>
        <v>5.8595771605696045</v>
      </c>
      <c r="T388">
        <f ca="1">Tabla2[[#This Row],[Deuda actual]]*EXP(Tabla2[[#This Row],[Ki]]*Tabla2[[#This Row],[diferencia de días]])*(1+Tabla2[[#This Row],[Hg]])</f>
        <v>9283.3695349787049</v>
      </c>
    </row>
    <row r="389" spans="1:20" ht="14.5" x14ac:dyDescent="0.35">
      <c r="A389">
        <f t="shared" si="66"/>
        <v>388</v>
      </c>
      <c r="B389">
        <f t="shared" ca="1" si="67"/>
        <v>46108</v>
      </c>
      <c r="C389">
        <f t="shared" ca="1" si="68"/>
        <v>46157</v>
      </c>
      <c r="D389">
        <f t="shared" ca="1" si="69"/>
        <v>7</v>
      </c>
      <c r="E389">
        <f t="shared" ca="1" si="70"/>
        <v>0.66229946072955392</v>
      </c>
      <c r="F389">
        <f t="shared" ca="1" si="71"/>
        <v>1764.88</v>
      </c>
      <c r="G389" t="str">
        <f t="shared" ca="1" si="72"/>
        <v>hipotecario</v>
      </c>
      <c r="H38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89" t="str">
        <f t="shared" ca="1" si="73"/>
        <v>Sí</v>
      </c>
      <c r="J38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89">
        <f ca="1">IF(Tabla2[[#This Row],[¿cliente deuda abierta?]]="Sí", Tabla2[[#This Row],[Deuda actual]]*Tabla2[[#This Row],[diferencia de días]], "0")</f>
        <v>12354.16</v>
      </c>
      <c r="L38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8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8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89">
        <f t="shared" ca="1" si="74"/>
        <v>1301.32</v>
      </c>
      <c r="P389">
        <f t="shared" ca="1" si="75"/>
        <v>414466.24</v>
      </c>
      <c r="Q389">
        <f t="shared" ca="1" si="76"/>
        <v>1</v>
      </c>
      <c r="R389">
        <f ca="1">((Tabla2[[#This Row],[Fantasma Comunicación]]+1)/(Tabla2[[#This Row],[Fantasma Comunicación]]+RANDBETWEEN(0,5)+2))-0.5</f>
        <v>-0.2142857142857143</v>
      </c>
      <c r="S389">
        <f ca="1">1+MAX(0,Tabla2[[#This Row],[Deuda actual]]/Tabla2[[#This Row],[Liquidez]]+Tabla2[[#This Row],[Liquidez]]/(Tabla2[[#This Row],[Activos]]+Tabla2[[#This Row],[Liquidez]])+Tabla2[[#This Row],[Comunicación]])</f>
        <v>2.1450671197550832</v>
      </c>
      <c r="T389">
        <f ca="1">Tabla2[[#This Row],[Deuda actual]]*EXP(Tabla2[[#This Row],[Ki]]*Tabla2[[#This Row],[diferencia de días]])*(1+Tabla2[[#This Row],[Hg]])</f>
        <v>1855.7201905093125</v>
      </c>
    </row>
    <row r="390" spans="1:20" ht="14.5" x14ac:dyDescent="0.35">
      <c r="A390">
        <f t="shared" si="66"/>
        <v>389</v>
      </c>
      <c r="B390">
        <f t="shared" ca="1" si="67"/>
        <v>46087</v>
      </c>
      <c r="C390">
        <f t="shared" ca="1" si="68"/>
        <v>46157</v>
      </c>
      <c r="D390">
        <f t="shared" ca="1" si="69"/>
        <v>15</v>
      </c>
      <c r="E390">
        <f t="shared" ca="1" si="70"/>
        <v>0.76737080716283768</v>
      </c>
      <c r="F390">
        <f t="shared" ca="1" si="71"/>
        <v>186.82</v>
      </c>
      <c r="G390" t="str">
        <f t="shared" ca="1" si="72"/>
        <v>personal</v>
      </c>
      <c r="H39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90" t="str">
        <f t="shared" ca="1" si="73"/>
        <v>No</v>
      </c>
      <c r="J39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12000.54269372467</v>
      </c>
      <c r="K390" t="str">
        <f ca="1">IF(Tabla2[[#This Row],[¿cliente deuda abierta?]]="Sí", Tabla2[[#This Row],[Deuda actual]]*Tabla2[[#This Row],[diferencia de días]], "0")</f>
        <v>0</v>
      </c>
      <c r="L39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9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90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90">
        <f t="shared" ca="1" si="74"/>
        <v>1454.87</v>
      </c>
      <c r="P390">
        <f t="shared" ca="1" si="75"/>
        <v>105543.9</v>
      </c>
      <c r="Q390">
        <f t="shared" ca="1" si="76"/>
        <v>0</v>
      </c>
      <c r="R390">
        <f ca="1">((Tabla2[[#This Row],[Fantasma Comunicación]]+1)/(Tabla2[[#This Row],[Fantasma Comunicación]]+RANDBETWEEN(0,5)+2))-0.5</f>
        <v>0</v>
      </c>
      <c r="S390">
        <f ca="1">1+MAX(0,Tabla2[[#This Row],[Deuda actual]]/Tabla2[[#This Row],[Liquidez]]+Tabla2[[#This Row],[Liquidez]]/(Tabla2[[#This Row],[Activos]]+Tabla2[[#This Row],[Liquidez]])+Tabla2[[#This Row],[Comunicación]])</f>
        <v>1.1420071706874158</v>
      </c>
      <c r="T390">
        <f ca="1">Tabla2[[#This Row],[Deuda actual]]*EXP(Tabla2[[#This Row],[Ki]]*Tabla2[[#This Row],[diferencia de días]])*(1+Tabla2[[#This Row],[Hg]])</f>
        <v>169.14986054605836</v>
      </c>
    </row>
    <row r="391" spans="1:20" ht="14.5" x14ac:dyDescent="0.35">
      <c r="A391">
        <f t="shared" si="66"/>
        <v>390</v>
      </c>
      <c r="B391">
        <f t="shared" ca="1" si="67"/>
        <v>46082</v>
      </c>
      <c r="C391">
        <f t="shared" ca="1" si="68"/>
        <v>46157</v>
      </c>
      <c r="D391">
        <f t="shared" ca="1" si="69"/>
        <v>12</v>
      </c>
      <c r="E391">
        <f t="shared" ca="1" si="70"/>
        <v>0.31034504948624952</v>
      </c>
      <c r="F391">
        <f t="shared" ca="1" si="71"/>
        <v>84.97</v>
      </c>
      <c r="G391" t="str">
        <f t="shared" ca="1" si="72"/>
        <v>hipotecario</v>
      </c>
      <c r="H39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91" t="str">
        <f t="shared" ca="1" si="73"/>
        <v>Sí</v>
      </c>
      <c r="J39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91">
        <f ca="1">IF(Tabla2[[#This Row],[¿cliente deuda abierta?]]="Sí", Tabla2[[#This Row],[Deuda actual]]*Tabla2[[#This Row],[diferencia de días]], "0")</f>
        <v>1019.64</v>
      </c>
      <c r="L39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9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9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91">
        <f t="shared" ca="1" si="74"/>
        <v>1520.67</v>
      </c>
      <c r="P391">
        <f t="shared" ca="1" si="75"/>
        <v>165221.54</v>
      </c>
      <c r="Q391">
        <f t="shared" ca="1" si="76"/>
        <v>4</v>
      </c>
      <c r="R391">
        <f ca="1">((Tabla2[[#This Row],[Fantasma Comunicación]]+1)/(Tabla2[[#This Row],[Fantasma Comunicación]]+RANDBETWEEN(0,5)+2))-0.5</f>
        <v>0.2142857142857143</v>
      </c>
      <c r="S391">
        <f ca="1">1+MAX(0,Tabla2[[#This Row],[Deuda actual]]/Tabla2[[#This Row],[Liquidez]]+Tabla2[[#This Row],[Liquidez]]/(Tabla2[[#This Row],[Activos]]+Tabla2[[#This Row],[Liquidez]])+Tabla2[[#This Row],[Comunicación]])</f>
        <v>1.2792822865405302</v>
      </c>
      <c r="T391">
        <f ca="1">Tabla2[[#This Row],[Deuda actual]]*EXP(Tabla2[[#This Row],[Ki]]*Tabla2[[#This Row],[diferencia de días]])*(1+Tabla2[[#This Row],[Hg]])</f>
        <v>89.432881554962819</v>
      </c>
    </row>
    <row r="392" spans="1:20" ht="14.5" x14ac:dyDescent="0.35">
      <c r="A392">
        <f t="shared" si="66"/>
        <v>391</v>
      </c>
      <c r="B392">
        <f t="shared" ca="1" si="67"/>
        <v>46082</v>
      </c>
      <c r="C392">
        <f t="shared" ca="1" si="68"/>
        <v>46157</v>
      </c>
      <c r="D392">
        <f t="shared" ca="1" si="69"/>
        <v>5</v>
      </c>
      <c r="E392">
        <f t="shared" ca="1" si="70"/>
        <v>0.16373527658505582</v>
      </c>
      <c r="F392">
        <f t="shared" ca="1" si="71"/>
        <v>624.86</v>
      </c>
      <c r="G392" t="str">
        <f t="shared" ca="1" si="72"/>
        <v>personal</v>
      </c>
      <c r="H39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92" t="str">
        <f t="shared" ca="1" si="73"/>
        <v>No</v>
      </c>
      <c r="J39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11999.885769188306</v>
      </c>
      <c r="K392" t="str">
        <f ca="1">IF(Tabla2[[#This Row],[¿cliente deuda abierta?]]="Sí", Tabla2[[#This Row],[Deuda actual]]*Tabla2[[#This Row],[diferencia de días]], "0")</f>
        <v>0</v>
      </c>
      <c r="L39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9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92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92">
        <f t="shared" ca="1" si="74"/>
        <v>1649.81</v>
      </c>
      <c r="P392">
        <f t="shared" ca="1" si="75"/>
        <v>142936.59</v>
      </c>
      <c r="Q392">
        <f t="shared" ca="1" si="76"/>
        <v>2</v>
      </c>
      <c r="R392">
        <f ca="1">((Tabla2[[#This Row],[Fantasma Comunicación]]+1)/(Tabla2[[#This Row],[Fantasma Comunicación]]+RANDBETWEEN(0,5)+2))-0.5</f>
        <v>9.9999999999999978E-2</v>
      </c>
      <c r="S392">
        <f ca="1">1+MAX(0,Tabla2[[#This Row],[Deuda actual]]/Tabla2[[#This Row],[Liquidez]]+Tabla2[[#This Row],[Liquidez]]/(Tabla2[[#This Row],[Activos]]+Tabla2[[#This Row],[Liquidez]])+Tabla2[[#This Row],[Comunicación]])</f>
        <v>1.4901571911562648</v>
      </c>
      <c r="T392">
        <f ca="1">Tabla2[[#This Row],[Deuda actual]]*EXP(Tabla2[[#This Row],[Ki]]*Tabla2[[#This Row],[diferencia de días]])*(1+Tabla2[[#This Row],[Hg]])</f>
        <v>562.93665528075257</v>
      </c>
    </row>
    <row r="393" spans="1:20" ht="14.5" x14ac:dyDescent="0.35">
      <c r="A393">
        <f t="shared" si="66"/>
        <v>392</v>
      </c>
      <c r="B393">
        <f t="shared" ca="1" si="67"/>
        <v>46140</v>
      </c>
      <c r="C393">
        <f t="shared" ca="1" si="68"/>
        <v>46157</v>
      </c>
      <c r="D393">
        <f t="shared" ca="1" si="69"/>
        <v>50</v>
      </c>
      <c r="E393">
        <f t="shared" ca="1" si="70"/>
        <v>0.74961726203726164</v>
      </c>
      <c r="F393">
        <f t="shared" ca="1" si="71"/>
        <v>3999.32</v>
      </c>
      <c r="G393" t="str">
        <f t="shared" ca="1" si="72"/>
        <v>hipotecario</v>
      </c>
      <c r="H39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393" t="str">
        <f t="shared" ca="1" si="73"/>
        <v>Sí</v>
      </c>
      <c r="J39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93">
        <f ca="1">IF(Tabla2[[#This Row],[¿cliente deuda abierta?]]="Sí", Tabla2[[#This Row],[Deuda actual]]*Tabla2[[#This Row],[diferencia de días]], "0")</f>
        <v>199966</v>
      </c>
      <c r="L39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39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93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393">
        <f t="shared" ca="1" si="74"/>
        <v>1553.37</v>
      </c>
      <c r="P393">
        <f t="shared" ca="1" si="75"/>
        <v>443072.02</v>
      </c>
      <c r="Q393">
        <f t="shared" ca="1" si="76"/>
        <v>5</v>
      </c>
      <c r="R393">
        <f ca="1">((Tabla2[[#This Row],[Fantasma Comunicación]]+1)/(Tabla2[[#This Row],[Fantasma Comunicación]]+RANDBETWEEN(0,5)+2))-0.5</f>
        <v>0.3571428571428571</v>
      </c>
      <c r="S393">
        <f ca="1">1+MAX(0,Tabla2[[#This Row],[Deuda actual]]/Tabla2[[#This Row],[Liquidez]]+Tabla2[[#This Row],[Liquidez]]/(Tabla2[[#This Row],[Activos]]+Tabla2[[#This Row],[Liquidez]])+Tabla2[[#This Row],[Comunicación]])</f>
        <v>3.9352452711483576</v>
      </c>
      <c r="T393">
        <f ca="1">Tabla2[[#This Row],[Deuda actual]]*EXP(Tabla2[[#This Row],[Ki]]*Tabla2[[#This Row],[diferencia de días]])*(1+Tabla2[[#This Row],[Hg]])</f>
        <v>4957.4241886633126</v>
      </c>
    </row>
    <row r="394" spans="1:20" ht="14.5" x14ac:dyDescent="0.35">
      <c r="A394">
        <f t="shared" si="66"/>
        <v>393</v>
      </c>
      <c r="B394">
        <f t="shared" ca="1" si="67"/>
        <v>46089</v>
      </c>
      <c r="C394">
        <f t="shared" ca="1" si="68"/>
        <v>46157</v>
      </c>
      <c r="D394">
        <f t="shared" ca="1" si="69"/>
        <v>10</v>
      </c>
      <c r="E394">
        <f t="shared" ca="1" si="70"/>
        <v>3.701558228728774E-2</v>
      </c>
      <c r="F394">
        <f t="shared" ca="1" si="71"/>
        <v>2686.14</v>
      </c>
      <c r="G394" t="str">
        <f t="shared" ca="1" si="72"/>
        <v>hipotecario</v>
      </c>
      <c r="H39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94" t="str">
        <f t="shared" ca="1" si="73"/>
        <v>Sí</v>
      </c>
      <c r="J39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94">
        <f ca="1">IF(Tabla2[[#This Row],[¿cliente deuda abierta?]]="Sí", Tabla2[[#This Row],[Deuda actual]]*Tabla2[[#This Row],[diferencia de días]], "0")</f>
        <v>26861.399999999998</v>
      </c>
      <c r="L39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9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9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94">
        <f t="shared" ca="1" si="74"/>
        <v>1293.3699999999999</v>
      </c>
      <c r="P394">
        <f t="shared" ca="1" si="75"/>
        <v>103231.05</v>
      </c>
      <c r="Q394">
        <f t="shared" ca="1" si="76"/>
        <v>5</v>
      </c>
      <c r="R394">
        <f ca="1">((Tabla2[[#This Row],[Fantasma Comunicación]]+1)/(Tabla2[[#This Row],[Fantasma Comunicación]]+RANDBETWEEN(0,5)+2))-0.5</f>
        <v>0</v>
      </c>
      <c r="S394">
        <f ca="1">1+MAX(0,Tabla2[[#This Row],[Deuda actual]]/Tabla2[[#This Row],[Liquidez]]+Tabla2[[#This Row],[Liquidez]]/(Tabla2[[#This Row],[Activos]]+Tabla2[[#This Row],[Liquidez]])+Tabla2[[#This Row],[Comunicación]])</f>
        <v>3.0892273461039848</v>
      </c>
      <c r="T394">
        <f ca="1">Tabla2[[#This Row],[Deuda actual]]*EXP(Tabla2[[#This Row],[Ki]]*Tabla2[[#This Row],[diferencia de días]])*(1+Tabla2[[#This Row],[Hg]])</f>
        <v>2826.0935386564774</v>
      </c>
    </row>
    <row r="395" spans="1:20" ht="14.5" x14ac:dyDescent="0.35">
      <c r="A395">
        <f t="shared" si="66"/>
        <v>394</v>
      </c>
      <c r="B395">
        <f t="shared" ca="1" si="67"/>
        <v>46116</v>
      </c>
      <c r="C395">
        <f t="shared" ca="1" si="68"/>
        <v>46157</v>
      </c>
      <c r="D395">
        <f t="shared" ca="1" si="69"/>
        <v>3</v>
      </c>
      <c r="E395">
        <f t="shared" ca="1" si="70"/>
        <v>4.8281693405644033E-3</v>
      </c>
      <c r="F395">
        <f t="shared" ca="1" si="71"/>
        <v>157.76</v>
      </c>
      <c r="G395" t="str">
        <f t="shared" ca="1" si="72"/>
        <v>personal</v>
      </c>
      <c r="H39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95" t="str">
        <f t="shared" ca="1" si="73"/>
        <v>No</v>
      </c>
      <c r="J39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11999.758973886668</v>
      </c>
      <c r="K395" t="str">
        <f ca="1">IF(Tabla2[[#This Row],[¿cliente deuda abierta?]]="Sí", Tabla2[[#This Row],[Deuda actual]]*Tabla2[[#This Row],[diferencia de días]], "0")</f>
        <v>0</v>
      </c>
      <c r="L39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39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39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395">
        <f t="shared" ca="1" si="74"/>
        <v>1627.49</v>
      </c>
      <c r="P395">
        <f t="shared" ca="1" si="75"/>
        <v>91369.39</v>
      </c>
      <c r="Q395">
        <f t="shared" ca="1" si="76"/>
        <v>4</v>
      </c>
      <c r="R395">
        <f ca="1">((Tabla2[[#This Row],[Fantasma Comunicación]]+1)/(Tabla2[[#This Row],[Fantasma Comunicación]]+RANDBETWEEN(0,5)+2))-0.5</f>
        <v>0.33333333333333337</v>
      </c>
      <c r="S395">
        <f ca="1">1+MAX(0,Tabla2[[#This Row],[Deuda actual]]/Tabla2[[#This Row],[Liquidez]]+Tabla2[[#This Row],[Liquidez]]/(Tabla2[[#This Row],[Activos]]+Tabla2[[#This Row],[Liquidez]])+Tabla2[[#This Row],[Comunicación]])</f>
        <v>1.4477683562959258</v>
      </c>
      <c r="T395">
        <f ca="1">Tabla2[[#This Row],[Deuda actual]]*EXP(Tabla2[[#This Row],[Ki]]*Tabla2[[#This Row],[diferencia de días]])*(1+Tabla2[[#This Row],[Hg]])</f>
        <v>142.06921596223216</v>
      </c>
    </row>
    <row r="396" spans="1:20" ht="14.5" x14ac:dyDescent="0.35">
      <c r="A396">
        <f t="shared" si="66"/>
        <v>395</v>
      </c>
      <c r="B396">
        <f t="shared" ca="1" si="67"/>
        <v>46097</v>
      </c>
      <c r="C396">
        <f t="shared" ca="1" si="68"/>
        <v>46157</v>
      </c>
      <c r="D396">
        <f t="shared" ca="1" si="69"/>
        <v>26</v>
      </c>
      <c r="E396">
        <f t="shared" ca="1" si="70"/>
        <v>0.57371479741841802</v>
      </c>
      <c r="F396">
        <f t="shared" ca="1" si="71"/>
        <v>572.02</v>
      </c>
      <c r="G396" t="str">
        <f t="shared" ca="1" si="72"/>
        <v>personal</v>
      </c>
      <c r="H39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96" t="str">
        <f t="shared" ca="1" si="73"/>
        <v>Sí</v>
      </c>
      <c r="J39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96">
        <f ca="1">IF(Tabla2[[#This Row],[¿cliente deuda abierta?]]="Sí", Tabla2[[#This Row],[Deuda actual]]*Tabla2[[#This Row],[diferencia de días]], "0")</f>
        <v>14872.52</v>
      </c>
      <c r="L39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9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9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96">
        <f t="shared" ca="1" si="74"/>
        <v>1265.19</v>
      </c>
      <c r="P396">
        <f t="shared" ca="1" si="75"/>
        <v>111090.9</v>
      </c>
      <c r="Q396">
        <f t="shared" ca="1" si="76"/>
        <v>1</v>
      </c>
      <c r="R396">
        <f ca="1">((Tabla2[[#This Row],[Fantasma Comunicación]]+1)/(Tabla2[[#This Row],[Fantasma Comunicación]]+RANDBETWEEN(0,5)+2))-0.5</f>
        <v>0</v>
      </c>
      <c r="S396">
        <f ca="1">1+MAX(0,Tabla2[[#This Row],[Deuda actual]]/Tabla2[[#This Row],[Liquidez]]+Tabla2[[#This Row],[Liquidez]]/(Tabla2[[#This Row],[Activos]]+Tabla2[[#This Row],[Liquidez]])+Tabla2[[#This Row],[Comunicación]])</f>
        <v>1.4633823535089703</v>
      </c>
      <c r="T396">
        <f ca="1">Tabla2[[#This Row],[Deuda actual]]*EXP(Tabla2[[#This Row],[Ki]]*Tabla2[[#This Row],[diferencia de días]])*(1+Tabla2[[#This Row],[Hg]])</f>
        <v>606.90005287988072</v>
      </c>
    </row>
    <row r="397" spans="1:20" ht="14.5" x14ac:dyDescent="0.35">
      <c r="A397">
        <f t="shared" si="66"/>
        <v>396</v>
      </c>
      <c r="B397">
        <f t="shared" ca="1" si="67"/>
        <v>46105</v>
      </c>
      <c r="C397">
        <f t="shared" ca="1" si="68"/>
        <v>46157</v>
      </c>
      <c r="D397">
        <f t="shared" ca="1" si="69"/>
        <v>12</v>
      </c>
      <c r="E397">
        <f t="shared" ca="1" si="70"/>
        <v>0.50042195258262701</v>
      </c>
      <c r="F397">
        <f t="shared" ca="1" si="71"/>
        <v>5479.77</v>
      </c>
      <c r="G397" t="str">
        <f t="shared" ca="1" si="72"/>
        <v>personal</v>
      </c>
      <c r="H39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97" t="str">
        <f t="shared" ca="1" si="73"/>
        <v>Sí</v>
      </c>
      <c r="J39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97">
        <f ca="1">IF(Tabla2[[#This Row],[¿cliente deuda abierta?]]="Sí", Tabla2[[#This Row],[Deuda actual]]*Tabla2[[#This Row],[diferencia de días]], "0")</f>
        <v>65757.240000000005</v>
      </c>
      <c r="L39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39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97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397">
        <f t="shared" ca="1" si="74"/>
        <v>1570.41</v>
      </c>
      <c r="P397">
        <f t="shared" ca="1" si="75"/>
        <v>156613.6</v>
      </c>
      <c r="Q397">
        <f t="shared" ca="1" si="76"/>
        <v>1</v>
      </c>
      <c r="R397">
        <f ca="1">((Tabla2[[#This Row],[Fantasma Comunicación]]+1)/(Tabla2[[#This Row],[Fantasma Comunicación]]+RANDBETWEEN(0,5)+2))-0.5</f>
        <v>0</v>
      </c>
      <c r="S397">
        <f ca="1">1+MAX(0,Tabla2[[#This Row],[Deuda actual]]/Tabla2[[#This Row],[Liquidez]]+Tabla2[[#This Row],[Liquidez]]/(Tabla2[[#This Row],[Activos]]+Tabla2[[#This Row],[Liquidez]])+Tabla2[[#This Row],[Comunicación]])</f>
        <v>4.4993158633217067</v>
      </c>
      <c r="T397">
        <f ca="1">Tabla2[[#This Row],[Deuda actual]]*EXP(Tabla2[[#This Row],[Ki]]*Tabla2[[#This Row],[diferencia de días]])*(1+Tabla2[[#This Row],[Hg]])</f>
        <v>6316.8778287261539</v>
      </c>
    </row>
    <row r="398" spans="1:20" ht="14.5" x14ac:dyDescent="0.35">
      <c r="A398">
        <f t="shared" si="66"/>
        <v>397</v>
      </c>
      <c r="B398">
        <f t="shared" ca="1" si="67"/>
        <v>46125</v>
      </c>
      <c r="C398">
        <f t="shared" ca="1" si="68"/>
        <v>46157</v>
      </c>
      <c r="D398">
        <f t="shared" ca="1" si="69"/>
        <v>14</v>
      </c>
      <c r="E398">
        <f t="shared" ca="1" si="70"/>
        <v>0.49408488770679448</v>
      </c>
      <c r="F398">
        <f t="shared" ca="1" si="71"/>
        <v>219.93</v>
      </c>
      <c r="G398" t="str">
        <f t="shared" ca="1" si="72"/>
        <v>hipotecario</v>
      </c>
      <c r="H39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398" t="str">
        <f t="shared" ca="1" si="73"/>
        <v>Sí</v>
      </c>
      <c r="J39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98">
        <f ca="1">IF(Tabla2[[#This Row],[¿cliente deuda abierta?]]="Sí", Tabla2[[#This Row],[Deuda actual]]*Tabla2[[#This Row],[diferencia de días]], "0")</f>
        <v>3079.02</v>
      </c>
      <c r="L39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9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9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98">
        <f t="shared" ca="1" si="74"/>
        <v>1798.24</v>
      </c>
      <c r="P398">
        <f t="shared" ca="1" si="75"/>
        <v>114286.12</v>
      </c>
      <c r="Q398">
        <f t="shared" ca="1" si="76"/>
        <v>2</v>
      </c>
      <c r="R398">
        <f ca="1">((Tabla2[[#This Row],[Fantasma Comunicación]]+1)/(Tabla2[[#This Row],[Fantasma Comunicación]]+RANDBETWEEN(0,5)+2))-0.5</f>
        <v>0.25</v>
      </c>
      <c r="S398">
        <f ca="1">1+MAX(0,Tabla2[[#This Row],[Deuda actual]]/Tabla2[[#This Row],[Liquidez]]+Tabla2[[#This Row],[Liquidez]]/(Tabla2[[#This Row],[Activos]]+Tabla2[[#This Row],[Liquidez]])+Tabla2[[#This Row],[Comunicación]])</f>
        <v>1.3877937218213883</v>
      </c>
      <c r="T398">
        <f ca="1">Tabla2[[#This Row],[Deuda actual]]*EXP(Tabla2[[#This Row],[Ki]]*Tabla2[[#This Row],[diferencia de días]])*(1+Tabla2[[#This Row],[Hg]])</f>
        <v>231.57400027735486</v>
      </c>
    </row>
    <row r="399" spans="1:20" ht="14.5" x14ac:dyDescent="0.35">
      <c r="A399">
        <f t="shared" si="66"/>
        <v>398</v>
      </c>
      <c r="B399">
        <f t="shared" ca="1" si="67"/>
        <v>46113</v>
      </c>
      <c r="C399">
        <f t="shared" ca="1" si="68"/>
        <v>46157</v>
      </c>
      <c r="D399">
        <f t="shared" ca="1" si="69"/>
        <v>15</v>
      </c>
      <c r="E399">
        <f t="shared" ca="1" si="70"/>
        <v>0.17641864593264645</v>
      </c>
      <c r="F399">
        <f t="shared" ca="1" si="71"/>
        <v>292.51</v>
      </c>
      <c r="G399" t="str">
        <f t="shared" ca="1" si="72"/>
        <v>personal</v>
      </c>
      <c r="H39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399" t="str">
        <f t="shared" ca="1" si="73"/>
        <v>Sí</v>
      </c>
      <c r="J39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399">
        <f ca="1">IF(Tabla2[[#This Row],[¿cliente deuda abierta?]]="Sí", Tabla2[[#This Row],[Deuda actual]]*Tabla2[[#This Row],[diferencia de días]], "0")</f>
        <v>4387.6499999999996</v>
      </c>
      <c r="L39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39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39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399">
        <f t="shared" ca="1" si="74"/>
        <v>1593.5</v>
      </c>
      <c r="P399">
        <f t="shared" ca="1" si="75"/>
        <v>144205.01999999999</v>
      </c>
      <c r="Q399">
        <f t="shared" ca="1" si="76"/>
        <v>4</v>
      </c>
      <c r="R399">
        <f ca="1">((Tabla2[[#This Row],[Fantasma Comunicación]]+1)/(Tabla2[[#This Row],[Fantasma Comunicación]]+RANDBETWEEN(0,5)+2))-0.5</f>
        <v>5.555555555555558E-2</v>
      </c>
      <c r="S399">
        <f ca="1">1+MAX(0,Tabla2[[#This Row],[Deuda actual]]/Tabla2[[#This Row],[Liquidez]]+Tabla2[[#This Row],[Liquidez]]/(Tabla2[[#This Row],[Activos]]+Tabla2[[#This Row],[Liquidez]])+Tabla2[[#This Row],[Comunicación]])</f>
        <v>1.2500495024834453</v>
      </c>
      <c r="T399">
        <f ca="1">Tabla2[[#This Row],[Deuda actual]]*EXP(Tabla2[[#This Row],[Ki]]*Tabla2[[#This Row],[diferencia de días]])*(1+Tabla2[[#This Row],[Hg]])</f>
        <v>308.98385251248322</v>
      </c>
    </row>
    <row r="400" spans="1:20" ht="14.5" x14ac:dyDescent="0.35">
      <c r="A400">
        <f t="shared" si="66"/>
        <v>399</v>
      </c>
      <c r="B400">
        <f t="shared" ca="1" si="67"/>
        <v>46126</v>
      </c>
      <c r="C400">
        <f t="shared" ca="1" si="68"/>
        <v>46157</v>
      </c>
      <c r="D400">
        <f t="shared" ca="1" si="69"/>
        <v>34</v>
      </c>
      <c r="E400">
        <f t="shared" ca="1" si="70"/>
        <v>0.56010894141881962</v>
      </c>
      <c r="F400">
        <f t="shared" ca="1" si="71"/>
        <v>2790.01</v>
      </c>
      <c r="G400" t="str">
        <f t="shared" ca="1" si="72"/>
        <v>personal</v>
      </c>
      <c r="H40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400" t="str">
        <f t="shared" ca="1" si="73"/>
        <v>Sí</v>
      </c>
      <c r="J40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00">
        <f ca="1">IF(Tabla2[[#This Row],[¿cliente deuda abierta?]]="Sí", Tabla2[[#This Row],[Deuda actual]]*Tabla2[[#This Row],[diferencia de días]], "0")</f>
        <v>94860.340000000011</v>
      </c>
      <c r="L40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40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00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400">
        <f t="shared" ca="1" si="74"/>
        <v>2067.25</v>
      </c>
      <c r="P400">
        <f t="shared" ca="1" si="75"/>
        <v>73308.91</v>
      </c>
      <c r="Q400">
        <f t="shared" ca="1" si="76"/>
        <v>0</v>
      </c>
      <c r="R400">
        <f ca="1">((Tabla2[[#This Row],[Fantasma Comunicación]]+1)/(Tabla2[[#This Row],[Fantasma Comunicación]]+RANDBETWEEN(0,5)+2))-0.5</f>
        <v>0</v>
      </c>
      <c r="S400">
        <f ca="1">1+MAX(0,Tabla2[[#This Row],[Deuda actual]]/Tabla2[[#This Row],[Liquidez]]+Tabla2[[#This Row],[Liquidez]]/(Tabla2[[#This Row],[Activos]]+Tabla2[[#This Row],[Liquidez]])+Tabla2[[#This Row],[Comunicación]])</f>
        <v>2.3770496767275304</v>
      </c>
      <c r="T400">
        <f ca="1">Tabla2[[#This Row],[Deuda actual]]*EXP(Tabla2[[#This Row],[Ki]]*Tabla2[[#This Row],[diferencia de días]])*(1+Tabla2[[#This Row],[Hg]])</f>
        <v>3319.4766084101434</v>
      </c>
    </row>
    <row r="401" spans="1:20" ht="14.5" x14ac:dyDescent="0.35">
      <c r="A401">
        <f t="shared" si="66"/>
        <v>400</v>
      </c>
      <c r="B401">
        <f t="shared" ca="1" si="67"/>
        <v>46112</v>
      </c>
      <c r="C401">
        <f t="shared" ca="1" si="68"/>
        <v>46157</v>
      </c>
      <c r="D401">
        <f t="shared" ca="1" si="69"/>
        <v>5</v>
      </c>
      <c r="E401">
        <f t="shared" ca="1" si="70"/>
        <v>0.35947738529160056</v>
      </c>
      <c r="F401">
        <f t="shared" ca="1" si="71"/>
        <v>704.1</v>
      </c>
      <c r="G401" t="str">
        <f t="shared" ca="1" si="72"/>
        <v>hipotecario</v>
      </c>
      <c r="H40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01" t="str">
        <f t="shared" ca="1" si="73"/>
        <v>No</v>
      </c>
      <c r="J40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165001.22677919277</v>
      </c>
      <c r="K401" t="str">
        <f ca="1">IF(Tabla2[[#This Row],[¿cliente deuda abierta?]]="Sí", Tabla2[[#This Row],[Deuda actual]]*Tabla2[[#This Row],[diferencia de días]], "0")</f>
        <v>0</v>
      </c>
      <c r="L40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0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401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401">
        <f t="shared" ca="1" si="74"/>
        <v>1982.19</v>
      </c>
      <c r="P401">
        <f t="shared" ca="1" si="75"/>
        <v>191069.13</v>
      </c>
      <c r="Q401">
        <f t="shared" ca="1" si="76"/>
        <v>0</v>
      </c>
      <c r="R401">
        <f ca="1">((Tabla2[[#This Row],[Fantasma Comunicación]]+1)/(Tabla2[[#This Row],[Fantasma Comunicación]]+RANDBETWEEN(0,5)+2))-0.5</f>
        <v>0</v>
      </c>
      <c r="S401">
        <f ca="1">1+MAX(0,Tabla2[[#This Row],[Deuda actual]]/Tabla2[[#This Row],[Liquidez]]+Tabla2[[#This Row],[Liquidez]]/(Tabla2[[#This Row],[Activos]]+Tabla2[[#This Row],[Liquidez]])+Tabla2[[#This Row],[Comunicación]])</f>
        <v>1.3654808575696769</v>
      </c>
      <c r="T401">
        <f ca="1">Tabla2[[#This Row],[Deuda actual]]*EXP(Tabla2[[#This Row],[Ki]]*Tabla2[[#This Row],[diferencia de días]])*(1+Tabla2[[#This Row],[Hg]])</f>
        <v>563.84356173390358</v>
      </c>
    </row>
    <row r="402" spans="1:20" ht="14.5" x14ac:dyDescent="0.35">
      <c r="A402">
        <f t="shared" si="66"/>
        <v>401</v>
      </c>
      <c r="B402">
        <f t="shared" ca="1" si="67"/>
        <v>46084</v>
      </c>
      <c r="C402">
        <f t="shared" ca="1" si="68"/>
        <v>46157</v>
      </c>
      <c r="D402">
        <f t="shared" ca="1" si="69"/>
        <v>3</v>
      </c>
      <c r="E402">
        <f t="shared" ca="1" si="70"/>
        <v>0.11914469000347683</v>
      </c>
      <c r="F402">
        <f t="shared" ca="1" si="71"/>
        <v>765.41</v>
      </c>
      <c r="G402" t="str">
        <f t="shared" ca="1" si="72"/>
        <v>personal</v>
      </c>
      <c r="H40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02" t="str">
        <f t="shared" ca="1" si="73"/>
        <v>Sí</v>
      </c>
      <c r="J40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02">
        <f ca="1">IF(Tabla2[[#This Row],[¿cliente deuda abierta?]]="Sí", Tabla2[[#This Row],[Deuda actual]]*Tabla2[[#This Row],[diferencia de días]], "0")</f>
        <v>2296.23</v>
      </c>
      <c r="L40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0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0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02">
        <f t="shared" ca="1" si="74"/>
        <v>1927.65</v>
      </c>
      <c r="P402">
        <f t="shared" ca="1" si="75"/>
        <v>114122.77</v>
      </c>
      <c r="Q402">
        <f t="shared" ca="1" si="76"/>
        <v>4</v>
      </c>
      <c r="R402">
        <f ca="1">((Tabla2[[#This Row],[Fantasma Comunicación]]+1)/(Tabla2[[#This Row],[Fantasma Comunicación]]+RANDBETWEEN(0,5)+2))-0.5</f>
        <v>-4.545454545454547E-2</v>
      </c>
      <c r="S402">
        <f ca="1">1+MAX(0,Tabla2[[#This Row],[Deuda actual]]/Tabla2[[#This Row],[Liquidez]]+Tabla2[[#This Row],[Liquidez]]/(Tabla2[[#This Row],[Activos]]+Tabla2[[#This Row],[Liquidez]])+Tabla2[[#This Row],[Comunicación]])</f>
        <v>1.3682248771294765</v>
      </c>
      <c r="T402">
        <f ca="1">Tabla2[[#This Row],[Deuda actual]]*EXP(Tabla2[[#This Row],[Ki]]*Tabla2[[#This Row],[diferencia de días]])*(1+Tabla2[[#This Row],[Hg]])</f>
        <v>804.1628529914268</v>
      </c>
    </row>
    <row r="403" spans="1:20" ht="14.5" x14ac:dyDescent="0.35">
      <c r="A403">
        <f t="shared" si="66"/>
        <v>402</v>
      </c>
      <c r="B403">
        <f t="shared" ca="1" si="67"/>
        <v>46085</v>
      </c>
      <c r="C403">
        <f t="shared" ca="1" si="68"/>
        <v>46157</v>
      </c>
      <c r="D403">
        <f t="shared" ca="1" si="69"/>
        <v>0</v>
      </c>
      <c r="E403">
        <f t="shared" ca="1" si="70"/>
        <v>0.9865626503561048</v>
      </c>
      <c r="F403">
        <f t="shared" ca="1" si="71"/>
        <v>326.35000000000002</v>
      </c>
      <c r="G403" t="str">
        <f t="shared" ca="1" si="72"/>
        <v>personal</v>
      </c>
      <c r="H40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03" t="str">
        <f t="shared" ca="1" si="73"/>
        <v>Sí</v>
      </c>
      <c r="J40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03">
        <f ca="1">IF(Tabla2[[#This Row],[¿cliente deuda abierta?]]="Sí", Tabla2[[#This Row],[Deuda actual]]*Tabla2[[#This Row],[diferencia de días]], "0")</f>
        <v>0</v>
      </c>
      <c r="L40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0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03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403">
        <f t="shared" ca="1" si="74"/>
        <v>2329.91</v>
      </c>
      <c r="P403">
        <f t="shared" ca="1" si="75"/>
        <v>252536.69</v>
      </c>
      <c r="Q403">
        <f t="shared" ca="1" si="76"/>
        <v>0</v>
      </c>
      <c r="R403">
        <f ca="1">((Tabla2[[#This Row],[Fantasma Comunicación]]+1)/(Tabla2[[#This Row],[Fantasma Comunicación]]+RANDBETWEEN(0,5)+2))-0.5</f>
        <v>-0.3</v>
      </c>
      <c r="S403">
        <f ca="1">1+MAX(0,Tabla2[[#This Row],[Deuda actual]]/Tabla2[[#This Row],[Liquidez]]+Tabla2[[#This Row],[Liquidez]]/(Tabla2[[#This Row],[Activos]]+Tabla2[[#This Row],[Liquidez]])+Tabla2[[#This Row],[Comunicación]])</f>
        <v>1</v>
      </c>
      <c r="T403">
        <f ca="1">Tabla2[[#This Row],[Deuda actual]]*EXP(Tabla2[[#This Row],[Ki]]*Tabla2[[#This Row],[diferencia de días]])*(1+Tabla2[[#This Row],[Hg]])</f>
        <v>326.35000000000002</v>
      </c>
    </row>
    <row r="404" spans="1:20" ht="14.5" x14ac:dyDescent="0.35">
      <c r="A404">
        <f t="shared" si="66"/>
        <v>403</v>
      </c>
      <c r="B404">
        <f t="shared" ca="1" si="67"/>
        <v>46110</v>
      </c>
      <c r="C404">
        <f t="shared" ca="1" si="68"/>
        <v>46157</v>
      </c>
      <c r="D404">
        <f t="shared" ca="1" si="69"/>
        <v>8</v>
      </c>
      <c r="E404">
        <f t="shared" ca="1" si="70"/>
        <v>0.53617531741833024</v>
      </c>
      <c r="F404">
        <f t="shared" ca="1" si="71"/>
        <v>10000</v>
      </c>
      <c r="G404" t="str">
        <f t="shared" ca="1" si="72"/>
        <v>personal</v>
      </c>
      <c r="H40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04" t="str">
        <f t="shared" ca="1" si="73"/>
        <v>Sí</v>
      </c>
      <c r="J40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04">
        <f ca="1">IF(Tabla2[[#This Row],[¿cliente deuda abierta?]]="Sí", Tabla2[[#This Row],[Deuda actual]]*Tabla2[[#This Row],[diferencia de días]], "0")</f>
        <v>80000</v>
      </c>
      <c r="L40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40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04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404">
        <f t="shared" ca="1" si="74"/>
        <v>1558.75</v>
      </c>
      <c r="P404">
        <f t="shared" ca="1" si="75"/>
        <v>117505.86</v>
      </c>
      <c r="Q404">
        <f t="shared" ca="1" si="76"/>
        <v>1</v>
      </c>
      <c r="R404">
        <f ca="1">((Tabla2[[#This Row],[Fantasma Comunicación]]+1)/(Tabla2[[#This Row],[Fantasma Comunicación]]+RANDBETWEEN(0,5)+2))-0.5</f>
        <v>0</v>
      </c>
      <c r="S404">
        <f ca="1">1+MAX(0,Tabla2[[#This Row],[Deuda actual]]/Tabla2[[#This Row],[Liquidez]]+Tabla2[[#This Row],[Liquidez]]/(Tabla2[[#This Row],[Activos]]+Tabla2[[#This Row],[Liquidez]])+Tabla2[[#This Row],[Comunicación]])</f>
        <v>7.4284885841964314</v>
      </c>
      <c r="T404">
        <f ca="1">Tabla2[[#This Row],[Deuda actual]]*EXP(Tabla2[[#This Row],[Ki]]*Tabla2[[#This Row],[diferencia de días]])*(1+Tabla2[[#This Row],[Hg]])</f>
        <v>11518.414727853808</v>
      </c>
    </row>
    <row r="405" spans="1:20" ht="14.5" x14ac:dyDescent="0.35">
      <c r="A405">
        <f t="shared" si="66"/>
        <v>404</v>
      </c>
      <c r="B405">
        <f t="shared" ca="1" si="67"/>
        <v>46093</v>
      </c>
      <c r="C405">
        <f t="shared" ca="1" si="68"/>
        <v>46157</v>
      </c>
      <c r="D405">
        <f t="shared" ca="1" si="69"/>
        <v>3</v>
      </c>
      <c r="E405">
        <f t="shared" ca="1" si="70"/>
        <v>0.41852213718183784</v>
      </c>
      <c r="F405">
        <f t="shared" ca="1" si="71"/>
        <v>821.65</v>
      </c>
      <c r="G405" t="str">
        <f t="shared" ca="1" si="72"/>
        <v>personal</v>
      </c>
      <c r="H40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05" t="str">
        <f t="shared" ca="1" si="73"/>
        <v>Sí</v>
      </c>
      <c r="J40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05">
        <f ca="1">IF(Tabla2[[#This Row],[¿cliente deuda abierta?]]="Sí", Tabla2[[#This Row],[Deuda actual]]*Tabla2[[#This Row],[diferencia de días]], "0")</f>
        <v>2464.9499999999998</v>
      </c>
      <c r="L40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0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0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05">
        <f t="shared" ca="1" si="74"/>
        <v>1177.1500000000001</v>
      </c>
      <c r="P405">
        <f t="shared" ca="1" si="75"/>
        <v>70794.759999999995</v>
      </c>
      <c r="Q405">
        <f t="shared" ca="1" si="76"/>
        <v>5</v>
      </c>
      <c r="R405">
        <f ca="1">((Tabla2[[#This Row],[Fantasma Comunicación]]+1)/(Tabla2[[#This Row],[Fantasma Comunicación]]+RANDBETWEEN(0,5)+2))-0.5</f>
        <v>0</v>
      </c>
      <c r="S405">
        <f ca="1">1+MAX(0,Tabla2[[#This Row],[Deuda actual]]/Tabla2[[#This Row],[Liquidez]]+Tabla2[[#This Row],[Liquidez]]/(Tabla2[[#This Row],[Activos]]+Tabla2[[#This Row],[Liquidez]])+Tabla2[[#This Row],[Comunicación]])</f>
        <v>1.7143550918883452</v>
      </c>
      <c r="T405">
        <f ca="1">Tabla2[[#This Row],[Deuda actual]]*EXP(Tabla2[[#This Row],[Ki]]*Tabla2[[#This Row],[diferencia de días]])*(1+Tabla2[[#This Row],[Hg]])</f>
        <v>863.25029482291302</v>
      </c>
    </row>
    <row r="406" spans="1:20" ht="14.5" x14ac:dyDescent="0.35">
      <c r="A406">
        <f t="shared" si="66"/>
        <v>405</v>
      </c>
      <c r="B406">
        <f t="shared" ca="1" si="67"/>
        <v>46109</v>
      </c>
      <c r="C406">
        <f t="shared" ca="1" si="68"/>
        <v>46157</v>
      </c>
      <c r="D406">
        <f t="shared" ca="1" si="69"/>
        <v>25</v>
      </c>
      <c r="E406">
        <f t="shared" ca="1" si="70"/>
        <v>0.31371576683481406</v>
      </c>
      <c r="F406">
        <f t="shared" ca="1" si="71"/>
        <v>925.03</v>
      </c>
      <c r="G406" t="str">
        <f t="shared" ca="1" si="72"/>
        <v>personal</v>
      </c>
      <c r="H40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06" t="str">
        <f t="shared" ca="1" si="73"/>
        <v>No</v>
      </c>
      <c r="J40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12000.617800272865</v>
      </c>
      <c r="K406" t="str">
        <f ca="1">IF(Tabla2[[#This Row],[¿cliente deuda abierta?]]="Sí", Tabla2[[#This Row],[Deuda actual]]*Tabla2[[#This Row],[diferencia de días]], "0")</f>
        <v>0</v>
      </c>
      <c r="L40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0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06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06">
        <f t="shared" ca="1" si="74"/>
        <v>1822.44</v>
      </c>
      <c r="P406">
        <f t="shared" ca="1" si="75"/>
        <v>171435.39</v>
      </c>
      <c r="Q406">
        <f t="shared" ca="1" si="76"/>
        <v>3</v>
      </c>
      <c r="R406">
        <f ca="1">((Tabla2[[#This Row],[Fantasma Comunicación]]+1)/(Tabla2[[#This Row],[Fantasma Comunicación]]+RANDBETWEEN(0,5)+2))-0.5</f>
        <v>-9.9999999999999978E-2</v>
      </c>
      <c r="S406">
        <f ca="1">1+MAX(0,Tabla2[[#This Row],[Deuda actual]]/Tabla2[[#This Row],[Liquidez]]+Tabla2[[#This Row],[Liquidez]]/(Tabla2[[#This Row],[Activos]]+Tabla2[[#This Row],[Liquidez]])+Tabla2[[#This Row],[Comunicación]])</f>
        <v>1.4180964117131003</v>
      </c>
      <c r="T406">
        <f ca="1">Tabla2[[#This Row],[Deuda actual]]*EXP(Tabla2[[#This Row],[Ki]]*Tabla2[[#This Row],[diferencia de días]])*(1+Tabla2[[#This Row],[Hg]])</f>
        <v>840.89403545208108</v>
      </c>
    </row>
    <row r="407" spans="1:20" ht="14.5" x14ac:dyDescent="0.35">
      <c r="A407">
        <f t="shared" si="66"/>
        <v>406</v>
      </c>
      <c r="B407">
        <f t="shared" ca="1" si="67"/>
        <v>46082</v>
      </c>
      <c r="C407">
        <f t="shared" ca="1" si="68"/>
        <v>46157</v>
      </c>
      <c r="D407">
        <f t="shared" ca="1" si="69"/>
        <v>12</v>
      </c>
      <c r="E407">
        <f t="shared" ca="1" si="70"/>
        <v>0.61048436856755162</v>
      </c>
      <c r="F407">
        <f t="shared" ca="1" si="71"/>
        <v>1411.11</v>
      </c>
      <c r="G407" t="str">
        <f t="shared" ca="1" si="72"/>
        <v>personal</v>
      </c>
      <c r="H40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07" t="str">
        <f t="shared" ca="1" si="73"/>
        <v>Sí</v>
      </c>
      <c r="J40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07">
        <f ca="1">IF(Tabla2[[#This Row],[¿cliente deuda abierta?]]="Sí", Tabla2[[#This Row],[Deuda actual]]*Tabla2[[#This Row],[diferencia de días]], "0")</f>
        <v>16933.32</v>
      </c>
      <c r="L40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0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0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07">
        <f t="shared" ca="1" si="74"/>
        <v>1389.55</v>
      </c>
      <c r="P407">
        <f t="shared" ca="1" si="75"/>
        <v>150359.46</v>
      </c>
      <c r="Q407">
        <f t="shared" ca="1" si="76"/>
        <v>0</v>
      </c>
      <c r="R407">
        <f ca="1">((Tabla2[[#This Row],[Fantasma Comunicación]]+1)/(Tabla2[[#This Row],[Fantasma Comunicación]]+RANDBETWEEN(0,5)+2))-0.5</f>
        <v>-0.16666666666666669</v>
      </c>
      <c r="S407">
        <f ca="1">1+MAX(0,Tabla2[[#This Row],[Deuda actual]]/Tabla2[[#This Row],[Liquidez]]+Tabla2[[#This Row],[Liquidez]]/(Tabla2[[#This Row],[Activos]]+Tabla2[[#This Row],[Liquidez]])+Tabla2[[#This Row],[Comunicación]])</f>
        <v>1.8580060444470128</v>
      </c>
      <c r="T407">
        <f ca="1">Tabla2[[#This Row],[Deuda actual]]*EXP(Tabla2[[#This Row],[Ki]]*Tabla2[[#This Row],[diferencia de días]])*(1+Tabla2[[#This Row],[Hg]])</f>
        <v>1485.2257678124463</v>
      </c>
    </row>
    <row r="408" spans="1:20" ht="14.5" x14ac:dyDescent="0.35">
      <c r="A408">
        <f t="shared" si="66"/>
        <v>407</v>
      </c>
      <c r="B408">
        <f t="shared" ca="1" si="67"/>
        <v>46122</v>
      </c>
      <c r="C408">
        <f t="shared" ca="1" si="68"/>
        <v>46157</v>
      </c>
      <c r="D408">
        <f t="shared" ca="1" si="69"/>
        <v>33</v>
      </c>
      <c r="E408">
        <f t="shared" ca="1" si="70"/>
        <v>0.52722551797125849</v>
      </c>
      <c r="F408">
        <f t="shared" ca="1" si="71"/>
        <v>6986.23</v>
      </c>
      <c r="G408" t="str">
        <f t="shared" ca="1" si="72"/>
        <v>personal</v>
      </c>
      <c r="H40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408" t="str">
        <f t="shared" ca="1" si="73"/>
        <v>Sí</v>
      </c>
      <c r="J40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08">
        <f ca="1">IF(Tabla2[[#This Row],[¿cliente deuda abierta?]]="Sí", Tabla2[[#This Row],[Deuda actual]]*Tabla2[[#This Row],[diferencia de días]], "0")</f>
        <v>230545.59</v>
      </c>
      <c r="L40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0.2</v>
      </c>
      <c r="M40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08">
        <f ca="1">MAX(Tabla2[[#This Row],[VALORES DE Hg para actuales deudores]:[Valores de HG para deudores cerrados]])*IF(Tabla2[[#This Row],[VALORES DE Hg para actuales deudores]]&gt;Tabla2[[#This Row],[Valores de HG para deudores cerrados]],-1,1)</f>
        <v>0.2</v>
      </c>
      <c r="O408">
        <f t="shared" ca="1" si="74"/>
        <v>1584.05</v>
      </c>
      <c r="P408">
        <f t="shared" ca="1" si="75"/>
        <v>66817.7</v>
      </c>
      <c r="Q408">
        <f t="shared" ca="1" si="76"/>
        <v>1</v>
      </c>
      <c r="R408">
        <f ca="1">((Tabla2[[#This Row],[Fantasma Comunicación]]+1)/(Tabla2[[#This Row],[Fantasma Comunicación]]+RANDBETWEEN(0,5)+2))-0.5</f>
        <v>-0.2142857142857143</v>
      </c>
      <c r="S408">
        <f ca="1">1+MAX(0,Tabla2[[#This Row],[Deuda actual]]/Tabla2[[#This Row],[Liquidez]]+Tabla2[[#This Row],[Liquidez]]/(Tabla2[[#This Row],[Activos]]+Tabla2[[#This Row],[Liquidez]])+Tabla2[[#This Row],[Comunicación]])</f>
        <v>5.2192318404314912</v>
      </c>
      <c r="T408">
        <f ca="1">Tabla2[[#This Row],[Deuda actual]]*EXP(Tabla2[[#This Row],[Ki]]*Tabla2[[#This Row],[diferencia de días]])*(1+Tabla2[[#This Row],[Hg]])</f>
        <v>8664.7461405165432</v>
      </c>
    </row>
    <row r="409" spans="1:20" ht="14.5" x14ac:dyDescent="0.35">
      <c r="A409">
        <f t="shared" si="66"/>
        <v>408</v>
      </c>
      <c r="B409">
        <f t="shared" ca="1" si="67"/>
        <v>46085</v>
      </c>
      <c r="C409">
        <f t="shared" ca="1" si="68"/>
        <v>46157</v>
      </c>
      <c r="D409">
        <f t="shared" ca="1" si="69"/>
        <v>18</v>
      </c>
      <c r="E409">
        <f t="shared" ca="1" si="70"/>
        <v>0.83114506468999516</v>
      </c>
      <c r="F409">
        <f t="shared" ca="1" si="71"/>
        <v>713.88</v>
      </c>
      <c r="G409" t="str">
        <f t="shared" ca="1" si="72"/>
        <v>hipotecario</v>
      </c>
      <c r="H40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09" t="str">
        <f t="shared" ca="1" si="73"/>
        <v>No</v>
      </c>
      <c r="J40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165000.18488091396</v>
      </c>
      <c r="K409" t="str">
        <f ca="1">IF(Tabla2[[#This Row],[¿cliente deuda abierta?]]="Sí", Tabla2[[#This Row],[Deuda actual]]*Tabla2[[#This Row],[diferencia de días]], "0")</f>
        <v>0</v>
      </c>
      <c r="L40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0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409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409">
        <f t="shared" ca="1" si="74"/>
        <v>1568.89</v>
      </c>
      <c r="P409">
        <f t="shared" ca="1" si="75"/>
        <v>94314.41</v>
      </c>
      <c r="Q409">
        <f t="shared" ca="1" si="76"/>
        <v>4</v>
      </c>
      <c r="R409">
        <f ca="1">((Tabla2[[#This Row],[Fantasma Comunicación]]+1)/(Tabla2[[#This Row],[Fantasma Comunicación]]+RANDBETWEEN(0,5)+2))-0.5</f>
        <v>0</v>
      </c>
      <c r="S409">
        <f ca="1">1+MAX(0,Tabla2[[#This Row],[Deuda actual]]/Tabla2[[#This Row],[Liquidez]]+Tabla2[[#This Row],[Liquidez]]/(Tabla2[[#This Row],[Activos]]+Tabla2[[#This Row],[Liquidez]])+Tabla2[[#This Row],[Comunicación]])</f>
        <v>1.4713848354601737</v>
      </c>
      <c r="T409">
        <f ca="1">Tabla2[[#This Row],[Deuda actual]]*EXP(Tabla2[[#This Row],[Ki]]*Tabla2[[#This Row],[diferencia de días]])*(1+Tabla2[[#This Row],[Hg]])</f>
        <v>575.23078740695894</v>
      </c>
    </row>
    <row r="410" spans="1:20" ht="14.5" x14ac:dyDescent="0.35">
      <c r="A410">
        <f t="shared" si="66"/>
        <v>409</v>
      </c>
      <c r="B410">
        <f t="shared" ca="1" si="67"/>
        <v>46129</v>
      </c>
      <c r="C410">
        <f t="shared" ca="1" si="68"/>
        <v>46157</v>
      </c>
      <c r="D410">
        <f t="shared" ca="1" si="69"/>
        <v>19</v>
      </c>
      <c r="E410">
        <f t="shared" ca="1" si="70"/>
        <v>5.4010313242125463E-4</v>
      </c>
      <c r="F410">
        <f t="shared" ca="1" si="71"/>
        <v>2440.46</v>
      </c>
      <c r="G410" t="str">
        <f t="shared" ca="1" si="72"/>
        <v>personal</v>
      </c>
      <c r="H41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10" t="str">
        <f t="shared" ca="1" si="73"/>
        <v>Sí</v>
      </c>
      <c r="J41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10">
        <f ca="1">IF(Tabla2[[#This Row],[¿cliente deuda abierta?]]="Sí", Tabla2[[#This Row],[Deuda actual]]*Tabla2[[#This Row],[diferencia de días]], "0")</f>
        <v>46368.74</v>
      </c>
      <c r="L41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41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10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410">
        <f t="shared" ca="1" si="74"/>
        <v>2007.83</v>
      </c>
      <c r="P410">
        <f t="shared" ca="1" si="75"/>
        <v>304265.40000000002</v>
      </c>
      <c r="Q410">
        <f t="shared" ca="1" si="76"/>
        <v>0</v>
      </c>
      <c r="R410">
        <f ca="1">((Tabla2[[#This Row],[Fantasma Comunicación]]+1)/(Tabla2[[#This Row],[Fantasma Comunicación]]+RANDBETWEEN(0,5)+2))-0.5</f>
        <v>-0.16666666666666669</v>
      </c>
      <c r="S410">
        <f ca="1">1+MAX(0,Tabla2[[#This Row],[Deuda actual]]/Tabla2[[#This Row],[Liquidez]]+Tabla2[[#This Row],[Liquidez]]/(Tabla2[[#This Row],[Activos]]+Tabla2[[#This Row],[Liquidez]])+Tabla2[[#This Row],[Comunicación]])</f>
        <v>2.0553604450106766</v>
      </c>
      <c r="T410">
        <f ca="1">Tabla2[[#This Row],[Deuda actual]]*EXP(Tabla2[[#This Row],[Ki]]*Tabla2[[#This Row],[diferencia de días]])*(1+Tabla2[[#This Row],[Hg]])</f>
        <v>2704.9859709126367</v>
      </c>
    </row>
    <row r="411" spans="1:20" ht="14.5" x14ac:dyDescent="0.35">
      <c r="A411">
        <f t="shared" si="66"/>
        <v>410</v>
      </c>
      <c r="B411">
        <f t="shared" ca="1" si="67"/>
        <v>46086</v>
      </c>
      <c r="C411">
        <f t="shared" ca="1" si="68"/>
        <v>46157</v>
      </c>
      <c r="D411">
        <f t="shared" ca="1" si="69"/>
        <v>8</v>
      </c>
      <c r="E411">
        <f t="shared" ca="1" si="70"/>
        <v>1.1626625222730502E-2</v>
      </c>
      <c r="F411">
        <f t="shared" ca="1" si="71"/>
        <v>3813.99</v>
      </c>
      <c r="G411" t="str">
        <f t="shared" ca="1" si="72"/>
        <v>personal</v>
      </c>
      <c r="H41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11" t="str">
        <f t="shared" ca="1" si="73"/>
        <v>Sí</v>
      </c>
      <c r="J41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11">
        <f ca="1">IF(Tabla2[[#This Row],[¿cliente deuda abierta?]]="Sí", Tabla2[[#This Row],[Deuda actual]]*Tabla2[[#This Row],[diferencia de días]], "0")</f>
        <v>30511.919999999998</v>
      </c>
      <c r="L41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41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11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411">
        <f t="shared" ca="1" si="74"/>
        <v>1302.1099999999999</v>
      </c>
      <c r="P411">
        <f t="shared" ca="1" si="75"/>
        <v>252701.7</v>
      </c>
      <c r="Q411">
        <f t="shared" ca="1" si="76"/>
        <v>3</v>
      </c>
      <c r="R411">
        <f ca="1">((Tabla2[[#This Row],[Fantasma Comunicación]]+1)/(Tabla2[[#This Row],[Fantasma Comunicación]]+RANDBETWEEN(0,5)+2))-0.5</f>
        <v>-9.9999999999999978E-2</v>
      </c>
      <c r="S411">
        <f ca="1">1+MAX(0,Tabla2[[#This Row],[Deuda actual]]/Tabla2[[#This Row],[Liquidez]]+Tabla2[[#This Row],[Liquidez]]/(Tabla2[[#This Row],[Activos]]+Tabla2[[#This Row],[Liquidez]])+Tabla2[[#This Row],[Comunicación]])</f>
        <v>3.834210672780602</v>
      </c>
      <c r="T411">
        <f ca="1">Tabla2[[#This Row],[Deuda actual]]*EXP(Tabla2[[#This Row],[Ki]]*Tabla2[[#This Row],[diferencia de días]])*(1+Tabla2[[#This Row],[Hg]])</f>
        <v>4202.1069953631177</v>
      </c>
    </row>
    <row r="412" spans="1:20" ht="14.5" x14ac:dyDescent="0.35">
      <c r="A412">
        <f t="shared" si="66"/>
        <v>411</v>
      </c>
      <c r="B412">
        <f t="shared" ca="1" si="67"/>
        <v>46118</v>
      </c>
      <c r="C412">
        <f t="shared" ca="1" si="68"/>
        <v>46157</v>
      </c>
      <c r="D412">
        <f t="shared" ca="1" si="69"/>
        <v>48</v>
      </c>
      <c r="E412">
        <f t="shared" ca="1" si="70"/>
        <v>0.87102988610220466</v>
      </c>
      <c r="F412">
        <f t="shared" ca="1" si="71"/>
        <v>765.44</v>
      </c>
      <c r="G412" t="str">
        <f t="shared" ca="1" si="72"/>
        <v>hipotecario</v>
      </c>
      <c r="H41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412" t="str">
        <f t="shared" ca="1" si="73"/>
        <v>Sí</v>
      </c>
      <c r="J41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12">
        <f ca="1">IF(Tabla2[[#This Row],[¿cliente deuda abierta?]]="Sí", Tabla2[[#This Row],[Deuda actual]]*Tabla2[[#This Row],[diferencia de días]], "0")</f>
        <v>36741.120000000003</v>
      </c>
      <c r="L41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41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12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412">
        <f t="shared" ca="1" si="74"/>
        <v>2023.29</v>
      </c>
      <c r="P412">
        <f t="shared" ca="1" si="75"/>
        <v>318122.7</v>
      </c>
      <c r="Q412">
        <f t="shared" ca="1" si="76"/>
        <v>1</v>
      </c>
      <c r="R412">
        <f ca="1">((Tabla2[[#This Row],[Fantasma Comunicación]]+1)/(Tabla2[[#This Row],[Fantasma Comunicación]]+RANDBETWEEN(0,5)+2))-0.5</f>
        <v>-0.16666666666666669</v>
      </c>
      <c r="S412">
        <f ca="1">1+MAX(0,Tabla2[[#This Row],[Deuda actual]]/Tabla2[[#This Row],[Liquidez]]+Tabla2[[#This Row],[Liquidez]]/(Tabla2[[#This Row],[Activos]]+Tabla2[[#This Row],[Liquidez]])+Tabla2[[#This Row],[Comunicación]])</f>
        <v>1.2179677586566213</v>
      </c>
      <c r="T412">
        <f ca="1">Tabla2[[#This Row],[Deuda actual]]*EXP(Tabla2[[#This Row],[Ki]]*Tabla2[[#This Row],[diferencia de días]])*(1+Tabla2[[#This Row],[Hg]])</f>
        <v>883.3849050527192</v>
      </c>
    </row>
    <row r="413" spans="1:20" ht="14.5" x14ac:dyDescent="0.35">
      <c r="A413">
        <f t="shared" si="66"/>
        <v>412</v>
      </c>
      <c r="B413">
        <f t="shared" ca="1" si="67"/>
        <v>46136</v>
      </c>
      <c r="C413">
        <f t="shared" ca="1" si="68"/>
        <v>46157</v>
      </c>
      <c r="D413">
        <f t="shared" ca="1" si="69"/>
        <v>12</v>
      </c>
      <c r="E413">
        <f t="shared" ca="1" si="70"/>
        <v>1.8342964319040034E-2</v>
      </c>
      <c r="F413">
        <f t="shared" ca="1" si="71"/>
        <v>87.71</v>
      </c>
      <c r="G413" t="str">
        <f t="shared" ca="1" si="72"/>
        <v>hipotecario</v>
      </c>
      <c r="H41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13" t="str">
        <f t="shared" ca="1" si="73"/>
        <v>Sí</v>
      </c>
      <c r="J41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13">
        <f ca="1">IF(Tabla2[[#This Row],[¿cliente deuda abierta?]]="Sí", Tabla2[[#This Row],[Deuda actual]]*Tabla2[[#This Row],[diferencia de días]], "0")</f>
        <v>1052.52</v>
      </c>
      <c r="L41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1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1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13">
        <f t="shared" ca="1" si="74"/>
        <v>1750.08</v>
      </c>
      <c r="P413">
        <f t="shared" ca="1" si="75"/>
        <v>47283.93</v>
      </c>
      <c r="Q413">
        <f t="shared" ca="1" si="76"/>
        <v>2</v>
      </c>
      <c r="R413">
        <f ca="1">((Tabla2[[#This Row],[Fantasma Comunicación]]+1)/(Tabla2[[#This Row],[Fantasma Comunicación]]+RANDBETWEEN(0,5)+2))-0.5</f>
        <v>0</v>
      </c>
      <c r="S413">
        <f ca="1">1+MAX(0,Tabla2[[#This Row],[Deuda actual]]/Tabla2[[#This Row],[Liquidez]]+Tabla2[[#This Row],[Liquidez]]/(Tabla2[[#This Row],[Activos]]+Tabla2[[#This Row],[Liquidez]])+Tabla2[[#This Row],[Comunicación]])</f>
        <v>1.0858088547033355</v>
      </c>
      <c r="T413">
        <f ca="1">Tabla2[[#This Row],[Deuda actual]]*EXP(Tabla2[[#This Row],[Ki]]*Tabla2[[#This Row],[diferencia de días]])*(1+Tabla2[[#This Row],[Hg]])</f>
        <v>92.316794647355394</v>
      </c>
    </row>
    <row r="414" spans="1:20" ht="14.5" x14ac:dyDescent="0.35">
      <c r="A414">
        <f t="shared" si="66"/>
        <v>413</v>
      </c>
      <c r="B414">
        <f t="shared" ca="1" si="67"/>
        <v>46122</v>
      </c>
      <c r="C414">
        <f t="shared" ca="1" si="68"/>
        <v>46157</v>
      </c>
      <c r="D414">
        <f t="shared" ca="1" si="69"/>
        <v>1</v>
      </c>
      <c r="E414">
        <f t="shared" ca="1" si="70"/>
        <v>1.7276388729561054E-2</v>
      </c>
      <c r="F414">
        <f t="shared" ca="1" si="71"/>
        <v>10000</v>
      </c>
      <c r="G414" t="str">
        <f t="shared" ca="1" si="72"/>
        <v>personal</v>
      </c>
      <c r="H41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14" t="str">
        <f t="shared" ca="1" si="73"/>
        <v>Sí</v>
      </c>
      <c r="J41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14">
        <f ca="1">IF(Tabla2[[#This Row],[¿cliente deuda abierta?]]="Sí", Tabla2[[#This Row],[Deuda actual]]*Tabla2[[#This Row],[diferencia de días]], "0")</f>
        <v>10000</v>
      </c>
      <c r="L41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1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1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14">
        <f t="shared" ca="1" si="74"/>
        <v>2640.49</v>
      </c>
      <c r="P414">
        <f t="shared" ca="1" si="75"/>
        <v>97712.6</v>
      </c>
      <c r="Q414">
        <f t="shared" ca="1" si="76"/>
        <v>5</v>
      </c>
      <c r="R414">
        <f ca="1">((Tabla2[[#This Row],[Fantasma Comunicación]]+1)/(Tabla2[[#This Row],[Fantasma Comunicación]]+RANDBETWEEN(0,5)+2))-0.5</f>
        <v>4.5454545454545414E-2</v>
      </c>
      <c r="S414">
        <f ca="1">1+MAX(0,Tabla2[[#This Row],[Deuda actual]]/Tabla2[[#This Row],[Liquidez]]+Tabla2[[#This Row],[Liquidez]]/(Tabla2[[#This Row],[Activos]]+Tabla2[[#This Row],[Liquidez]])+Tabla2[[#This Row],[Comunicación]])</f>
        <v>4.8589424055171282</v>
      </c>
      <c r="T414">
        <f ca="1">Tabla2[[#This Row],[Deuda actual]]*EXP(Tabla2[[#This Row],[Ki]]*Tabla2[[#This Row],[diferencia de días]])*(1+Tabla2[[#This Row],[Hg]])</f>
        <v>10502.100210014003</v>
      </c>
    </row>
    <row r="415" spans="1:20" ht="14.5" x14ac:dyDescent="0.35">
      <c r="A415">
        <f t="shared" si="66"/>
        <v>414</v>
      </c>
      <c r="B415">
        <f t="shared" ca="1" si="67"/>
        <v>46140</v>
      </c>
      <c r="C415">
        <f t="shared" ca="1" si="68"/>
        <v>46157</v>
      </c>
      <c r="D415">
        <f t="shared" ca="1" si="69"/>
        <v>11</v>
      </c>
      <c r="E415">
        <f t="shared" ca="1" si="70"/>
        <v>0.42473110231072264</v>
      </c>
      <c r="F415">
        <f t="shared" ca="1" si="71"/>
        <v>652.51</v>
      </c>
      <c r="G415" t="str">
        <f t="shared" ca="1" si="72"/>
        <v>hipotecario</v>
      </c>
      <c r="H41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15" t="str">
        <f t="shared" ca="1" si="73"/>
        <v>Sí</v>
      </c>
      <c r="J41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15">
        <f ca="1">IF(Tabla2[[#This Row],[¿cliente deuda abierta?]]="Sí", Tabla2[[#This Row],[Deuda actual]]*Tabla2[[#This Row],[diferencia de días]], "0")</f>
        <v>7177.61</v>
      </c>
      <c r="L41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1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1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15">
        <f t="shared" ca="1" si="74"/>
        <v>1865.38</v>
      </c>
      <c r="P415">
        <f t="shared" ca="1" si="75"/>
        <v>148646.04</v>
      </c>
      <c r="Q415">
        <f t="shared" ca="1" si="76"/>
        <v>2</v>
      </c>
      <c r="R415">
        <f ca="1">((Tabla2[[#This Row],[Fantasma Comunicación]]+1)/(Tabla2[[#This Row],[Fantasma Comunicación]]+RANDBETWEEN(0,5)+2))-0.5</f>
        <v>0</v>
      </c>
      <c r="S415">
        <f ca="1">1+MAX(0,Tabla2[[#This Row],[Deuda actual]]/Tabla2[[#This Row],[Liquidez]]+Tabla2[[#This Row],[Liquidez]]/(Tabla2[[#This Row],[Activos]]+Tabla2[[#This Row],[Liquidez]])+Tabla2[[#This Row],[Comunicación]])</f>
        <v>1.3621936518052369</v>
      </c>
      <c r="T415">
        <f ca="1">Tabla2[[#This Row],[Deuda actual]]*EXP(Tabla2[[#This Row],[Ki]]*Tabla2[[#This Row],[diferencia de días]])*(1+Tabla2[[#This Row],[Hg]])</f>
        <v>686.64445734446622</v>
      </c>
    </row>
    <row r="416" spans="1:20" ht="14.5" x14ac:dyDescent="0.35">
      <c r="A416">
        <f t="shared" si="66"/>
        <v>415</v>
      </c>
      <c r="B416">
        <f t="shared" ca="1" si="67"/>
        <v>46085</v>
      </c>
      <c r="C416">
        <f t="shared" ca="1" si="68"/>
        <v>46157</v>
      </c>
      <c r="D416">
        <f t="shared" ca="1" si="69"/>
        <v>7</v>
      </c>
      <c r="E416">
        <f t="shared" ca="1" si="70"/>
        <v>0.80682846573939782</v>
      </c>
      <c r="F416">
        <f t="shared" ca="1" si="71"/>
        <v>759.2</v>
      </c>
      <c r="G416" t="str">
        <f t="shared" ca="1" si="72"/>
        <v>personal</v>
      </c>
      <c r="H41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16" t="str">
        <f t="shared" ca="1" si="73"/>
        <v>Sí</v>
      </c>
      <c r="J41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16">
        <f ca="1">IF(Tabla2[[#This Row],[¿cliente deuda abierta?]]="Sí", Tabla2[[#This Row],[Deuda actual]]*Tabla2[[#This Row],[diferencia de días]], "0")</f>
        <v>5314.4000000000005</v>
      </c>
      <c r="L41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1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1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16">
        <f t="shared" ca="1" si="74"/>
        <v>1470.43</v>
      </c>
      <c r="P416">
        <f t="shared" ca="1" si="75"/>
        <v>135604.17000000001</v>
      </c>
      <c r="Q416">
        <f t="shared" ca="1" si="76"/>
        <v>3</v>
      </c>
      <c r="R416">
        <f ca="1">((Tabla2[[#This Row],[Fantasma Comunicación]]+1)/(Tabla2[[#This Row],[Fantasma Comunicación]]+RANDBETWEEN(0,5)+2))-0.5</f>
        <v>-5.555555555555558E-2</v>
      </c>
      <c r="S416">
        <f ca="1">1+MAX(0,Tabla2[[#This Row],[Deuda actual]]/Tabla2[[#This Row],[Liquidez]]+Tabla2[[#This Row],[Liquidez]]/(Tabla2[[#This Row],[Activos]]+Tabla2[[#This Row],[Liquidez]])+Tabla2[[#This Row],[Comunicación]])</f>
        <v>1.4714832240134426</v>
      </c>
      <c r="T416">
        <f ca="1">Tabla2[[#This Row],[Deuda actual]]*EXP(Tabla2[[#This Row],[Ki]]*Tabla2[[#This Row],[diferencia de días]])*(1+Tabla2[[#This Row],[Hg]])</f>
        <v>798.27680558149552</v>
      </c>
    </row>
    <row r="417" spans="1:20" ht="14.5" x14ac:dyDescent="0.35">
      <c r="A417">
        <f t="shared" si="66"/>
        <v>416</v>
      </c>
      <c r="B417">
        <f t="shared" ca="1" si="67"/>
        <v>46130</v>
      </c>
      <c r="C417">
        <f t="shared" ca="1" si="68"/>
        <v>46157</v>
      </c>
      <c r="D417">
        <f t="shared" ca="1" si="69"/>
        <v>10</v>
      </c>
      <c r="E417">
        <f t="shared" ca="1" si="70"/>
        <v>0.69085654379054473</v>
      </c>
      <c r="F417">
        <f t="shared" ca="1" si="71"/>
        <v>2966.19</v>
      </c>
      <c r="G417" t="str">
        <f t="shared" ca="1" si="72"/>
        <v>personal</v>
      </c>
      <c r="H41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17" t="str">
        <f t="shared" ca="1" si="73"/>
        <v>Sí</v>
      </c>
      <c r="J41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17">
        <f ca="1">IF(Tabla2[[#This Row],[¿cliente deuda abierta?]]="Sí", Tabla2[[#This Row],[Deuda actual]]*Tabla2[[#This Row],[diferencia de días]], "0")</f>
        <v>29661.9</v>
      </c>
      <c r="L41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1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1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17">
        <f t="shared" ca="1" si="74"/>
        <v>1391.75</v>
      </c>
      <c r="P417">
        <f t="shared" ca="1" si="75"/>
        <v>163559.66</v>
      </c>
      <c r="Q417">
        <f t="shared" ca="1" si="76"/>
        <v>3</v>
      </c>
      <c r="R417">
        <f ca="1">((Tabla2[[#This Row],[Fantasma Comunicación]]+1)/(Tabla2[[#This Row],[Fantasma Comunicación]]+RANDBETWEEN(0,5)+2))-0.5</f>
        <v>0.30000000000000004</v>
      </c>
      <c r="S417">
        <f ca="1">1+MAX(0,Tabla2[[#This Row],[Deuda actual]]/Tabla2[[#This Row],[Liquidez]]+Tabla2[[#This Row],[Liquidez]]/(Tabla2[[#This Row],[Activos]]+Tabla2[[#This Row],[Liquidez]])+Tabla2[[#This Row],[Comunicación]])</f>
        <v>3.4397037243856809</v>
      </c>
      <c r="T417">
        <f ca="1">Tabla2[[#This Row],[Deuda actual]]*EXP(Tabla2[[#This Row],[Ki]]*Tabla2[[#This Row],[diferencia de días]])*(1+Tabla2[[#This Row],[Hg]])</f>
        <v>3120.7347321537436</v>
      </c>
    </row>
    <row r="418" spans="1:20" ht="14.5" x14ac:dyDescent="0.35">
      <c r="A418">
        <f t="shared" si="66"/>
        <v>417</v>
      </c>
      <c r="B418">
        <f t="shared" ca="1" si="67"/>
        <v>46127</v>
      </c>
      <c r="C418">
        <f t="shared" ca="1" si="68"/>
        <v>46157</v>
      </c>
      <c r="D418">
        <f t="shared" ca="1" si="69"/>
        <v>37</v>
      </c>
      <c r="E418">
        <f t="shared" ca="1" si="70"/>
        <v>0.99615177853005499</v>
      </c>
      <c r="F418">
        <f t="shared" ca="1" si="71"/>
        <v>2709.67</v>
      </c>
      <c r="G418" t="str">
        <f t="shared" ca="1" si="72"/>
        <v>hipotecario</v>
      </c>
      <c r="H41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418" t="str">
        <f t="shared" ca="1" si="73"/>
        <v>No</v>
      </c>
      <c r="J41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164999.1112508392</v>
      </c>
      <c r="K418" t="str">
        <f ca="1">IF(Tabla2[[#This Row],[¿cliente deuda abierta?]]="Sí", Tabla2[[#This Row],[Deuda actual]]*Tabla2[[#This Row],[diferencia de días]], "0")</f>
        <v>0</v>
      </c>
      <c r="L41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1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418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418">
        <f t="shared" ca="1" si="74"/>
        <v>1384.13</v>
      </c>
      <c r="P418">
        <f t="shared" ca="1" si="75"/>
        <v>137327.91</v>
      </c>
      <c r="Q418">
        <f t="shared" ca="1" si="76"/>
        <v>4</v>
      </c>
      <c r="R418">
        <f ca="1">((Tabla2[[#This Row],[Fantasma Comunicación]]+1)/(Tabla2[[#This Row],[Fantasma Comunicación]]+RANDBETWEEN(0,5)+2))-0.5</f>
        <v>-4.545454545454547E-2</v>
      </c>
      <c r="S418">
        <f ca="1">1+MAX(0,Tabla2[[#This Row],[Deuda actual]]/Tabla2[[#This Row],[Liquidez]]+Tabla2[[#This Row],[Liquidez]]/(Tabla2[[#This Row],[Activos]]+Tabla2[[#This Row],[Liquidez]])+Tabla2[[#This Row],[Comunicación]])</f>
        <v>2.9221940572547602</v>
      </c>
      <c r="T418">
        <f ca="1">Tabla2[[#This Row],[Deuda actual]]*EXP(Tabla2[[#This Row],[Ki]]*Tabla2[[#This Row],[diferencia de días]])*(1+Tabla2[[#This Row],[Hg]])</f>
        <v>2249.4445182196237</v>
      </c>
    </row>
    <row r="419" spans="1:20" ht="14.5" x14ac:dyDescent="0.35">
      <c r="A419">
        <f t="shared" si="66"/>
        <v>418</v>
      </c>
      <c r="B419">
        <f t="shared" ca="1" si="67"/>
        <v>46117</v>
      </c>
      <c r="C419">
        <f t="shared" ca="1" si="68"/>
        <v>46157</v>
      </c>
      <c r="D419">
        <f t="shared" ca="1" si="69"/>
        <v>37</v>
      </c>
      <c r="E419">
        <f t="shared" ca="1" si="70"/>
        <v>0.36330486827216191</v>
      </c>
      <c r="F419">
        <f t="shared" ca="1" si="71"/>
        <v>1957.87</v>
      </c>
      <c r="G419" t="str">
        <f t="shared" ca="1" si="72"/>
        <v>personal</v>
      </c>
      <c r="H41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419" t="str">
        <f t="shared" ca="1" si="73"/>
        <v>Sí</v>
      </c>
      <c r="J41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19">
        <f ca="1">IF(Tabla2[[#This Row],[¿cliente deuda abierta?]]="Sí", Tabla2[[#This Row],[Deuda actual]]*Tabla2[[#This Row],[diferencia de días]], "0")</f>
        <v>72441.19</v>
      </c>
      <c r="L41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41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19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419">
        <f t="shared" ca="1" si="74"/>
        <v>1997.25</v>
      </c>
      <c r="P419">
        <f t="shared" ca="1" si="75"/>
        <v>100129.78</v>
      </c>
      <c r="Q419">
        <f t="shared" ca="1" si="76"/>
        <v>1</v>
      </c>
      <c r="R419">
        <f ca="1">((Tabla2[[#This Row],[Fantasma Comunicación]]+1)/(Tabla2[[#This Row],[Fantasma Comunicación]]+RANDBETWEEN(0,5)+2))-0.5</f>
        <v>-0.16666666666666669</v>
      </c>
      <c r="S419">
        <f ca="1">1+MAX(0,Tabla2[[#This Row],[Deuda actual]]/Tabla2[[#This Row],[Liquidez]]+Tabla2[[#This Row],[Liquidez]]/(Tabla2[[#This Row],[Activos]]+Tabla2[[#This Row],[Liquidez]])+Tabla2[[#This Row],[Comunicación]])</f>
        <v>1.8331727491135095</v>
      </c>
      <c r="T419">
        <f ca="1">Tabla2[[#This Row],[Deuda actual]]*EXP(Tabla2[[#This Row],[Ki]]*Tabla2[[#This Row],[diferencia de días]])*(1+Tabla2[[#This Row],[Hg]])</f>
        <v>2336.418239914663</v>
      </c>
    </row>
    <row r="420" spans="1:20" ht="14.5" x14ac:dyDescent="0.35">
      <c r="A420">
        <f t="shared" si="66"/>
        <v>419</v>
      </c>
      <c r="B420">
        <f t="shared" ca="1" si="67"/>
        <v>46122</v>
      </c>
      <c r="C420">
        <f t="shared" ca="1" si="68"/>
        <v>46157</v>
      </c>
      <c r="D420">
        <f t="shared" ca="1" si="69"/>
        <v>4</v>
      </c>
      <c r="E420">
        <f t="shared" ca="1" si="70"/>
        <v>0.66458334461674295</v>
      </c>
      <c r="F420">
        <f t="shared" ca="1" si="71"/>
        <v>254.85</v>
      </c>
      <c r="G420" t="str">
        <f t="shared" ca="1" si="72"/>
        <v>personal</v>
      </c>
      <c r="H42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20" t="str">
        <f t="shared" ca="1" si="73"/>
        <v>No</v>
      </c>
      <c r="J42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12000.130586610199</v>
      </c>
      <c r="K420" t="str">
        <f ca="1">IF(Tabla2[[#This Row],[¿cliente deuda abierta?]]="Sí", Tabla2[[#This Row],[Deuda actual]]*Tabla2[[#This Row],[diferencia de días]], "0")</f>
        <v>0</v>
      </c>
      <c r="L42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2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20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20">
        <f t="shared" ca="1" si="74"/>
        <v>1964.99</v>
      </c>
      <c r="P420">
        <f t="shared" ca="1" si="75"/>
        <v>133613.82999999999</v>
      </c>
      <c r="Q420">
        <f t="shared" ca="1" si="76"/>
        <v>2</v>
      </c>
      <c r="R420">
        <f ca="1">((Tabla2[[#This Row],[Fantasma Comunicación]]+1)/(Tabla2[[#This Row],[Fantasma Comunicación]]+RANDBETWEEN(0,5)+2))-0.5</f>
        <v>9.9999999999999978E-2</v>
      </c>
      <c r="S420">
        <f ca="1">1+MAX(0,Tabla2[[#This Row],[Deuda actual]]/Tabla2[[#This Row],[Liquidez]]+Tabla2[[#This Row],[Liquidez]]/(Tabla2[[#This Row],[Activos]]+Tabla2[[#This Row],[Liquidez]])+Tabla2[[#This Row],[Comunicación]])</f>
        <v>1.2441886569945979</v>
      </c>
      <c r="T420">
        <f ca="1">Tabla2[[#This Row],[Deuda actual]]*EXP(Tabla2[[#This Row],[Ki]]*Tabla2[[#This Row],[diferencia de días]])*(1+Tabla2[[#This Row],[Hg]])</f>
        <v>229.54856541637639</v>
      </c>
    </row>
    <row r="421" spans="1:20" ht="14.5" x14ac:dyDescent="0.35">
      <c r="A421">
        <f t="shared" si="66"/>
        <v>420</v>
      </c>
      <c r="B421">
        <f t="shared" ca="1" si="67"/>
        <v>46122</v>
      </c>
      <c r="C421">
        <f t="shared" ca="1" si="68"/>
        <v>46157</v>
      </c>
      <c r="D421">
        <f t="shared" ca="1" si="69"/>
        <v>9</v>
      </c>
      <c r="E421">
        <f t="shared" ca="1" si="70"/>
        <v>0.11522292370902909</v>
      </c>
      <c r="F421">
        <f t="shared" ca="1" si="71"/>
        <v>443.82</v>
      </c>
      <c r="G421" t="str">
        <f t="shared" ca="1" si="72"/>
        <v>personal</v>
      </c>
      <c r="H42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21" t="str">
        <f t="shared" ca="1" si="73"/>
        <v>Sí</v>
      </c>
      <c r="J42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21">
        <f ca="1">IF(Tabla2[[#This Row],[¿cliente deuda abierta?]]="Sí", Tabla2[[#This Row],[Deuda actual]]*Tabla2[[#This Row],[diferencia de días]], "0")</f>
        <v>3994.38</v>
      </c>
      <c r="L42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2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2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21">
        <f t="shared" ca="1" si="74"/>
        <v>1612.04</v>
      </c>
      <c r="P421">
        <f t="shared" ca="1" si="75"/>
        <v>394161.73</v>
      </c>
      <c r="Q421">
        <f t="shared" ca="1" si="76"/>
        <v>5</v>
      </c>
      <c r="R421">
        <f ca="1">((Tabla2[[#This Row],[Fantasma Comunicación]]+1)/(Tabla2[[#This Row],[Fantasma Comunicación]]+RANDBETWEEN(0,5)+2))-0.5</f>
        <v>0</v>
      </c>
      <c r="S421">
        <f ca="1">1+MAX(0,Tabla2[[#This Row],[Deuda actual]]/Tabla2[[#This Row],[Liquidez]]+Tabla2[[#This Row],[Liquidez]]/(Tabla2[[#This Row],[Activos]]+Tabla2[[#This Row],[Liquidez]])+Tabla2[[#This Row],[Comunicación]])</f>
        <v>1.2793888840023289</v>
      </c>
      <c r="T421">
        <f ca="1">Tabla2[[#This Row],[Deuda actual]]*EXP(Tabla2[[#This Row],[Ki]]*Tabla2[[#This Row],[diferencia de días]])*(1+Tabla2[[#This Row],[Hg]])</f>
        <v>466.85057519098666</v>
      </c>
    </row>
    <row r="422" spans="1:20" ht="14.5" x14ac:dyDescent="0.35">
      <c r="A422">
        <f t="shared" si="66"/>
        <v>421</v>
      </c>
      <c r="B422">
        <f t="shared" ca="1" si="67"/>
        <v>46109</v>
      </c>
      <c r="C422">
        <f t="shared" ca="1" si="68"/>
        <v>46157</v>
      </c>
      <c r="D422">
        <f t="shared" ca="1" si="69"/>
        <v>11</v>
      </c>
      <c r="E422">
        <f t="shared" ca="1" si="70"/>
        <v>3.4160537841629535E-2</v>
      </c>
      <c r="F422">
        <f t="shared" ca="1" si="71"/>
        <v>5442.95</v>
      </c>
      <c r="G422" t="str">
        <f t="shared" ca="1" si="72"/>
        <v>hipotecario</v>
      </c>
      <c r="H42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22" t="str">
        <f t="shared" ca="1" si="73"/>
        <v>No</v>
      </c>
      <c r="J42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165000.12455766153</v>
      </c>
      <c r="K422" t="str">
        <f ca="1">IF(Tabla2[[#This Row],[¿cliente deuda abierta?]]="Sí", Tabla2[[#This Row],[Deuda actual]]*Tabla2[[#This Row],[diferencia de días]], "0")</f>
        <v>0</v>
      </c>
      <c r="L42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2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42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422">
        <f t="shared" ca="1" si="74"/>
        <v>1501.97</v>
      </c>
      <c r="P422">
        <f t="shared" ca="1" si="75"/>
        <v>157577.06</v>
      </c>
      <c r="Q422">
        <f t="shared" ca="1" si="76"/>
        <v>0</v>
      </c>
      <c r="R422">
        <f ca="1">((Tabla2[[#This Row],[Fantasma Comunicación]]+1)/(Tabla2[[#This Row],[Fantasma Comunicación]]+RANDBETWEEN(0,5)+2))-0.5</f>
        <v>-0.16666666666666669</v>
      </c>
      <c r="S422">
        <f ca="1">1+MAX(0,Tabla2[[#This Row],[Deuda actual]]/Tabla2[[#This Row],[Liquidez]]+Tabla2[[#This Row],[Liquidez]]/(Tabla2[[#This Row],[Activos]]+Tabla2[[#This Row],[Liquidez]])+Tabla2[[#This Row],[Comunicación]])</f>
        <v>4.4666489714553794</v>
      </c>
      <c r="T422">
        <f ca="1">Tabla2[[#This Row],[Deuda actual]]*EXP(Tabla2[[#This Row],[Ki]]*Tabla2[[#This Row],[diferencia de días]])*(1+Tabla2[[#This Row],[Hg]])</f>
        <v>4363.95013728299</v>
      </c>
    </row>
    <row r="423" spans="1:20" ht="14.5" x14ac:dyDescent="0.35">
      <c r="A423">
        <f t="shared" si="66"/>
        <v>422</v>
      </c>
      <c r="B423">
        <f t="shared" ca="1" si="67"/>
        <v>46141</v>
      </c>
      <c r="C423">
        <f t="shared" ca="1" si="68"/>
        <v>46157</v>
      </c>
      <c r="D423">
        <f t="shared" ca="1" si="69"/>
        <v>20</v>
      </c>
      <c r="E423">
        <f t="shared" ca="1" si="70"/>
        <v>9.2712872606327879E-2</v>
      </c>
      <c r="F423">
        <f t="shared" ca="1" si="71"/>
        <v>4188.34</v>
      </c>
      <c r="G423" t="str">
        <f t="shared" ca="1" si="72"/>
        <v>personal</v>
      </c>
      <c r="H42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23" t="str">
        <f t="shared" ca="1" si="73"/>
        <v>Sí</v>
      </c>
      <c r="J42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23">
        <f ca="1">IF(Tabla2[[#This Row],[¿cliente deuda abierta?]]="Sí", Tabla2[[#This Row],[Deuda actual]]*Tabla2[[#This Row],[diferencia de días]], "0")</f>
        <v>83766.8</v>
      </c>
      <c r="L42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42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23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423">
        <f t="shared" ca="1" si="74"/>
        <v>2103.7600000000002</v>
      </c>
      <c r="P423">
        <f t="shared" ca="1" si="75"/>
        <v>66660.14</v>
      </c>
      <c r="Q423">
        <f t="shared" ca="1" si="76"/>
        <v>5</v>
      </c>
      <c r="R423">
        <f ca="1">((Tabla2[[#This Row],[Fantasma Comunicación]]+1)/(Tabla2[[#This Row],[Fantasma Comunicación]]+RANDBETWEEN(0,5)+2))-0.5</f>
        <v>9.9999999999999978E-2</v>
      </c>
      <c r="S423">
        <f ca="1">1+MAX(0,Tabla2[[#This Row],[Deuda actual]]/Tabla2[[#This Row],[Liquidez]]+Tabla2[[#This Row],[Liquidez]]/(Tabla2[[#This Row],[Activos]]+Tabla2[[#This Row],[Liquidez]])+Tabla2[[#This Row],[Comunicación]])</f>
        <v>3.1214769503672901</v>
      </c>
      <c r="T423">
        <f ca="1">Tabla2[[#This Row],[Deuda actual]]*EXP(Tabla2[[#This Row],[Ki]]*Tabla2[[#This Row],[diferencia de días]])*(1+Tabla2[[#This Row],[Hg]])</f>
        <v>4855.2782707511142</v>
      </c>
    </row>
    <row r="424" spans="1:20" ht="14.5" x14ac:dyDescent="0.35">
      <c r="A424">
        <f t="shared" si="66"/>
        <v>423</v>
      </c>
      <c r="B424">
        <f t="shared" ca="1" si="67"/>
        <v>46113</v>
      </c>
      <c r="C424">
        <f t="shared" ca="1" si="68"/>
        <v>46157</v>
      </c>
      <c r="D424">
        <f t="shared" ca="1" si="69"/>
        <v>3</v>
      </c>
      <c r="E424">
        <f t="shared" ca="1" si="70"/>
        <v>6.1393807604877781E-2</v>
      </c>
      <c r="F424">
        <f t="shared" ca="1" si="71"/>
        <v>4259.18</v>
      </c>
      <c r="G424" t="str">
        <f t="shared" ca="1" si="72"/>
        <v>personal</v>
      </c>
      <c r="H42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24" t="str">
        <f t="shared" ca="1" si="73"/>
        <v>Sí</v>
      </c>
      <c r="J42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24">
        <f ca="1">IF(Tabla2[[#This Row],[¿cliente deuda abierta?]]="Sí", Tabla2[[#This Row],[Deuda actual]]*Tabla2[[#This Row],[diferencia de días]], "0")</f>
        <v>12777.54</v>
      </c>
      <c r="L42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2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2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24">
        <f t="shared" ca="1" si="74"/>
        <v>1685.43</v>
      </c>
      <c r="P424">
        <f t="shared" ca="1" si="75"/>
        <v>562389.86</v>
      </c>
      <c r="Q424">
        <f t="shared" ca="1" si="76"/>
        <v>4</v>
      </c>
      <c r="R424">
        <f ca="1">((Tabla2[[#This Row],[Fantasma Comunicación]]+1)/(Tabla2[[#This Row],[Fantasma Comunicación]]+RANDBETWEEN(0,5)+2))-0.5</f>
        <v>5.555555555555558E-2</v>
      </c>
      <c r="S424">
        <f ca="1">1+MAX(0,Tabla2[[#This Row],[Deuda actual]]/Tabla2[[#This Row],[Liquidez]]+Tabla2[[#This Row],[Liquidez]]/(Tabla2[[#This Row],[Activos]]+Tabla2[[#This Row],[Liquidez]])+Tabla2[[#This Row],[Comunicación]])</f>
        <v>3.5856018845430118</v>
      </c>
      <c r="T424">
        <f ca="1">Tabla2[[#This Row],[Deuda actual]]*EXP(Tabla2[[#This Row],[Ki]]*Tabla2[[#This Row],[diferencia de días]])*(1+Tabla2[[#This Row],[Hg]])</f>
        <v>4474.8230885460416</v>
      </c>
    </row>
    <row r="425" spans="1:20" ht="14.5" x14ac:dyDescent="0.35">
      <c r="A425">
        <f t="shared" si="66"/>
        <v>424</v>
      </c>
      <c r="B425">
        <f t="shared" ca="1" si="67"/>
        <v>46143</v>
      </c>
      <c r="C425">
        <f t="shared" ca="1" si="68"/>
        <v>46157</v>
      </c>
      <c r="D425">
        <f t="shared" ca="1" si="69"/>
        <v>9</v>
      </c>
      <c r="E425">
        <f t="shared" ca="1" si="70"/>
        <v>0.44885396961986923</v>
      </c>
      <c r="F425">
        <f t="shared" ca="1" si="71"/>
        <v>1427.57</v>
      </c>
      <c r="G425" t="str">
        <f t="shared" ca="1" si="72"/>
        <v>personal</v>
      </c>
      <c r="H42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25" t="str">
        <f t="shared" ca="1" si="73"/>
        <v>No</v>
      </c>
      <c r="J42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12000.802845126243</v>
      </c>
      <c r="K425" t="str">
        <f ca="1">IF(Tabla2[[#This Row],[¿cliente deuda abierta?]]="Sí", Tabla2[[#This Row],[Deuda actual]]*Tabla2[[#This Row],[diferencia de días]], "0")</f>
        <v>0</v>
      </c>
      <c r="L42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2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2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25">
        <f t="shared" ca="1" si="74"/>
        <v>1202.3</v>
      </c>
      <c r="P425">
        <f t="shared" ca="1" si="75"/>
        <v>145664.95999999999</v>
      </c>
      <c r="Q425">
        <f t="shared" ca="1" si="76"/>
        <v>3</v>
      </c>
      <c r="R425">
        <f ca="1">((Tabla2[[#This Row],[Fantasma Comunicación]]+1)/(Tabla2[[#This Row],[Fantasma Comunicación]]+RANDBETWEEN(0,5)+2))-0.5</f>
        <v>0</v>
      </c>
      <c r="S425">
        <f ca="1">1+MAX(0,Tabla2[[#This Row],[Deuda actual]]/Tabla2[[#This Row],[Liquidez]]+Tabla2[[#This Row],[Liquidez]]/(Tabla2[[#This Row],[Activos]]+Tabla2[[#This Row],[Liquidez]])+Tabla2[[#This Row],[Comunicación]])</f>
        <v>2.1955521858006013</v>
      </c>
      <c r="T425">
        <f ca="1">Tabla2[[#This Row],[Deuda actual]]*EXP(Tabla2[[#This Row],[Ki]]*Tabla2[[#This Row],[diferencia de días]])*(1+Tabla2[[#This Row],[Hg]])</f>
        <v>1287.1277460464605</v>
      </c>
    </row>
    <row r="426" spans="1:20" ht="14.5" x14ac:dyDescent="0.35">
      <c r="A426">
        <f t="shared" si="66"/>
        <v>425</v>
      </c>
      <c r="B426">
        <f t="shared" ca="1" si="67"/>
        <v>46095</v>
      </c>
      <c r="C426">
        <f t="shared" ca="1" si="68"/>
        <v>46157</v>
      </c>
      <c r="D426">
        <f t="shared" ca="1" si="69"/>
        <v>1</v>
      </c>
      <c r="E426">
        <f t="shared" ca="1" si="70"/>
        <v>6.0737582222549769E-2</v>
      </c>
      <c r="F426">
        <f t="shared" ca="1" si="71"/>
        <v>2678.22</v>
      </c>
      <c r="G426" t="str">
        <f t="shared" ca="1" si="72"/>
        <v>hipotecario</v>
      </c>
      <c r="H42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26" t="str">
        <f t="shared" ca="1" si="73"/>
        <v>Sí</v>
      </c>
      <c r="J42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26">
        <f ca="1">IF(Tabla2[[#This Row],[¿cliente deuda abierta?]]="Sí", Tabla2[[#This Row],[Deuda actual]]*Tabla2[[#This Row],[diferencia de días]], "0")</f>
        <v>2678.22</v>
      </c>
      <c r="L42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2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2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26">
        <f t="shared" ca="1" si="74"/>
        <v>1307.45</v>
      </c>
      <c r="P426">
        <f t="shared" ca="1" si="75"/>
        <v>211674.9</v>
      </c>
      <c r="Q426">
        <f t="shared" ca="1" si="76"/>
        <v>5</v>
      </c>
      <c r="R426">
        <f ca="1">((Tabla2[[#This Row],[Fantasma Comunicación]]+1)/(Tabla2[[#This Row],[Fantasma Comunicación]]+RANDBETWEEN(0,5)+2))-0.5</f>
        <v>0.25</v>
      </c>
      <c r="S426">
        <f ca="1">1+MAX(0,Tabla2[[#This Row],[Deuda actual]]/Tabla2[[#This Row],[Liquidez]]+Tabla2[[#This Row],[Liquidez]]/(Tabla2[[#This Row],[Activos]]+Tabla2[[#This Row],[Liquidez]])+Tabla2[[#This Row],[Comunicación]])</f>
        <v>3.3045689218855991</v>
      </c>
      <c r="T426">
        <f ca="1">Tabla2[[#This Row],[Deuda actual]]*EXP(Tabla2[[#This Row],[Ki]]*Tabla2[[#This Row],[diferencia de días]])*(1+Tabla2[[#This Row],[Hg]])</f>
        <v>2812.6934824463701</v>
      </c>
    </row>
    <row r="427" spans="1:20" ht="14.5" x14ac:dyDescent="0.35">
      <c r="A427">
        <f t="shared" si="66"/>
        <v>426</v>
      </c>
      <c r="B427">
        <f t="shared" ca="1" si="67"/>
        <v>46093</v>
      </c>
      <c r="C427">
        <f t="shared" ca="1" si="68"/>
        <v>46157</v>
      </c>
      <c r="D427">
        <f t="shared" ca="1" si="69"/>
        <v>17</v>
      </c>
      <c r="E427">
        <f t="shared" ca="1" si="70"/>
        <v>6.4456683332491216E-2</v>
      </c>
      <c r="F427">
        <f t="shared" ca="1" si="71"/>
        <v>1780.53</v>
      </c>
      <c r="G427" t="str">
        <f t="shared" ca="1" si="72"/>
        <v>personal</v>
      </c>
      <c r="H42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27" t="str">
        <f t="shared" ca="1" si="73"/>
        <v>Sí</v>
      </c>
      <c r="J42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27">
        <f ca="1">IF(Tabla2[[#This Row],[¿cliente deuda abierta?]]="Sí", Tabla2[[#This Row],[Deuda actual]]*Tabla2[[#This Row],[diferencia de días]], "0")</f>
        <v>30269.01</v>
      </c>
      <c r="L42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42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27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427">
        <f t="shared" ca="1" si="74"/>
        <v>2115.02</v>
      </c>
      <c r="P427">
        <f t="shared" ca="1" si="75"/>
        <v>203680.85</v>
      </c>
      <c r="Q427">
        <f t="shared" ca="1" si="76"/>
        <v>0</v>
      </c>
      <c r="R427">
        <f ca="1">((Tabla2[[#This Row],[Fantasma Comunicación]]+1)/(Tabla2[[#This Row],[Fantasma Comunicación]]+RANDBETWEEN(0,5)+2))-0.5</f>
        <v>0</v>
      </c>
      <c r="S427">
        <f ca="1">1+MAX(0,Tabla2[[#This Row],[Deuda actual]]/Tabla2[[#This Row],[Liquidez]]+Tabla2[[#This Row],[Liquidez]]/(Tabla2[[#This Row],[Activos]]+Tabla2[[#This Row],[Liquidez]])+Tabla2[[#This Row],[Comunicación]])</f>
        <v>1.8521274666263412</v>
      </c>
      <c r="T427">
        <f ca="1">Tabla2[[#This Row],[Deuda actual]]*EXP(Tabla2[[#This Row],[Ki]]*Tabla2[[#This Row],[diferencia de días]])*(1+Tabla2[[#This Row],[Hg]])</f>
        <v>1971.9467496538812</v>
      </c>
    </row>
    <row r="428" spans="1:20" ht="14.5" x14ac:dyDescent="0.35">
      <c r="A428">
        <f t="shared" si="66"/>
        <v>427</v>
      </c>
      <c r="B428">
        <f t="shared" ca="1" si="67"/>
        <v>46095</v>
      </c>
      <c r="C428">
        <f t="shared" ca="1" si="68"/>
        <v>46157</v>
      </c>
      <c r="D428">
        <f t="shared" ca="1" si="69"/>
        <v>16</v>
      </c>
      <c r="E428">
        <f t="shared" ca="1" si="70"/>
        <v>6.6659406387992837E-2</v>
      </c>
      <c r="F428">
        <f t="shared" ca="1" si="71"/>
        <v>226.25</v>
      </c>
      <c r="G428" t="str">
        <f t="shared" ca="1" si="72"/>
        <v>personal</v>
      </c>
      <c r="H42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28" t="str">
        <f t="shared" ca="1" si="73"/>
        <v>No</v>
      </c>
      <c r="J42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12001.235010399871</v>
      </c>
      <c r="K428" t="str">
        <f ca="1">IF(Tabla2[[#This Row],[¿cliente deuda abierta?]]="Sí", Tabla2[[#This Row],[Deuda actual]]*Tabla2[[#This Row],[diferencia de días]], "0")</f>
        <v>0</v>
      </c>
      <c r="L42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2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2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28">
        <f t="shared" ca="1" si="74"/>
        <v>2776.77</v>
      </c>
      <c r="P428">
        <f t="shared" ca="1" si="75"/>
        <v>152841.24</v>
      </c>
      <c r="Q428">
        <f t="shared" ca="1" si="76"/>
        <v>1</v>
      </c>
      <c r="R428">
        <f ca="1">((Tabla2[[#This Row],[Fantasma Comunicación]]+1)/(Tabla2[[#This Row],[Fantasma Comunicación]]+RANDBETWEEN(0,5)+2))-0.5</f>
        <v>0.16666666666666663</v>
      </c>
      <c r="S428">
        <f ca="1">1+MAX(0,Tabla2[[#This Row],[Deuda actual]]/Tabla2[[#This Row],[Liquidez]]+Tabla2[[#This Row],[Liquidez]]/(Tabla2[[#This Row],[Activos]]+Tabla2[[#This Row],[Liquidez]])+Tabla2[[#This Row],[Comunicación]])</f>
        <v>1.2659897276991376</v>
      </c>
      <c r="T428">
        <f ca="1">Tabla2[[#This Row],[Deuda actual]]*EXP(Tabla2[[#This Row],[Ki]]*Tabla2[[#This Row],[diferencia de días]])*(1+Tabla2[[#This Row],[Hg]])</f>
        <v>204.93237915076466</v>
      </c>
    </row>
    <row r="429" spans="1:20" ht="14.5" x14ac:dyDescent="0.35">
      <c r="A429">
        <f t="shared" si="66"/>
        <v>428</v>
      </c>
      <c r="B429">
        <f t="shared" ca="1" si="67"/>
        <v>46135</v>
      </c>
      <c r="C429">
        <f t="shared" ca="1" si="68"/>
        <v>46157</v>
      </c>
      <c r="D429">
        <f t="shared" ca="1" si="69"/>
        <v>4</v>
      </c>
      <c r="E429">
        <f t="shared" ca="1" si="70"/>
        <v>0.53398198265867935</v>
      </c>
      <c r="F429">
        <f t="shared" ca="1" si="71"/>
        <v>1310.71</v>
      </c>
      <c r="G429" t="str">
        <f t="shared" ca="1" si="72"/>
        <v>hipotecario</v>
      </c>
      <c r="H42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29" t="str">
        <f t="shared" ca="1" si="73"/>
        <v>Sí</v>
      </c>
      <c r="J42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29">
        <f ca="1">IF(Tabla2[[#This Row],[¿cliente deuda abierta?]]="Sí", Tabla2[[#This Row],[Deuda actual]]*Tabla2[[#This Row],[diferencia de días]], "0")</f>
        <v>5242.84</v>
      </c>
      <c r="L42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2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2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29">
        <f t="shared" ca="1" si="74"/>
        <v>1659.06</v>
      </c>
      <c r="P429">
        <f t="shared" ca="1" si="75"/>
        <v>235953.09</v>
      </c>
      <c r="Q429">
        <f t="shared" ca="1" si="76"/>
        <v>5</v>
      </c>
      <c r="R429">
        <f ca="1">((Tabla2[[#This Row],[Fantasma Comunicación]]+1)/(Tabla2[[#This Row],[Fantasma Comunicación]]+RANDBETWEEN(0,5)+2))-0.5</f>
        <v>9.9999999999999978E-2</v>
      </c>
      <c r="S429">
        <f ca="1">1+MAX(0,Tabla2[[#This Row],[Deuda actual]]/Tabla2[[#This Row],[Liquidez]]+Tabla2[[#This Row],[Liquidez]]/(Tabla2[[#This Row],[Activos]]+Tabla2[[#This Row],[Liquidez]])+Tabla2[[#This Row],[Comunicación]])</f>
        <v>1.8970139234125525</v>
      </c>
      <c r="T429">
        <f ca="1">Tabla2[[#This Row],[Deuda actual]]*EXP(Tabla2[[#This Row],[Ki]]*Tabla2[[#This Row],[diferencia de días]])*(1+Tabla2[[#This Row],[Hg]])</f>
        <v>1377.346936916023</v>
      </c>
    </row>
    <row r="430" spans="1:20" ht="14.5" x14ac:dyDescent="0.35">
      <c r="A430">
        <f t="shared" si="66"/>
        <v>429</v>
      </c>
      <c r="B430">
        <f t="shared" ca="1" si="67"/>
        <v>46131</v>
      </c>
      <c r="C430">
        <f t="shared" ca="1" si="68"/>
        <v>46157</v>
      </c>
      <c r="D430">
        <f t="shared" ca="1" si="69"/>
        <v>5</v>
      </c>
      <c r="E430">
        <f t="shared" ca="1" si="70"/>
        <v>0.27803415388231822</v>
      </c>
      <c r="F430">
        <f t="shared" ca="1" si="71"/>
        <v>2772.29</v>
      </c>
      <c r="G430" t="str">
        <f t="shared" ca="1" si="72"/>
        <v>personal</v>
      </c>
      <c r="H43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30" t="str">
        <f t="shared" ca="1" si="73"/>
        <v>No</v>
      </c>
      <c r="J43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12001.031239143336</v>
      </c>
      <c r="K430" t="str">
        <f ca="1">IF(Tabla2[[#This Row],[¿cliente deuda abierta?]]="Sí", Tabla2[[#This Row],[Deuda actual]]*Tabla2[[#This Row],[diferencia de días]], "0")</f>
        <v>0</v>
      </c>
      <c r="L43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3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30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30">
        <f t="shared" ca="1" si="74"/>
        <v>1386.08</v>
      </c>
      <c r="P430">
        <f t="shared" ca="1" si="75"/>
        <v>213710.22</v>
      </c>
      <c r="Q430">
        <f t="shared" ca="1" si="76"/>
        <v>1</v>
      </c>
      <c r="R430">
        <f ca="1">((Tabla2[[#This Row],[Fantasma Comunicación]]+1)/(Tabla2[[#This Row],[Fantasma Comunicación]]+RANDBETWEEN(0,5)+2))-0.5</f>
        <v>0.16666666666666663</v>
      </c>
      <c r="S430">
        <f ca="1">1+MAX(0,Tabla2[[#This Row],[Deuda actual]]/Tabla2[[#This Row],[Liquidez]]+Tabla2[[#This Row],[Liquidez]]/(Tabla2[[#This Row],[Activos]]+Tabla2[[#This Row],[Liquidez]])+Tabla2[[#This Row],[Comunicación]])</f>
        <v>3.1732044537564481</v>
      </c>
      <c r="T430">
        <f ca="1">Tabla2[[#This Row],[Deuda actual]]*EXP(Tabla2[[#This Row],[Ki]]*Tabla2[[#This Row],[diferencia de días]])*(1+Tabla2[[#This Row],[Hg]])</f>
        <v>2497.5573089464474</v>
      </c>
    </row>
    <row r="431" spans="1:20" ht="14.5" x14ac:dyDescent="0.35">
      <c r="A431">
        <f t="shared" si="66"/>
        <v>430</v>
      </c>
      <c r="B431">
        <f t="shared" ca="1" si="67"/>
        <v>46123</v>
      </c>
      <c r="C431">
        <f t="shared" ca="1" si="68"/>
        <v>46157</v>
      </c>
      <c r="D431">
        <f t="shared" ca="1" si="69"/>
        <v>0</v>
      </c>
      <c r="E431">
        <f t="shared" ca="1" si="70"/>
        <v>0.72170315691583875</v>
      </c>
      <c r="F431">
        <f t="shared" ca="1" si="71"/>
        <v>513.01</v>
      </c>
      <c r="G431" t="str">
        <f t="shared" ca="1" si="72"/>
        <v>hipotecario</v>
      </c>
      <c r="H43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31" t="str">
        <f t="shared" ca="1" si="73"/>
        <v>Sí</v>
      </c>
      <c r="J43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31">
        <f ca="1">IF(Tabla2[[#This Row],[¿cliente deuda abierta?]]="Sí", Tabla2[[#This Row],[Deuda actual]]*Tabla2[[#This Row],[diferencia de días]], "0")</f>
        <v>0</v>
      </c>
      <c r="L43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3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31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431">
        <f t="shared" ca="1" si="74"/>
        <v>1614.72</v>
      </c>
      <c r="P431">
        <f t="shared" ca="1" si="75"/>
        <v>440862.57</v>
      </c>
      <c r="Q431">
        <f t="shared" ca="1" si="76"/>
        <v>1</v>
      </c>
      <c r="R431">
        <f ca="1">((Tabla2[[#This Row],[Fantasma Comunicación]]+1)/(Tabla2[[#This Row],[Fantasma Comunicación]]+RANDBETWEEN(0,5)+2))-0.5</f>
        <v>0</v>
      </c>
      <c r="S431">
        <f ca="1">1+MAX(0,Tabla2[[#This Row],[Deuda actual]]/Tabla2[[#This Row],[Liquidez]]+Tabla2[[#This Row],[Liquidez]]/(Tabla2[[#This Row],[Activos]]+Tabla2[[#This Row],[Liquidez]])+Tabla2[[#This Row],[Comunicación]])</f>
        <v>1.321357605367159</v>
      </c>
      <c r="T431">
        <f ca="1">Tabla2[[#This Row],[Deuda actual]]*EXP(Tabla2[[#This Row],[Ki]]*Tabla2[[#This Row],[diferencia de días]])*(1+Tabla2[[#This Row],[Hg]])</f>
        <v>513.01</v>
      </c>
    </row>
    <row r="432" spans="1:20" ht="14.5" x14ac:dyDescent="0.35">
      <c r="A432">
        <f t="shared" si="66"/>
        <v>431</v>
      </c>
      <c r="B432">
        <f t="shared" ca="1" si="67"/>
        <v>46091</v>
      </c>
      <c r="C432">
        <f t="shared" ca="1" si="68"/>
        <v>46157</v>
      </c>
      <c r="D432">
        <f t="shared" ca="1" si="69"/>
        <v>6</v>
      </c>
      <c r="E432">
        <f t="shared" ca="1" si="70"/>
        <v>0.72698359111696187</v>
      </c>
      <c r="F432">
        <f t="shared" ca="1" si="71"/>
        <v>1878.7</v>
      </c>
      <c r="G432" t="str">
        <f t="shared" ca="1" si="72"/>
        <v>hipotecario</v>
      </c>
      <c r="H43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32" t="str">
        <f t="shared" ca="1" si="73"/>
        <v>Sí</v>
      </c>
      <c r="J43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32">
        <f ca="1">IF(Tabla2[[#This Row],[¿cliente deuda abierta?]]="Sí", Tabla2[[#This Row],[Deuda actual]]*Tabla2[[#This Row],[diferencia de días]], "0")</f>
        <v>11272.2</v>
      </c>
      <c r="L43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3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3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32">
        <f t="shared" ca="1" si="74"/>
        <v>2223.83</v>
      </c>
      <c r="P432">
        <f t="shared" ca="1" si="75"/>
        <v>70306.11</v>
      </c>
      <c r="Q432">
        <f t="shared" ca="1" si="76"/>
        <v>5</v>
      </c>
      <c r="R432">
        <f ca="1">((Tabla2[[#This Row],[Fantasma Comunicación]]+1)/(Tabla2[[#This Row],[Fantasma Comunicación]]+RANDBETWEEN(0,5)+2))-0.5</f>
        <v>0.16666666666666663</v>
      </c>
      <c r="S432">
        <f ca="1">1+MAX(0,Tabla2[[#This Row],[Deuda actual]]/Tabla2[[#This Row],[Liquidez]]+Tabla2[[#This Row],[Liquidez]]/(Tabla2[[#This Row],[Activos]]+Tabla2[[#This Row],[Liquidez]])+Tabla2[[#This Row],[Comunicación]])</f>
        <v>2.0421313064939928</v>
      </c>
      <c r="T432">
        <f ca="1">Tabla2[[#This Row],[Deuda actual]]*EXP(Tabla2[[#This Row],[Ki]]*Tabla2[[#This Row],[diferencia de días]])*(1+Tabla2[[#This Row],[Hg]])</f>
        <v>1975.0035828654895</v>
      </c>
    </row>
    <row r="433" spans="1:20" ht="14.5" x14ac:dyDescent="0.35">
      <c r="A433">
        <f t="shared" si="66"/>
        <v>432</v>
      </c>
      <c r="B433">
        <f t="shared" ca="1" si="67"/>
        <v>46091</v>
      </c>
      <c r="C433">
        <f t="shared" ca="1" si="68"/>
        <v>46157</v>
      </c>
      <c r="D433">
        <f t="shared" ca="1" si="69"/>
        <v>37</v>
      </c>
      <c r="E433">
        <f t="shared" ca="1" si="70"/>
        <v>5.9838234945720492E-3</v>
      </c>
      <c r="F433">
        <f t="shared" ca="1" si="71"/>
        <v>1353.2</v>
      </c>
      <c r="G433" t="str">
        <f t="shared" ca="1" si="72"/>
        <v>personal</v>
      </c>
      <c r="H43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433" t="str">
        <f t="shared" ca="1" si="73"/>
        <v>No</v>
      </c>
      <c r="J43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11999.188792334402</v>
      </c>
      <c r="K433" t="str">
        <f ca="1">IF(Tabla2[[#This Row],[¿cliente deuda abierta?]]="Sí", Tabla2[[#This Row],[Deuda actual]]*Tabla2[[#This Row],[diferencia de días]], "0")</f>
        <v>0</v>
      </c>
      <c r="L43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3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3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33">
        <f t="shared" ca="1" si="74"/>
        <v>1403.9</v>
      </c>
      <c r="P433">
        <f t="shared" ca="1" si="75"/>
        <v>415347.29</v>
      </c>
      <c r="Q433">
        <f t="shared" ca="1" si="76"/>
        <v>2</v>
      </c>
      <c r="R433">
        <f ca="1">((Tabla2[[#This Row],[Fantasma Comunicación]]+1)/(Tabla2[[#This Row],[Fantasma Comunicación]]+RANDBETWEEN(0,5)+2))-0.5</f>
        <v>-7.1428571428571452E-2</v>
      </c>
      <c r="S433">
        <f ca="1">1+MAX(0,Tabla2[[#This Row],[Deuda actual]]/Tabla2[[#This Row],[Liquidez]]+Tabla2[[#This Row],[Liquidez]]/(Tabla2[[#This Row],[Activos]]+Tabla2[[#This Row],[Liquidez]])+Tabla2[[#This Row],[Comunicación]])</f>
        <v>1.8958264219043821</v>
      </c>
      <c r="T433">
        <f ca="1">Tabla2[[#This Row],[Deuda actual]]*EXP(Tabla2[[#This Row],[Ki]]*Tabla2[[#This Row],[diferencia de días]])*(1+Tabla2[[#This Row],[Hg]])</f>
        <v>1263.7855762183749</v>
      </c>
    </row>
    <row r="434" spans="1:20" ht="14.5" x14ac:dyDescent="0.35">
      <c r="A434">
        <f t="shared" si="66"/>
        <v>433</v>
      </c>
      <c r="B434">
        <f t="shared" ca="1" si="67"/>
        <v>46109</v>
      </c>
      <c r="C434">
        <f t="shared" ca="1" si="68"/>
        <v>46157</v>
      </c>
      <c r="D434">
        <f t="shared" ca="1" si="69"/>
        <v>13</v>
      </c>
      <c r="E434">
        <f t="shared" ca="1" si="70"/>
        <v>0.51004090187563178</v>
      </c>
      <c r="F434">
        <f t="shared" ca="1" si="71"/>
        <v>1016.33</v>
      </c>
      <c r="G434" t="str">
        <f t="shared" ca="1" si="72"/>
        <v>personal</v>
      </c>
      <c r="H43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34" t="str">
        <f t="shared" ca="1" si="73"/>
        <v>Sí</v>
      </c>
      <c r="J43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34">
        <f ca="1">IF(Tabla2[[#This Row],[¿cliente deuda abierta?]]="Sí", Tabla2[[#This Row],[Deuda actual]]*Tabla2[[#This Row],[diferencia de días]], "0")</f>
        <v>13212.29</v>
      </c>
      <c r="L43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3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3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34">
        <f t="shared" ca="1" si="74"/>
        <v>2160.4699999999998</v>
      </c>
      <c r="P434">
        <f t="shared" ca="1" si="75"/>
        <v>261058.56</v>
      </c>
      <c r="Q434">
        <f t="shared" ca="1" si="76"/>
        <v>2</v>
      </c>
      <c r="R434">
        <f ca="1">((Tabla2[[#This Row],[Fantasma Comunicación]]+1)/(Tabla2[[#This Row],[Fantasma Comunicación]]+RANDBETWEEN(0,5)+2))-0.5</f>
        <v>9.9999999999999978E-2</v>
      </c>
      <c r="S434">
        <f ca="1">1+MAX(0,Tabla2[[#This Row],[Deuda actual]]/Tabla2[[#This Row],[Liquidez]]+Tabla2[[#This Row],[Liquidez]]/(Tabla2[[#This Row],[Activos]]+Tabla2[[#This Row],[Liquidez]])+Tabla2[[#This Row],[Comunicación]])</f>
        <v>1.5786286672640155</v>
      </c>
      <c r="T434">
        <f ca="1">Tabla2[[#This Row],[Deuda actual]]*EXP(Tabla2[[#This Row],[Ki]]*Tabla2[[#This Row],[diferencia de días]])*(1+Tabla2[[#This Row],[Hg]])</f>
        <v>1069.9246909832309</v>
      </c>
    </row>
    <row r="435" spans="1:20" ht="14.5" x14ac:dyDescent="0.35">
      <c r="A435">
        <f t="shared" si="66"/>
        <v>434</v>
      </c>
      <c r="B435">
        <f t="shared" ca="1" si="67"/>
        <v>46087</v>
      </c>
      <c r="C435">
        <f t="shared" ca="1" si="68"/>
        <v>46157</v>
      </c>
      <c r="D435">
        <f t="shared" ca="1" si="69"/>
        <v>12</v>
      </c>
      <c r="E435">
        <f t="shared" ca="1" si="70"/>
        <v>0.6560941022839516</v>
      </c>
      <c r="F435">
        <f t="shared" ca="1" si="71"/>
        <v>6100.89</v>
      </c>
      <c r="G435" t="str">
        <f t="shared" ca="1" si="72"/>
        <v>personal</v>
      </c>
      <c r="H43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35" t="str">
        <f t="shared" ca="1" si="73"/>
        <v>Sí</v>
      </c>
      <c r="J43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35">
        <f ca="1">IF(Tabla2[[#This Row],[¿cliente deuda abierta?]]="Sí", Tabla2[[#This Row],[Deuda actual]]*Tabla2[[#This Row],[diferencia de días]], "0")</f>
        <v>73210.680000000008</v>
      </c>
      <c r="L43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43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35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435">
        <f t="shared" ca="1" si="74"/>
        <v>2871.79</v>
      </c>
      <c r="P435">
        <f t="shared" ca="1" si="75"/>
        <v>439496.24</v>
      </c>
      <c r="Q435">
        <f t="shared" ca="1" si="76"/>
        <v>1</v>
      </c>
      <c r="R435">
        <f ca="1">((Tabla2[[#This Row],[Fantasma Comunicación]]+1)/(Tabla2[[#This Row],[Fantasma Comunicación]]+RANDBETWEEN(0,5)+2))-0.5</f>
        <v>-0.2142857142857143</v>
      </c>
      <c r="S435">
        <f ca="1">1+MAX(0,Tabla2[[#This Row],[Deuda actual]]/Tabla2[[#This Row],[Liquidez]]+Tabla2[[#This Row],[Liquidez]]/(Tabla2[[#This Row],[Activos]]+Tabla2[[#This Row],[Liquidez]])+Tabla2[[#This Row],[Comunicación]])</f>
        <v>2.916626800231402</v>
      </c>
      <c r="T435">
        <f ca="1">Tabla2[[#This Row],[Deuda actual]]*EXP(Tabla2[[#This Row],[Ki]]*Tabla2[[#This Row],[diferencia de días]])*(1+Tabla2[[#This Row],[Hg]])</f>
        <v>7032.8821787223005</v>
      </c>
    </row>
    <row r="436" spans="1:20" ht="14.5" x14ac:dyDescent="0.35">
      <c r="A436">
        <f t="shared" si="66"/>
        <v>435</v>
      </c>
      <c r="B436">
        <f t="shared" ca="1" si="67"/>
        <v>46101</v>
      </c>
      <c r="C436">
        <f t="shared" ca="1" si="68"/>
        <v>46157</v>
      </c>
      <c r="D436">
        <f t="shared" ca="1" si="69"/>
        <v>5</v>
      </c>
      <c r="E436">
        <f t="shared" ca="1" si="70"/>
        <v>0.75738145863948869</v>
      </c>
      <c r="F436">
        <f t="shared" ca="1" si="71"/>
        <v>10000</v>
      </c>
      <c r="G436" t="str">
        <f t="shared" ca="1" si="72"/>
        <v>hipotecario</v>
      </c>
      <c r="H43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36" t="str">
        <f t="shared" ca="1" si="73"/>
        <v>Sí</v>
      </c>
      <c r="J43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36">
        <f ca="1">IF(Tabla2[[#This Row],[¿cliente deuda abierta?]]="Sí", Tabla2[[#This Row],[Deuda actual]]*Tabla2[[#This Row],[diferencia de días]], "0")</f>
        <v>50000</v>
      </c>
      <c r="L43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43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36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436">
        <f t="shared" ca="1" si="74"/>
        <v>1594.71</v>
      </c>
      <c r="P436">
        <f t="shared" ca="1" si="75"/>
        <v>74568.570000000007</v>
      </c>
      <c r="Q436">
        <f t="shared" ca="1" si="76"/>
        <v>0</v>
      </c>
      <c r="R436">
        <f ca="1">((Tabla2[[#This Row],[Fantasma Comunicación]]+1)/(Tabla2[[#This Row],[Fantasma Comunicación]]+RANDBETWEEN(0,5)+2))-0.5</f>
        <v>-0.33333333333333337</v>
      </c>
      <c r="S436">
        <f ca="1">1+MAX(0,Tabla2[[#This Row],[Deuda actual]]/Tabla2[[#This Row],[Liquidez]]+Tabla2[[#This Row],[Liquidez]]/(Tabla2[[#This Row],[Activos]]+Tabla2[[#This Row],[Liquidez]])+Tabla2[[#This Row],[Comunicación]])</f>
        <v>6.9583373189417577</v>
      </c>
      <c r="T436">
        <f ca="1">Tabla2[[#This Row],[Deuda actual]]*EXP(Tabla2[[#This Row],[Ki]]*Tabla2[[#This Row],[diferencia de días]])*(1+Tabla2[[#This Row],[Hg]])</f>
        <v>11011.005501833792</v>
      </c>
    </row>
    <row r="437" spans="1:20" ht="14.5" x14ac:dyDescent="0.35">
      <c r="A437">
        <f t="shared" si="66"/>
        <v>436</v>
      </c>
      <c r="B437">
        <f t="shared" ca="1" si="67"/>
        <v>46141</v>
      </c>
      <c r="C437">
        <f t="shared" ca="1" si="68"/>
        <v>46157</v>
      </c>
      <c r="D437">
        <f t="shared" ca="1" si="69"/>
        <v>28</v>
      </c>
      <c r="E437">
        <f t="shared" ca="1" si="70"/>
        <v>0.6378389441057073</v>
      </c>
      <c r="F437">
        <f t="shared" ca="1" si="71"/>
        <v>1330.31</v>
      </c>
      <c r="G437" t="str">
        <f t="shared" ca="1" si="72"/>
        <v>hipotecario</v>
      </c>
      <c r="H43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37" t="str">
        <f t="shared" ca="1" si="73"/>
        <v>Sí</v>
      </c>
      <c r="J43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37">
        <f ca="1">IF(Tabla2[[#This Row],[¿cliente deuda abierta?]]="Sí", Tabla2[[#This Row],[Deuda actual]]*Tabla2[[#This Row],[diferencia de días]], "0")</f>
        <v>37248.68</v>
      </c>
      <c r="L43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43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37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437">
        <f t="shared" ca="1" si="74"/>
        <v>2020.93</v>
      </c>
      <c r="P437">
        <f t="shared" ca="1" si="75"/>
        <v>115985.49</v>
      </c>
      <c r="Q437">
        <f t="shared" ca="1" si="76"/>
        <v>5</v>
      </c>
      <c r="R437">
        <f ca="1">((Tabla2[[#This Row],[Fantasma Comunicación]]+1)/(Tabla2[[#This Row],[Fantasma Comunicación]]+RANDBETWEEN(0,5)+2))-0.5</f>
        <v>4.5454545454545414E-2</v>
      </c>
      <c r="S437">
        <f ca="1">1+MAX(0,Tabla2[[#This Row],[Deuda actual]]/Tabla2[[#This Row],[Liquidez]]+Tabla2[[#This Row],[Liquidez]]/(Tabla2[[#This Row],[Activos]]+Tabla2[[#This Row],[Liquidez]])+Tabla2[[#This Row],[Comunicación]])</f>
        <v>1.720846382888934</v>
      </c>
      <c r="T437">
        <f ca="1">Tabla2[[#This Row],[Deuda actual]]*EXP(Tabla2[[#This Row],[Ki]]*Tabla2[[#This Row],[diferencia de días]])*(1+Tabla2[[#This Row],[Hg]])</f>
        <v>1479.8225435572119</v>
      </c>
    </row>
    <row r="438" spans="1:20" ht="14.5" x14ac:dyDescent="0.35">
      <c r="A438">
        <f t="shared" si="66"/>
        <v>437</v>
      </c>
      <c r="B438">
        <f t="shared" ca="1" si="67"/>
        <v>46087</v>
      </c>
      <c r="C438">
        <f t="shared" ca="1" si="68"/>
        <v>46157</v>
      </c>
      <c r="D438">
        <f t="shared" ca="1" si="69"/>
        <v>46</v>
      </c>
      <c r="E438">
        <f t="shared" ca="1" si="70"/>
        <v>0.70960916618329195</v>
      </c>
      <c r="F438">
        <f t="shared" ca="1" si="71"/>
        <v>2852.68</v>
      </c>
      <c r="G438" t="str">
        <f t="shared" ca="1" si="72"/>
        <v>personal</v>
      </c>
      <c r="H43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438" t="str">
        <f t="shared" ca="1" si="73"/>
        <v>No</v>
      </c>
      <c r="J43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11999.285413287516</v>
      </c>
      <c r="K438" t="str">
        <f ca="1">IF(Tabla2[[#This Row],[¿cliente deuda abierta?]]="Sí", Tabla2[[#This Row],[Deuda actual]]*Tabla2[[#This Row],[diferencia de días]], "0")</f>
        <v>0</v>
      </c>
      <c r="L43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3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3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38">
        <f t="shared" ca="1" si="74"/>
        <v>1566.43</v>
      </c>
      <c r="P438">
        <f t="shared" ca="1" si="75"/>
        <v>427379.94</v>
      </c>
      <c r="Q438">
        <f t="shared" ca="1" si="76"/>
        <v>5</v>
      </c>
      <c r="R438">
        <f ca="1">((Tabla2[[#This Row],[Fantasma Comunicación]]+1)/(Tabla2[[#This Row],[Fantasma Comunicación]]+RANDBETWEEN(0,5)+2))-0.5</f>
        <v>4.5454545454545414E-2</v>
      </c>
      <c r="S438">
        <f ca="1">1+MAX(0,Tabla2[[#This Row],[Deuda actual]]/Tabla2[[#This Row],[Liquidez]]+Tabla2[[#This Row],[Liquidez]]/(Tabla2[[#This Row],[Activos]]+Tabla2[[#This Row],[Liquidez]])+Tabla2[[#This Row],[Comunicación]])</f>
        <v>2.870241036002235</v>
      </c>
      <c r="T438">
        <f ca="1">Tabla2[[#This Row],[Deuda actual]]*EXP(Tabla2[[#This Row],[Ki]]*Tabla2[[#This Row],[diferencia de días]])*(1+Tabla2[[#This Row],[Hg]])</f>
        <v>2688.2714075837721</v>
      </c>
    </row>
    <row r="439" spans="1:20" ht="14.5" x14ac:dyDescent="0.35">
      <c r="A439">
        <f t="shared" si="66"/>
        <v>438</v>
      </c>
      <c r="B439">
        <f t="shared" ca="1" si="67"/>
        <v>46082</v>
      </c>
      <c r="C439">
        <f t="shared" ca="1" si="68"/>
        <v>46157</v>
      </c>
      <c r="D439">
        <f t="shared" ca="1" si="69"/>
        <v>3</v>
      </c>
      <c r="E439">
        <f t="shared" ca="1" si="70"/>
        <v>7.3174421206440354E-2</v>
      </c>
      <c r="F439">
        <f t="shared" ca="1" si="71"/>
        <v>3318.83</v>
      </c>
      <c r="G439" t="str">
        <f t="shared" ca="1" si="72"/>
        <v>personal</v>
      </c>
      <c r="H43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39" t="str">
        <f t="shared" ca="1" si="73"/>
        <v>No</v>
      </c>
      <c r="J43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11999.393610719506</v>
      </c>
      <c r="K439" t="str">
        <f ca="1">IF(Tabla2[[#This Row],[¿cliente deuda abierta?]]="Sí", Tabla2[[#This Row],[Deuda actual]]*Tabla2[[#This Row],[diferencia de días]], "0")</f>
        <v>0</v>
      </c>
      <c r="L43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3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39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39">
        <f t="shared" ca="1" si="74"/>
        <v>1324.34</v>
      </c>
      <c r="P439">
        <f t="shared" ca="1" si="75"/>
        <v>67440.820000000007</v>
      </c>
      <c r="Q439">
        <f t="shared" ca="1" si="76"/>
        <v>2</v>
      </c>
      <c r="R439">
        <f ca="1">((Tabla2[[#This Row],[Fantasma Comunicación]]+1)/(Tabla2[[#This Row],[Fantasma Comunicación]]+RANDBETWEEN(0,5)+2))-0.5</f>
        <v>9.9999999999999978E-2</v>
      </c>
      <c r="S439">
        <f ca="1">1+MAX(0,Tabla2[[#This Row],[Deuda actual]]/Tabla2[[#This Row],[Liquidez]]+Tabla2[[#This Row],[Liquidez]]/(Tabla2[[#This Row],[Activos]]+Tabla2[[#This Row],[Liquidez]])+Tabla2[[#This Row],[Comunicación]])</f>
        <v>3.6252845234762705</v>
      </c>
      <c r="T439">
        <f ca="1">Tabla2[[#This Row],[Deuda actual]]*EXP(Tabla2[[#This Row],[Ki]]*Tabla2[[#This Row],[diferencia de días]])*(1+Tabla2[[#This Row],[Hg]])</f>
        <v>2988.7397059580062</v>
      </c>
    </row>
    <row r="440" spans="1:20" ht="14.5" x14ac:dyDescent="0.35">
      <c r="A440">
        <f t="shared" si="66"/>
        <v>439</v>
      </c>
      <c r="B440">
        <f t="shared" ca="1" si="67"/>
        <v>46104</v>
      </c>
      <c r="C440">
        <f t="shared" ca="1" si="68"/>
        <v>46157</v>
      </c>
      <c r="D440">
        <f t="shared" ca="1" si="69"/>
        <v>18</v>
      </c>
      <c r="E440">
        <f t="shared" ca="1" si="70"/>
        <v>0.35610213252030221</v>
      </c>
      <c r="F440">
        <f t="shared" ca="1" si="71"/>
        <v>10000</v>
      </c>
      <c r="G440" t="str">
        <f t="shared" ca="1" si="72"/>
        <v>personal</v>
      </c>
      <c r="H44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40" t="str">
        <f t="shared" ca="1" si="73"/>
        <v>No</v>
      </c>
      <c r="J44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12000.183950766084</v>
      </c>
      <c r="K440" t="str">
        <f ca="1">IF(Tabla2[[#This Row],[¿cliente deuda abierta?]]="Sí", Tabla2[[#This Row],[Deuda actual]]*Tabla2[[#This Row],[diferencia de días]], "0")</f>
        <v>0</v>
      </c>
      <c r="L44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4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40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40">
        <f t="shared" ca="1" si="74"/>
        <v>1552.39</v>
      </c>
      <c r="P440">
        <f t="shared" ca="1" si="75"/>
        <v>48308.22</v>
      </c>
      <c r="Q440">
        <f t="shared" ca="1" si="76"/>
        <v>3</v>
      </c>
      <c r="R440">
        <f ca="1">((Tabla2[[#This Row],[Fantasma Comunicación]]+1)/(Tabla2[[#This Row],[Fantasma Comunicación]]+RANDBETWEEN(0,5)+2))-0.5</f>
        <v>0.30000000000000004</v>
      </c>
      <c r="S440">
        <f ca="1">1+MAX(0,Tabla2[[#This Row],[Deuda actual]]/Tabla2[[#This Row],[Liquidez]]+Tabla2[[#This Row],[Liquidez]]/(Tabla2[[#This Row],[Activos]]+Tabla2[[#This Row],[Liquidez]])+Tabla2[[#This Row],[Comunicación]])</f>
        <v>7.7728148449054544</v>
      </c>
      <c r="T440">
        <f ca="1">Tabla2[[#This Row],[Deuda actual]]*EXP(Tabla2[[#This Row],[Ki]]*Tabla2[[#This Row],[diferencia de días]])*(1+Tabla2[[#This Row],[Hg]])</f>
        <v>9065.033840881224</v>
      </c>
    </row>
    <row r="441" spans="1:20" ht="14.5" x14ac:dyDescent="0.35">
      <c r="A441">
        <f t="shared" si="66"/>
        <v>440</v>
      </c>
      <c r="B441">
        <f t="shared" ca="1" si="67"/>
        <v>46104</v>
      </c>
      <c r="C441">
        <f t="shared" ca="1" si="68"/>
        <v>46157</v>
      </c>
      <c r="D441">
        <f t="shared" ca="1" si="69"/>
        <v>15</v>
      </c>
      <c r="E441">
        <f t="shared" ca="1" si="70"/>
        <v>5.4431609764810096E-3</v>
      </c>
      <c r="F441">
        <f t="shared" ca="1" si="71"/>
        <v>388.23</v>
      </c>
      <c r="G441" t="str">
        <f t="shared" ca="1" si="72"/>
        <v>hipotecario</v>
      </c>
      <c r="H44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41" t="str">
        <f t="shared" ca="1" si="73"/>
        <v>No</v>
      </c>
      <c r="J44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164999.9591957267</v>
      </c>
      <c r="K441" t="str">
        <f ca="1">IF(Tabla2[[#This Row],[¿cliente deuda abierta?]]="Sí", Tabla2[[#This Row],[Deuda actual]]*Tabla2[[#This Row],[diferencia de días]], "0")</f>
        <v>0</v>
      </c>
      <c r="L44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4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441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441">
        <f t="shared" ca="1" si="74"/>
        <v>1658.25</v>
      </c>
      <c r="P441">
        <f t="shared" ca="1" si="75"/>
        <v>588350.71</v>
      </c>
      <c r="Q441">
        <f t="shared" ca="1" si="76"/>
        <v>2</v>
      </c>
      <c r="R441">
        <f ca="1">((Tabla2[[#This Row],[Fantasma Comunicación]]+1)/(Tabla2[[#This Row],[Fantasma Comunicación]]+RANDBETWEEN(0,5)+2))-0.5</f>
        <v>0.25</v>
      </c>
      <c r="S441">
        <f ca="1">1+MAX(0,Tabla2[[#This Row],[Deuda actual]]/Tabla2[[#This Row],[Liquidez]]+Tabla2[[#This Row],[Liquidez]]/(Tabla2[[#This Row],[Activos]]+Tabla2[[#This Row],[Liquidez]])+Tabla2[[#This Row],[Comunicación]])</f>
        <v>1.4869308580912235</v>
      </c>
      <c r="T441">
        <f ca="1">Tabla2[[#This Row],[Deuda actual]]*EXP(Tabla2[[#This Row],[Ki]]*Tabla2[[#This Row],[diferencia de días]])*(1+Tabla2[[#This Row],[Hg]])</f>
        <v>312.45310570981576</v>
      </c>
    </row>
    <row r="442" spans="1:20" ht="14.5" x14ac:dyDescent="0.35">
      <c r="A442">
        <f t="shared" si="66"/>
        <v>441</v>
      </c>
      <c r="B442">
        <f t="shared" ca="1" si="67"/>
        <v>46118</v>
      </c>
      <c r="C442">
        <f t="shared" ca="1" si="68"/>
        <v>46157</v>
      </c>
      <c r="D442">
        <f t="shared" ca="1" si="69"/>
        <v>1</v>
      </c>
      <c r="E442">
        <f t="shared" ca="1" si="70"/>
        <v>0.65698645272934741</v>
      </c>
      <c r="F442">
        <f t="shared" ca="1" si="71"/>
        <v>382.65</v>
      </c>
      <c r="G442" t="str">
        <f t="shared" ca="1" si="72"/>
        <v>hipotecario</v>
      </c>
      <c r="H44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42" t="str">
        <f t="shared" ca="1" si="73"/>
        <v>Sí</v>
      </c>
      <c r="J44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42">
        <f ca="1">IF(Tabla2[[#This Row],[¿cliente deuda abierta?]]="Sí", Tabla2[[#This Row],[Deuda actual]]*Tabla2[[#This Row],[diferencia de días]], "0")</f>
        <v>382.65</v>
      </c>
      <c r="L44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4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4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42">
        <f t="shared" ca="1" si="74"/>
        <v>1522.36</v>
      </c>
      <c r="P442">
        <f t="shared" ca="1" si="75"/>
        <v>104003.64</v>
      </c>
      <c r="Q442">
        <f t="shared" ca="1" si="76"/>
        <v>5</v>
      </c>
      <c r="R442">
        <f ca="1">((Tabla2[[#This Row],[Fantasma Comunicación]]+1)/(Tabla2[[#This Row],[Fantasma Comunicación]]+RANDBETWEEN(0,5)+2))-0.5</f>
        <v>9.9999999999999978E-2</v>
      </c>
      <c r="S442">
        <f ca="1">1+MAX(0,Tabla2[[#This Row],[Deuda actual]]/Tabla2[[#This Row],[Liquidez]]+Tabla2[[#This Row],[Liquidez]]/(Tabla2[[#This Row],[Activos]]+Tabla2[[#This Row],[Liquidez]])+Tabla2[[#This Row],[Comunicación]])</f>
        <v>1.3657795594815154</v>
      </c>
      <c r="T442">
        <f ca="1">Tabla2[[#This Row],[Deuda actual]]*EXP(Tabla2[[#This Row],[Ki]]*Tabla2[[#This Row],[diferencia de días]])*(1+Tabla2[[#This Row],[Hg]])</f>
        <v>401.86286453618573</v>
      </c>
    </row>
    <row r="443" spans="1:20" ht="14.5" x14ac:dyDescent="0.35">
      <c r="A443">
        <f t="shared" si="66"/>
        <v>442</v>
      </c>
      <c r="B443">
        <f t="shared" ca="1" si="67"/>
        <v>46123</v>
      </c>
      <c r="C443">
        <f t="shared" ca="1" si="68"/>
        <v>46157</v>
      </c>
      <c r="D443">
        <f t="shared" ca="1" si="69"/>
        <v>0</v>
      </c>
      <c r="E443">
        <f t="shared" ca="1" si="70"/>
        <v>3.4502343922835577E-2</v>
      </c>
      <c r="F443">
        <f t="shared" ca="1" si="71"/>
        <v>564.66999999999996</v>
      </c>
      <c r="G443" t="str">
        <f t="shared" ca="1" si="72"/>
        <v>hipotecario</v>
      </c>
      <c r="H44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43" t="str">
        <f t="shared" ca="1" si="73"/>
        <v>No</v>
      </c>
      <c r="J44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165001.68125033926</v>
      </c>
      <c r="K443" t="str">
        <f ca="1">IF(Tabla2[[#This Row],[¿cliente deuda abierta?]]="Sí", Tabla2[[#This Row],[Deuda actual]]*Tabla2[[#This Row],[diferencia de días]], "0")</f>
        <v>0</v>
      </c>
      <c r="L44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4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44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443">
        <f t="shared" ca="1" si="74"/>
        <v>1609.44</v>
      </c>
      <c r="P443">
        <f t="shared" ca="1" si="75"/>
        <v>109555.08</v>
      </c>
      <c r="Q443">
        <f t="shared" ca="1" si="76"/>
        <v>3</v>
      </c>
      <c r="R443">
        <f ca="1">((Tabla2[[#This Row],[Fantasma Comunicación]]+1)/(Tabla2[[#This Row],[Fantasma Comunicación]]+RANDBETWEEN(0,5)+2))-0.5</f>
        <v>0.16666666666666663</v>
      </c>
      <c r="S443">
        <f ca="1">1+MAX(0,Tabla2[[#This Row],[Deuda actual]]/Tabla2[[#This Row],[Liquidez]]+Tabla2[[#This Row],[Liquidez]]/(Tabla2[[#This Row],[Activos]]+Tabla2[[#This Row],[Liquidez]])+Tabla2[[#This Row],[Comunicación]])</f>
        <v>1.5319934098010068</v>
      </c>
      <c r="T443">
        <f ca="1">Tabla2[[#This Row],[Deuda actual]]*EXP(Tabla2[[#This Row],[Ki]]*Tabla2[[#This Row],[diferencia de días]])*(1+Tabla2[[#This Row],[Hg]])</f>
        <v>451.73599999999999</v>
      </c>
    </row>
    <row r="444" spans="1:20" ht="14.5" x14ac:dyDescent="0.35">
      <c r="A444">
        <f t="shared" si="66"/>
        <v>443</v>
      </c>
      <c r="B444">
        <f t="shared" ca="1" si="67"/>
        <v>46103</v>
      </c>
      <c r="C444">
        <f t="shared" ca="1" si="68"/>
        <v>46157</v>
      </c>
      <c r="D444">
        <f t="shared" ca="1" si="69"/>
        <v>11</v>
      </c>
      <c r="E444">
        <f t="shared" ca="1" si="70"/>
        <v>0.94768043644825328</v>
      </c>
      <c r="F444">
        <f t="shared" ca="1" si="71"/>
        <v>356.09</v>
      </c>
      <c r="G444" t="str">
        <f t="shared" ca="1" si="72"/>
        <v>hipotecario</v>
      </c>
      <c r="H44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44" t="str">
        <f t="shared" ca="1" si="73"/>
        <v>Sí</v>
      </c>
      <c r="J44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44">
        <f ca="1">IF(Tabla2[[#This Row],[¿cliente deuda abierta?]]="Sí", Tabla2[[#This Row],[Deuda actual]]*Tabla2[[#This Row],[diferencia de días]], "0")</f>
        <v>3916.99</v>
      </c>
      <c r="L44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4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4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44">
        <f t="shared" ca="1" si="74"/>
        <v>1921.83</v>
      </c>
      <c r="P444">
        <f t="shared" ca="1" si="75"/>
        <v>98136.14</v>
      </c>
      <c r="Q444">
        <f t="shared" ca="1" si="76"/>
        <v>5</v>
      </c>
      <c r="R444">
        <f ca="1">((Tabla2[[#This Row],[Fantasma Comunicación]]+1)/(Tabla2[[#This Row],[Fantasma Comunicación]]+RANDBETWEEN(0,5)+2))-0.5</f>
        <v>0</v>
      </c>
      <c r="S444">
        <f ca="1">1+MAX(0,Tabla2[[#This Row],[Deuda actual]]/Tabla2[[#This Row],[Liquidez]]+Tabla2[[#This Row],[Liquidez]]/(Tabla2[[#This Row],[Activos]]+Tabla2[[#This Row],[Liquidez]])+Tabla2[[#This Row],[Comunicación]])</f>
        <v>1.2044941056580278</v>
      </c>
      <c r="T444">
        <f ca="1">Tabla2[[#This Row],[Deuda actual]]*EXP(Tabla2[[#This Row],[Ki]]*Tabla2[[#This Row],[diferencia de días]])*(1+Tabla2[[#This Row],[Hg]])</f>
        <v>374.71797338859318</v>
      </c>
    </row>
    <row r="445" spans="1:20" ht="14.5" x14ac:dyDescent="0.35">
      <c r="A445">
        <f t="shared" si="66"/>
        <v>444</v>
      </c>
      <c r="B445">
        <f t="shared" ca="1" si="67"/>
        <v>46126</v>
      </c>
      <c r="C445">
        <f t="shared" ca="1" si="68"/>
        <v>46157</v>
      </c>
      <c r="D445">
        <f t="shared" ca="1" si="69"/>
        <v>70</v>
      </c>
      <c r="E445">
        <f t="shared" ca="1" si="70"/>
        <v>0.35666544877944639</v>
      </c>
      <c r="F445">
        <f t="shared" ca="1" si="71"/>
        <v>2160.2800000000002</v>
      </c>
      <c r="G445" t="str">
        <f t="shared" ca="1" si="72"/>
        <v>hipotecario</v>
      </c>
      <c r="H44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445" t="str">
        <f t="shared" ca="1" si="73"/>
        <v>Sí</v>
      </c>
      <c r="J44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45">
        <f ca="1">IF(Tabla2[[#This Row],[¿cliente deuda abierta?]]="Sí", Tabla2[[#This Row],[Deuda actual]]*Tabla2[[#This Row],[diferencia de días]], "0")</f>
        <v>151219.6</v>
      </c>
      <c r="L44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44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45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445">
        <f t="shared" ca="1" si="74"/>
        <v>1505.81</v>
      </c>
      <c r="P445">
        <f t="shared" ca="1" si="75"/>
        <v>335926.71</v>
      </c>
      <c r="Q445">
        <f t="shared" ca="1" si="76"/>
        <v>1</v>
      </c>
      <c r="R445">
        <f ca="1">((Tabla2[[#This Row],[Fantasma Comunicación]]+1)/(Tabla2[[#This Row],[Fantasma Comunicación]]+RANDBETWEEN(0,5)+2))-0.5</f>
        <v>0.16666666666666663</v>
      </c>
      <c r="S445">
        <f ca="1">1+MAX(0,Tabla2[[#This Row],[Deuda actual]]/Tabla2[[#This Row],[Liquidez]]+Tabla2[[#This Row],[Liquidez]]/(Tabla2[[#This Row],[Activos]]+Tabla2[[#This Row],[Liquidez]])+Tabla2[[#This Row],[Comunicación]])</f>
        <v>2.6057590851536698</v>
      </c>
      <c r="T445">
        <f ca="1">Tabla2[[#This Row],[Deuda actual]]*EXP(Tabla2[[#This Row],[Ki]]*Tabla2[[#This Row],[diferencia de días]])*(1+Tabla2[[#This Row],[Hg]])</f>
        <v>2664.4556698698379</v>
      </c>
    </row>
    <row r="446" spans="1:20" ht="14.5" x14ac:dyDescent="0.35">
      <c r="A446">
        <f t="shared" si="66"/>
        <v>445</v>
      </c>
      <c r="B446">
        <f t="shared" ca="1" si="67"/>
        <v>46096</v>
      </c>
      <c r="C446">
        <f t="shared" ca="1" si="68"/>
        <v>46157</v>
      </c>
      <c r="D446">
        <f t="shared" ca="1" si="69"/>
        <v>1</v>
      </c>
      <c r="E446">
        <f t="shared" ca="1" si="70"/>
        <v>0.97508198533395751</v>
      </c>
      <c r="F446">
        <f t="shared" ca="1" si="71"/>
        <v>139.4</v>
      </c>
      <c r="G446" t="str">
        <f t="shared" ca="1" si="72"/>
        <v>personal</v>
      </c>
      <c r="H44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46" t="str">
        <f t="shared" ca="1" si="73"/>
        <v>Sí</v>
      </c>
      <c r="J44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46">
        <f ca="1">IF(Tabla2[[#This Row],[¿cliente deuda abierta?]]="Sí", Tabla2[[#This Row],[Deuda actual]]*Tabla2[[#This Row],[diferencia de días]], "0")</f>
        <v>139.4</v>
      </c>
      <c r="L44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4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4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46">
        <f t="shared" ca="1" si="74"/>
        <v>1556.56</v>
      </c>
      <c r="P446">
        <f t="shared" ca="1" si="75"/>
        <v>191362.3</v>
      </c>
      <c r="Q446">
        <f t="shared" ca="1" si="76"/>
        <v>1</v>
      </c>
      <c r="R446">
        <f ca="1">((Tabla2[[#This Row],[Fantasma Comunicación]]+1)/(Tabla2[[#This Row],[Fantasma Comunicación]]+RANDBETWEEN(0,5)+2))-0.5</f>
        <v>0</v>
      </c>
      <c r="S446">
        <f ca="1">1+MAX(0,Tabla2[[#This Row],[Deuda actual]]/Tabla2[[#This Row],[Liquidez]]+Tabla2[[#This Row],[Liquidez]]/(Tabla2[[#This Row],[Activos]]+Tabla2[[#This Row],[Liquidez]])+Tabla2[[#This Row],[Comunicación]])</f>
        <v>1.0976249276520629</v>
      </c>
      <c r="T446">
        <f ca="1">Tabla2[[#This Row],[Deuda actual]]*EXP(Tabla2[[#This Row],[Ki]]*Tabla2[[#This Row],[diferencia de días]])*(1+Tabla2[[#This Row],[Hg]])</f>
        <v>146.3992769275952</v>
      </c>
    </row>
    <row r="447" spans="1:20" ht="14.5" x14ac:dyDescent="0.35">
      <c r="A447">
        <f t="shared" si="66"/>
        <v>446</v>
      </c>
      <c r="B447">
        <f t="shared" ca="1" si="67"/>
        <v>46100</v>
      </c>
      <c r="C447">
        <f t="shared" ca="1" si="68"/>
        <v>46157</v>
      </c>
      <c r="D447">
        <f t="shared" ca="1" si="69"/>
        <v>33</v>
      </c>
      <c r="E447">
        <f t="shared" ca="1" si="70"/>
        <v>0.84205393021415509</v>
      </c>
      <c r="F447">
        <f t="shared" ca="1" si="71"/>
        <v>2009.06</v>
      </c>
      <c r="G447" t="str">
        <f t="shared" ca="1" si="72"/>
        <v>hipotecario</v>
      </c>
      <c r="H44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447" t="str">
        <f t="shared" ca="1" si="73"/>
        <v>No</v>
      </c>
      <c r="J44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164998.72196016135</v>
      </c>
      <c r="K447" t="str">
        <f ca="1">IF(Tabla2[[#This Row],[¿cliente deuda abierta?]]="Sí", Tabla2[[#This Row],[Deuda actual]]*Tabla2[[#This Row],[diferencia de días]], "0")</f>
        <v>0</v>
      </c>
      <c r="L44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4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44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447">
        <f t="shared" ca="1" si="74"/>
        <v>1264.47</v>
      </c>
      <c r="P447">
        <f t="shared" ca="1" si="75"/>
        <v>243272.49</v>
      </c>
      <c r="Q447">
        <f t="shared" ca="1" si="76"/>
        <v>0</v>
      </c>
      <c r="R447">
        <f ca="1">((Tabla2[[#This Row],[Fantasma Comunicación]]+1)/(Tabla2[[#This Row],[Fantasma Comunicación]]+RANDBETWEEN(0,5)+2))-0.5</f>
        <v>0</v>
      </c>
      <c r="S447">
        <f ca="1">1+MAX(0,Tabla2[[#This Row],[Deuda actual]]/Tabla2[[#This Row],[Liquidez]]+Tabla2[[#This Row],[Liquidez]]/(Tabla2[[#This Row],[Activos]]+Tabla2[[#This Row],[Liquidez]])+Tabla2[[#This Row],[Comunicación]])</f>
        <v>2.5940262845595283</v>
      </c>
      <c r="T447">
        <f ca="1">Tabla2[[#This Row],[Deuda actual]]*EXP(Tabla2[[#This Row],[Ki]]*Tabla2[[#This Row],[diferencia de días]])*(1+Tabla2[[#This Row],[Hg]])</f>
        <v>1661.17203709451</v>
      </c>
    </row>
    <row r="448" spans="1:20" ht="14.5" x14ac:dyDescent="0.35">
      <c r="A448">
        <f t="shared" si="66"/>
        <v>447</v>
      </c>
      <c r="B448">
        <f t="shared" ca="1" si="67"/>
        <v>46119</v>
      </c>
      <c r="C448">
        <f t="shared" ca="1" si="68"/>
        <v>46157</v>
      </c>
      <c r="D448">
        <f t="shared" ca="1" si="69"/>
        <v>9</v>
      </c>
      <c r="E448">
        <f t="shared" ca="1" si="70"/>
        <v>0.79893853914952484</v>
      </c>
      <c r="F448">
        <f t="shared" ca="1" si="71"/>
        <v>3916.49</v>
      </c>
      <c r="G448" t="str">
        <f t="shared" ca="1" si="72"/>
        <v>personal</v>
      </c>
      <c r="H44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48" t="str">
        <f t="shared" ca="1" si="73"/>
        <v>Sí</v>
      </c>
      <c r="J44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48">
        <f ca="1">IF(Tabla2[[#This Row],[¿cliente deuda abierta?]]="Sí", Tabla2[[#This Row],[Deuda actual]]*Tabla2[[#This Row],[diferencia de días]], "0")</f>
        <v>35248.409999999996</v>
      </c>
      <c r="L44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44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48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448">
        <f t="shared" ca="1" si="74"/>
        <v>1450.75</v>
      </c>
      <c r="P448">
        <f t="shared" ca="1" si="75"/>
        <v>311954.39</v>
      </c>
      <c r="Q448">
        <f t="shared" ca="1" si="76"/>
        <v>1</v>
      </c>
      <c r="R448">
        <f ca="1">((Tabla2[[#This Row],[Fantasma Comunicación]]+1)/(Tabla2[[#This Row],[Fantasma Comunicación]]+RANDBETWEEN(0,5)+2))-0.5</f>
        <v>-0.16666666666666669</v>
      </c>
      <c r="S448">
        <f ca="1">1+MAX(0,Tabla2[[#This Row],[Deuda actual]]/Tabla2[[#This Row],[Liquidez]]+Tabla2[[#This Row],[Liquidez]]/(Tabla2[[#This Row],[Activos]]+Tabla2[[#This Row],[Liquidez]])+Tabla2[[#This Row],[Comunicación]])</f>
        <v>3.5375935509259877</v>
      </c>
      <c r="T448">
        <f ca="1">Tabla2[[#This Row],[Deuda actual]]*EXP(Tabla2[[#This Row],[Ki]]*Tabla2[[#This Row],[diferencia de días]])*(1+Tabla2[[#This Row],[Hg]])</f>
        <v>4315.9006335745762</v>
      </c>
    </row>
    <row r="449" spans="1:20" ht="14.5" x14ac:dyDescent="0.35">
      <c r="A449">
        <f t="shared" si="66"/>
        <v>448</v>
      </c>
      <c r="B449">
        <f t="shared" ca="1" si="67"/>
        <v>46108</v>
      </c>
      <c r="C449">
        <f t="shared" ca="1" si="68"/>
        <v>46157</v>
      </c>
      <c r="D449">
        <f t="shared" ca="1" si="69"/>
        <v>27</v>
      </c>
      <c r="E449">
        <f t="shared" ca="1" si="70"/>
        <v>0.20760770189285294</v>
      </c>
      <c r="F449">
        <f t="shared" ca="1" si="71"/>
        <v>318.95</v>
      </c>
      <c r="G449" t="str">
        <f t="shared" ca="1" si="72"/>
        <v>personal</v>
      </c>
      <c r="H44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49" t="str">
        <f t="shared" ca="1" si="73"/>
        <v>No</v>
      </c>
      <c r="J44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12000.840822835675</v>
      </c>
      <c r="K449" t="str">
        <f ca="1">IF(Tabla2[[#This Row],[¿cliente deuda abierta?]]="Sí", Tabla2[[#This Row],[Deuda actual]]*Tabla2[[#This Row],[diferencia de días]], "0")</f>
        <v>0</v>
      </c>
      <c r="L44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4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49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49">
        <f t="shared" ca="1" si="74"/>
        <v>2724.31</v>
      </c>
      <c r="P449">
        <f t="shared" ca="1" si="75"/>
        <v>258477.62</v>
      </c>
      <c r="Q449">
        <f t="shared" ca="1" si="76"/>
        <v>4</v>
      </c>
      <c r="R449">
        <f ca="1">((Tabla2[[#This Row],[Fantasma Comunicación]]+1)/(Tabla2[[#This Row],[Fantasma Comunicación]]+RANDBETWEEN(0,5)+2))-0.5</f>
        <v>0</v>
      </c>
      <c r="S449">
        <f ca="1">1+MAX(0,Tabla2[[#This Row],[Deuda actual]]/Tabla2[[#This Row],[Liquidez]]+Tabla2[[#This Row],[Liquidez]]/(Tabla2[[#This Row],[Activos]]+Tabla2[[#This Row],[Liquidez]])+Tabla2[[#This Row],[Comunicación]])</f>
        <v>1.1275054163321196</v>
      </c>
      <c r="T449">
        <f ca="1">Tabla2[[#This Row],[Deuda actual]]*EXP(Tabla2[[#This Row],[Ki]]*Tabla2[[#This Row],[diferencia de días]])*(1+Tabla2[[#This Row],[Hg]])</f>
        <v>290.17199547844649</v>
      </c>
    </row>
    <row r="450" spans="1:20" ht="14.5" x14ac:dyDescent="0.35">
      <c r="A450">
        <f t="shared" ref="A450:A513" si="77">A449+1</f>
        <v>449</v>
      </c>
      <c r="B450">
        <f t="shared" ref="B450:B513" ca="1" si="78">RANDBETWEEN(DATE(2026,3,1), DATE(2026,5,1))</f>
        <v>46117</v>
      </c>
      <c r="C450">
        <f t="shared" ref="C450:C513" ca="1" si="79">TODAY()</f>
        <v>46157</v>
      </c>
      <c r="D450">
        <f t="shared" ref="D450:D513" ca="1" si="80">ROUND((-(15) * LN(RAND())),0)</f>
        <v>8</v>
      </c>
      <c r="E450">
        <f t="shared" ref="E450:E513" ca="1" si="81">RAND()</f>
        <v>0.99589039911356392</v>
      </c>
      <c r="F450">
        <f t="shared" ref="F450:F513" ca="1" si="82">ROUND(MIN(10000, _xlfn.LOGNORM.INV(RAND(), 69/10, 13/10)),2)</f>
        <v>3118.62</v>
      </c>
      <c r="G450" t="str">
        <f t="shared" ref="G450:G513" ca="1" si="83">IF(RAND()&lt;=0.5,"personal","hipotecario")</f>
        <v>personal</v>
      </c>
      <c r="H45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50" t="str">
        <f t="shared" ref="I450:I513" ca="1" si="84">IF(RAND()&lt;=0.65, "Sí", "No")</f>
        <v>No</v>
      </c>
      <c r="J45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11999.088386755189</v>
      </c>
      <c r="K450" t="str">
        <f ca="1">IF(Tabla2[[#This Row],[¿cliente deuda abierta?]]="Sí", Tabla2[[#This Row],[Deuda actual]]*Tabla2[[#This Row],[diferencia de días]], "0")</f>
        <v>0</v>
      </c>
      <c r="L45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5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50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50">
        <f t="shared" ref="O450:O513" ca="1" si="85">ROUND(1000*(_xlfn.LOGNORM.INV(RAND(), 0.5, 0.2)),2)</f>
        <v>1829.13</v>
      </c>
      <c r="P450">
        <f t="shared" ref="P450:P513" ca="1" si="86">ROUND(50000*(_xlfn.LOGNORM.INV(RAND(), 1, 0.75)),2)</f>
        <v>106535.35</v>
      </c>
      <c r="Q450">
        <f t="shared" ref="Q450:Q513" ca="1" si="87">RANDBETWEEN(0,5)</f>
        <v>5</v>
      </c>
      <c r="R450">
        <f ca="1">((Tabla2[[#This Row],[Fantasma Comunicación]]+1)/(Tabla2[[#This Row],[Fantasma Comunicación]]+RANDBETWEEN(0,5)+2))-0.5</f>
        <v>9.9999999999999978E-2</v>
      </c>
      <c r="S450">
        <f ca="1">1+MAX(0,Tabla2[[#This Row],[Deuda actual]]/Tabla2[[#This Row],[Liquidez]]+Tabla2[[#This Row],[Liquidez]]/(Tabla2[[#This Row],[Activos]]+Tabla2[[#This Row],[Liquidez]])+Tabla2[[#This Row],[Comunicación]])</f>
        <v>2.8218539200307498</v>
      </c>
      <c r="T450">
        <f ca="1">Tabla2[[#This Row],[Deuda actual]]*EXP(Tabla2[[#This Row],[Ki]]*Tabla2[[#This Row],[diferencia de días]])*(1+Tabla2[[#This Row],[Hg]])</f>
        <v>2811.2524073670866</v>
      </c>
    </row>
    <row r="451" spans="1:20" ht="14.5" x14ac:dyDescent="0.35">
      <c r="A451">
        <f t="shared" si="77"/>
        <v>450</v>
      </c>
      <c r="B451">
        <f t="shared" ca="1" si="78"/>
        <v>46101</v>
      </c>
      <c r="C451">
        <f t="shared" ca="1" si="79"/>
        <v>46157</v>
      </c>
      <c r="D451">
        <f t="shared" ca="1" si="80"/>
        <v>3</v>
      </c>
      <c r="E451">
        <f t="shared" ca="1" si="81"/>
        <v>0.67877856637069056</v>
      </c>
      <c r="F451">
        <f t="shared" ca="1" si="82"/>
        <v>896.39</v>
      </c>
      <c r="G451" t="str">
        <f t="shared" ca="1" si="83"/>
        <v>personal</v>
      </c>
      <c r="H45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51" t="str">
        <f t="shared" ca="1" si="84"/>
        <v>Sí</v>
      </c>
      <c r="J45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51">
        <f ca="1">IF(Tabla2[[#This Row],[¿cliente deuda abierta?]]="Sí", Tabla2[[#This Row],[Deuda actual]]*Tabla2[[#This Row],[diferencia de días]], "0")</f>
        <v>2689.17</v>
      </c>
      <c r="L45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5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5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51">
        <f t="shared" ca="1" si="85"/>
        <v>1684.46</v>
      </c>
      <c r="P451">
        <f t="shared" ca="1" si="86"/>
        <v>192065.95</v>
      </c>
      <c r="Q451">
        <f t="shared" ca="1" si="87"/>
        <v>1</v>
      </c>
      <c r="R451">
        <f ca="1">((Tabla2[[#This Row],[Fantasma Comunicación]]+1)/(Tabla2[[#This Row],[Fantasma Comunicación]]+RANDBETWEEN(0,5)+2))-0.5</f>
        <v>-0.16666666666666669</v>
      </c>
      <c r="S451">
        <f ca="1">1+MAX(0,Tabla2[[#This Row],[Deuda actual]]/Tabla2[[#This Row],[Liquidez]]+Tabla2[[#This Row],[Liquidez]]/(Tabla2[[#This Row],[Activos]]+Tabla2[[#This Row],[Liquidez]])+Tabla2[[#This Row],[Comunicación]])</f>
        <v>1.3741800394083241</v>
      </c>
      <c r="T451">
        <f ca="1">Tabla2[[#This Row],[Deuda actual]]*EXP(Tabla2[[#This Row],[Ki]]*Tabla2[[#This Row],[diferencia de días]])*(1+Tabla2[[#This Row],[Hg]])</f>
        <v>941.77439515159858</v>
      </c>
    </row>
    <row r="452" spans="1:20" ht="14.5" x14ac:dyDescent="0.35">
      <c r="A452">
        <f t="shared" si="77"/>
        <v>451</v>
      </c>
      <c r="B452">
        <f t="shared" ca="1" si="78"/>
        <v>46105</v>
      </c>
      <c r="C452">
        <f t="shared" ca="1" si="79"/>
        <v>46157</v>
      </c>
      <c r="D452">
        <f t="shared" ca="1" si="80"/>
        <v>35</v>
      </c>
      <c r="E452">
        <f t="shared" ca="1" si="81"/>
        <v>0.16225690449564589</v>
      </c>
      <c r="F452">
        <f t="shared" ca="1" si="82"/>
        <v>167.31</v>
      </c>
      <c r="G452" t="str">
        <f t="shared" ca="1" si="83"/>
        <v>hipotecario</v>
      </c>
      <c r="H45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452" t="str">
        <f t="shared" ca="1" si="84"/>
        <v>No</v>
      </c>
      <c r="J45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165000.58714335362</v>
      </c>
      <c r="K452" t="str">
        <f ca="1">IF(Tabla2[[#This Row],[¿cliente deuda abierta?]]="Sí", Tabla2[[#This Row],[Deuda actual]]*Tabla2[[#This Row],[diferencia de días]], "0")</f>
        <v>0</v>
      </c>
      <c r="L45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5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45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452">
        <f t="shared" ca="1" si="85"/>
        <v>1624.97</v>
      </c>
      <c r="P452">
        <f t="shared" ca="1" si="86"/>
        <v>177328.99</v>
      </c>
      <c r="Q452">
        <f t="shared" ca="1" si="87"/>
        <v>2</v>
      </c>
      <c r="R452">
        <f ca="1">((Tabla2[[#This Row],[Fantasma Comunicación]]+1)/(Tabla2[[#This Row],[Fantasma Comunicación]]+RANDBETWEEN(0,5)+2))-0.5</f>
        <v>0</v>
      </c>
      <c r="S452">
        <f ca="1">1+MAX(0,Tabla2[[#This Row],[Deuda actual]]/Tabla2[[#This Row],[Liquidez]]+Tabla2[[#This Row],[Liquidez]]/(Tabla2[[#This Row],[Activos]]+Tabla2[[#This Row],[Liquidez]])+Tabla2[[#This Row],[Comunicación]])</f>
        <v>1.1120422810624984</v>
      </c>
      <c r="T452">
        <f ca="1">Tabla2[[#This Row],[Deuda actual]]*EXP(Tabla2[[#This Row],[Ki]]*Tabla2[[#This Row],[diferencia de días]])*(1+Tabla2[[#This Row],[Hg]])</f>
        <v>138.61562678341198</v>
      </c>
    </row>
    <row r="453" spans="1:20" ht="14.5" x14ac:dyDescent="0.35">
      <c r="A453">
        <f t="shared" si="77"/>
        <v>452</v>
      </c>
      <c r="B453">
        <f t="shared" ca="1" si="78"/>
        <v>46109</v>
      </c>
      <c r="C453">
        <f t="shared" ca="1" si="79"/>
        <v>46157</v>
      </c>
      <c r="D453">
        <f t="shared" ca="1" si="80"/>
        <v>14</v>
      </c>
      <c r="E453">
        <f t="shared" ca="1" si="81"/>
        <v>0.39114391008056093</v>
      </c>
      <c r="F453">
        <f t="shared" ca="1" si="82"/>
        <v>279.72000000000003</v>
      </c>
      <c r="G453" t="str">
        <f t="shared" ca="1" si="83"/>
        <v>hipotecario</v>
      </c>
      <c r="H45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53" t="str">
        <f t="shared" ca="1" si="84"/>
        <v>Sí</v>
      </c>
      <c r="J45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53">
        <f ca="1">IF(Tabla2[[#This Row],[¿cliente deuda abierta?]]="Sí", Tabla2[[#This Row],[Deuda actual]]*Tabla2[[#This Row],[diferencia de días]], "0")</f>
        <v>3916.0800000000004</v>
      </c>
      <c r="L45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5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5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53">
        <f t="shared" ca="1" si="85"/>
        <v>1853.19</v>
      </c>
      <c r="P453">
        <f t="shared" ca="1" si="86"/>
        <v>149699.43</v>
      </c>
      <c r="Q453">
        <f t="shared" ca="1" si="87"/>
        <v>3</v>
      </c>
      <c r="R453">
        <f ca="1">((Tabla2[[#This Row],[Fantasma Comunicación]]+1)/(Tabla2[[#This Row],[Fantasma Comunicación]]+RANDBETWEEN(0,5)+2))-0.5</f>
        <v>-9.9999999999999978E-2</v>
      </c>
      <c r="S453">
        <f ca="1">1+MAX(0,Tabla2[[#This Row],[Deuda actual]]/Tabla2[[#This Row],[Liquidez]]+Tabla2[[#This Row],[Liquidez]]/(Tabla2[[#This Row],[Activos]]+Tabla2[[#This Row],[Liquidez]])+Tabla2[[#This Row],[Comunicación]])</f>
        <v>1.0631677610563943</v>
      </c>
      <c r="T453">
        <f ca="1">Tabla2[[#This Row],[Deuda actual]]*EXP(Tabla2[[#This Row],[Ki]]*Tabla2[[#This Row],[diferencia de días]])*(1+Tabla2[[#This Row],[Hg]])</f>
        <v>294.52952920284503</v>
      </c>
    </row>
    <row r="454" spans="1:20" ht="14.5" x14ac:dyDescent="0.35">
      <c r="A454">
        <f t="shared" si="77"/>
        <v>453</v>
      </c>
      <c r="B454">
        <f t="shared" ca="1" si="78"/>
        <v>46095</v>
      </c>
      <c r="C454">
        <f t="shared" ca="1" si="79"/>
        <v>46157</v>
      </c>
      <c r="D454">
        <f t="shared" ca="1" si="80"/>
        <v>8</v>
      </c>
      <c r="E454">
        <f t="shared" ca="1" si="81"/>
        <v>0.93094739042596697</v>
      </c>
      <c r="F454">
        <f t="shared" ca="1" si="82"/>
        <v>1920.63</v>
      </c>
      <c r="G454" t="str">
        <f t="shared" ca="1" si="83"/>
        <v>personal</v>
      </c>
      <c r="H45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54" t="str">
        <f t="shared" ca="1" si="84"/>
        <v>Sí</v>
      </c>
      <c r="J45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54">
        <f ca="1">IF(Tabla2[[#This Row],[¿cliente deuda abierta?]]="Sí", Tabla2[[#This Row],[Deuda actual]]*Tabla2[[#This Row],[diferencia de días]], "0")</f>
        <v>15365.04</v>
      </c>
      <c r="L45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5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5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54">
        <f t="shared" ca="1" si="85"/>
        <v>1419.84</v>
      </c>
      <c r="P454">
        <f t="shared" ca="1" si="86"/>
        <v>78272.38</v>
      </c>
      <c r="Q454">
        <f t="shared" ca="1" si="87"/>
        <v>0</v>
      </c>
      <c r="R454">
        <f ca="1">((Tabla2[[#This Row],[Fantasma Comunicación]]+1)/(Tabla2[[#This Row],[Fantasma Comunicación]]+RANDBETWEEN(0,5)+2))-0.5</f>
        <v>-0.35714285714285715</v>
      </c>
      <c r="S454">
        <f ca="1">1+MAX(0,Tabla2[[#This Row],[Deuda actual]]/Tabla2[[#This Row],[Liquidez]]+Tabla2[[#This Row],[Liquidez]]/(Tabla2[[#This Row],[Activos]]+Tabla2[[#This Row],[Liquidez]])+Tabla2[[#This Row],[Comunicación]])</f>
        <v>2.0133824434749057</v>
      </c>
      <c r="T454">
        <f ca="1">Tabla2[[#This Row],[Deuda actual]]*EXP(Tabla2[[#This Row],[Ki]]*Tabla2[[#This Row],[diferencia de días]])*(1+Tabla2[[#This Row],[Hg]])</f>
        <v>2019.8907411039786</v>
      </c>
    </row>
    <row r="455" spans="1:20" ht="14.5" x14ac:dyDescent="0.35">
      <c r="A455">
        <f t="shared" si="77"/>
        <v>454</v>
      </c>
      <c r="B455">
        <f t="shared" ca="1" si="78"/>
        <v>46122</v>
      </c>
      <c r="C455">
        <f t="shared" ca="1" si="79"/>
        <v>46157</v>
      </c>
      <c r="D455">
        <f t="shared" ca="1" si="80"/>
        <v>6</v>
      </c>
      <c r="E455">
        <f t="shared" ca="1" si="81"/>
        <v>0.9991881896461049</v>
      </c>
      <c r="F455">
        <f t="shared" ca="1" si="82"/>
        <v>88.55</v>
      </c>
      <c r="G455" t="str">
        <f t="shared" ca="1" si="83"/>
        <v>personal</v>
      </c>
      <c r="H45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55" t="str">
        <f t="shared" ca="1" si="84"/>
        <v>Sí</v>
      </c>
      <c r="J45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55">
        <f ca="1">IF(Tabla2[[#This Row],[¿cliente deuda abierta?]]="Sí", Tabla2[[#This Row],[Deuda actual]]*Tabla2[[#This Row],[diferencia de días]], "0")</f>
        <v>531.29999999999995</v>
      </c>
      <c r="L45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5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5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55">
        <f t="shared" ca="1" si="85"/>
        <v>1400.72</v>
      </c>
      <c r="P455">
        <f t="shared" ca="1" si="86"/>
        <v>72978.58</v>
      </c>
      <c r="Q455">
        <f t="shared" ca="1" si="87"/>
        <v>2</v>
      </c>
      <c r="R455">
        <f ca="1">((Tabla2[[#This Row],[Fantasma Comunicación]]+1)/(Tabla2[[#This Row],[Fantasma Comunicación]]+RANDBETWEEN(0,5)+2))-0.5</f>
        <v>-7.1428571428571452E-2</v>
      </c>
      <c r="S455">
        <f ca="1">1+MAX(0,Tabla2[[#This Row],[Deuda actual]]/Tabla2[[#This Row],[Liquidez]]+Tabla2[[#This Row],[Liquidez]]/(Tabla2[[#This Row],[Activos]]+Tabla2[[#This Row],[Liquidez]])+Tabla2[[#This Row],[Comunicación]])</f>
        <v>1.0106210380229472</v>
      </c>
      <c r="T455">
        <f ca="1">Tabla2[[#This Row],[Deuda actual]]*EXP(Tabla2[[#This Row],[Ki]]*Tabla2[[#This Row],[diferencia de días]])*(1+Tabla2[[#This Row],[Hg]])</f>
        <v>93.089139970585549</v>
      </c>
    </row>
    <row r="456" spans="1:20" ht="14.5" x14ac:dyDescent="0.35">
      <c r="A456">
        <f t="shared" si="77"/>
        <v>455</v>
      </c>
      <c r="B456">
        <f t="shared" ca="1" si="78"/>
        <v>46136</v>
      </c>
      <c r="C456">
        <f t="shared" ca="1" si="79"/>
        <v>46157</v>
      </c>
      <c r="D456">
        <f t="shared" ca="1" si="80"/>
        <v>30</v>
      </c>
      <c r="E456">
        <f t="shared" ca="1" si="81"/>
        <v>0.44448708421267047</v>
      </c>
      <c r="F456">
        <f t="shared" ca="1" si="82"/>
        <v>1419.84</v>
      </c>
      <c r="G456" t="str">
        <f t="shared" ca="1" si="83"/>
        <v>hipotecario</v>
      </c>
      <c r="H45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456" t="str">
        <f t="shared" ca="1" si="84"/>
        <v>No</v>
      </c>
      <c r="J45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164999.54229378188</v>
      </c>
      <c r="K456" t="str">
        <f ca="1">IF(Tabla2[[#This Row],[¿cliente deuda abierta?]]="Sí", Tabla2[[#This Row],[Deuda actual]]*Tabla2[[#This Row],[diferencia de días]], "0")</f>
        <v>0</v>
      </c>
      <c r="L45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5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456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456">
        <f t="shared" ca="1" si="85"/>
        <v>1942.26</v>
      </c>
      <c r="P456">
        <f t="shared" ca="1" si="86"/>
        <v>58114.7</v>
      </c>
      <c r="Q456">
        <f t="shared" ca="1" si="87"/>
        <v>5</v>
      </c>
      <c r="R456">
        <f ca="1">((Tabla2[[#This Row],[Fantasma Comunicación]]+1)/(Tabla2[[#This Row],[Fantasma Comunicación]]+RANDBETWEEN(0,5)+2))-0.5</f>
        <v>0.25</v>
      </c>
      <c r="S456">
        <f ca="1">1+MAX(0,Tabla2[[#This Row],[Deuda actual]]/Tabla2[[#This Row],[Liquidez]]+Tabla2[[#This Row],[Liquidez]]/(Tabla2[[#This Row],[Activos]]+Tabla2[[#This Row],[Liquidez]])+Tabla2[[#This Row],[Comunicación]])</f>
        <v>2.0133649808631011</v>
      </c>
      <c r="T456">
        <f ca="1">Tabla2[[#This Row],[Deuda actual]]*EXP(Tabla2[[#This Row],[Ki]]*Tabla2[[#This Row],[diferencia de días]])*(1+Tabla2[[#This Row],[Hg]])</f>
        <v>1170.4644523908491</v>
      </c>
    </row>
    <row r="457" spans="1:20" ht="14.5" x14ac:dyDescent="0.35">
      <c r="A457">
        <f t="shared" si="77"/>
        <v>456</v>
      </c>
      <c r="B457">
        <f t="shared" ca="1" si="78"/>
        <v>46108</v>
      </c>
      <c r="C457">
        <f t="shared" ca="1" si="79"/>
        <v>46157</v>
      </c>
      <c r="D457">
        <f t="shared" ca="1" si="80"/>
        <v>7</v>
      </c>
      <c r="E457">
        <f t="shared" ca="1" si="81"/>
        <v>2.2104148429693105E-2</v>
      </c>
      <c r="F457">
        <f t="shared" ca="1" si="82"/>
        <v>2352.09</v>
      </c>
      <c r="G457" t="str">
        <f t="shared" ca="1" si="83"/>
        <v>hipotecario</v>
      </c>
      <c r="H45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57" t="str">
        <f t="shared" ca="1" si="84"/>
        <v>Sí</v>
      </c>
      <c r="J45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57">
        <f ca="1">IF(Tabla2[[#This Row],[¿cliente deuda abierta?]]="Sí", Tabla2[[#This Row],[Deuda actual]]*Tabla2[[#This Row],[diferencia de días]], "0")</f>
        <v>16464.63</v>
      </c>
      <c r="L45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5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5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57">
        <f t="shared" ca="1" si="85"/>
        <v>1661.78</v>
      </c>
      <c r="P457">
        <f t="shared" ca="1" si="86"/>
        <v>49746.879999999997</v>
      </c>
      <c r="Q457">
        <f t="shared" ca="1" si="87"/>
        <v>0</v>
      </c>
      <c r="R457">
        <f ca="1">((Tabla2[[#This Row],[Fantasma Comunicación]]+1)/(Tabla2[[#This Row],[Fantasma Comunicación]]+RANDBETWEEN(0,5)+2))-0.5</f>
        <v>-0.35714285714285715</v>
      </c>
      <c r="S457">
        <f ca="1">1+MAX(0,Tabla2[[#This Row],[Deuda actual]]/Tabla2[[#This Row],[Liquidez]]+Tabla2[[#This Row],[Liquidez]]/(Tabla2[[#This Row],[Activos]]+Tabla2[[#This Row],[Liquidez]])+Tabla2[[#This Row],[Comunicación]])</f>
        <v>2.0905860112950596</v>
      </c>
      <c r="T457">
        <f ca="1">Tabla2[[#This Row],[Deuda actual]]*EXP(Tabla2[[#This Row],[Ki]]*Tabla2[[#This Row],[diferencia de días]])*(1+Tabla2[[#This Row],[Hg]])</f>
        <v>2473.1544937304798</v>
      </c>
    </row>
    <row r="458" spans="1:20" ht="14.5" x14ac:dyDescent="0.35">
      <c r="A458">
        <f t="shared" si="77"/>
        <v>457</v>
      </c>
      <c r="B458">
        <f t="shared" ca="1" si="78"/>
        <v>46136</v>
      </c>
      <c r="C458">
        <f t="shared" ca="1" si="79"/>
        <v>46157</v>
      </c>
      <c r="D458">
        <f t="shared" ca="1" si="80"/>
        <v>22</v>
      </c>
      <c r="E458">
        <f t="shared" ca="1" si="81"/>
        <v>0.20066002528010407</v>
      </c>
      <c r="F458">
        <f t="shared" ca="1" si="82"/>
        <v>1014.84</v>
      </c>
      <c r="G458" t="str">
        <f t="shared" ca="1" si="83"/>
        <v>hipotecario</v>
      </c>
      <c r="H45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58" t="str">
        <f t="shared" ca="1" si="84"/>
        <v>Sí</v>
      </c>
      <c r="J45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58">
        <f ca="1">IF(Tabla2[[#This Row],[¿cliente deuda abierta?]]="Sí", Tabla2[[#This Row],[Deuda actual]]*Tabla2[[#This Row],[diferencia de días]], "0")</f>
        <v>22326.48</v>
      </c>
      <c r="L45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5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5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58">
        <f t="shared" ca="1" si="85"/>
        <v>2122.56</v>
      </c>
      <c r="P458">
        <f t="shared" ca="1" si="86"/>
        <v>182892.72</v>
      </c>
      <c r="Q458">
        <f t="shared" ca="1" si="87"/>
        <v>1</v>
      </c>
      <c r="R458">
        <f ca="1">((Tabla2[[#This Row],[Fantasma Comunicación]]+1)/(Tabla2[[#This Row],[Fantasma Comunicación]]+RANDBETWEEN(0,5)+2))-0.5</f>
        <v>0.16666666666666663</v>
      </c>
      <c r="S458">
        <f ca="1">1+MAX(0,Tabla2[[#This Row],[Deuda actual]]/Tabla2[[#This Row],[Liquidez]]+Tabla2[[#This Row],[Liquidez]]/(Tabla2[[#This Row],[Activos]]+Tabla2[[#This Row],[Liquidez]])+Tabla2[[#This Row],[Comunicación]])</f>
        <v>1.6562597762470657</v>
      </c>
      <c r="T458">
        <f ca="1">Tabla2[[#This Row],[Deuda actual]]*EXP(Tabla2[[#This Row],[Ki]]*Tabla2[[#This Row],[diferencia de días]])*(1+Tabla2[[#This Row],[Hg]])</f>
        <v>1075.0005022291525</v>
      </c>
    </row>
    <row r="459" spans="1:20" ht="14.5" x14ac:dyDescent="0.35">
      <c r="A459">
        <f t="shared" si="77"/>
        <v>458</v>
      </c>
      <c r="B459">
        <f t="shared" ca="1" si="78"/>
        <v>46140</v>
      </c>
      <c r="C459">
        <f t="shared" ca="1" si="79"/>
        <v>46157</v>
      </c>
      <c r="D459">
        <f t="shared" ca="1" si="80"/>
        <v>8</v>
      </c>
      <c r="E459">
        <f t="shared" ca="1" si="81"/>
        <v>0.29671094971378265</v>
      </c>
      <c r="F459">
        <f t="shared" ca="1" si="82"/>
        <v>31.71</v>
      </c>
      <c r="G459" t="str">
        <f t="shared" ca="1" si="83"/>
        <v>hipotecario</v>
      </c>
      <c r="H45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59" t="str">
        <f t="shared" ca="1" si="84"/>
        <v>Sí</v>
      </c>
      <c r="J45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59">
        <f ca="1">IF(Tabla2[[#This Row],[¿cliente deuda abierta?]]="Sí", Tabla2[[#This Row],[Deuda actual]]*Tabla2[[#This Row],[diferencia de días]], "0")</f>
        <v>253.68</v>
      </c>
      <c r="L45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5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5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59">
        <f t="shared" ca="1" si="85"/>
        <v>1752.78</v>
      </c>
      <c r="P459">
        <f t="shared" ca="1" si="86"/>
        <v>264008.90000000002</v>
      </c>
      <c r="Q459">
        <f t="shared" ca="1" si="87"/>
        <v>3</v>
      </c>
      <c r="R459">
        <f ca="1">((Tabla2[[#This Row],[Fantasma Comunicación]]+1)/(Tabla2[[#This Row],[Fantasma Comunicación]]+RANDBETWEEN(0,5)+2))-0.5</f>
        <v>0.30000000000000004</v>
      </c>
      <c r="S459">
        <f ca="1">1+MAX(0,Tabla2[[#This Row],[Deuda actual]]/Tabla2[[#This Row],[Liquidez]]+Tabla2[[#This Row],[Liquidez]]/(Tabla2[[#This Row],[Activos]]+Tabla2[[#This Row],[Liquidez]])+Tabla2[[#This Row],[Comunicación]])</f>
        <v>1.3246865682351274</v>
      </c>
      <c r="T459">
        <f ca="1">Tabla2[[#This Row],[Deuda actual]]*EXP(Tabla2[[#This Row],[Ki]]*Tabla2[[#This Row],[diferencia de días]])*(1+Tabla2[[#This Row],[Hg]])</f>
        <v>33.348815440978825</v>
      </c>
    </row>
    <row r="460" spans="1:20" ht="14.5" x14ac:dyDescent="0.35">
      <c r="A460">
        <f t="shared" si="77"/>
        <v>459</v>
      </c>
      <c r="B460">
        <f t="shared" ca="1" si="78"/>
        <v>46089</v>
      </c>
      <c r="C460">
        <f t="shared" ca="1" si="79"/>
        <v>46157</v>
      </c>
      <c r="D460">
        <f t="shared" ca="1" si="80"/>
        <v>22</v>
      </c>
      <c r="E460">
        <f t="shared" ca="1" si="81"/>
        <v>0.19912658609907685</v>
      </c>
      <c r="F460">
        <f t="shared" ca="1" si="82"/>
        <v>1414.44</v>
      </c>
      <c r="G460" t="str">
        <f t="shared" ca="1" si="83"/>
        <v>hipotecario</v>
      </c>
      <c r="H46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60" t="str">
        <f t="shared" ca="1" si="84"/>
        <v>Sí</v>
      </c>
      <c r="J46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60">
        <f ca="1">IF(Tabla2[[#This Row],[¿cliente deuda abierta?]]="Sí", Tabla2[[#This Row],[Deuda actual]]*Tabla2[[#This Row],[diferencia de días]], "0")</f>
        <v>31117.68</v>
      </c>
      <c r="L46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46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60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460">
        <f t="shared" ca="1" si="85"/>
        <v>1843.27</v>
      </c>
      <c r="P460">
        <f t="shared" ca="1" si="86"/>
        <v>193128.82</v>
      </c>
      <c r="Q460">
        <f t="shared" ca="1" si="87"/>
        <v>5</v>
      </c>
      <c r="R460">
        <f ca="1">((Tabla2[[#This Row],[Fantasma Comunicación]]+1)/(Tabla2[[#This Row],[Fantasma Comunicación]]+RANDBETWEEN(0,5)+2))-0.5</f>
        <v>4.5454545454545414E-2</v>
      </c>
      <c r="S460">
        <f ca="1">1+MAX(0,Tabla2[[#This Row],[Deuda actual]]/Tabla2[[#This Row],[Liquidez]]+Tabla2[[#This Row],[Liquidez]]/(Tabla2[[#This Row],[Activos]]+Tabla2[[#This Row],[Liquidez]])+Tabla2[[#This Row],[Comunicación]])</f>
        <v>1.8222622356373694</v>
      </c>
      <c r="T460">
        <f ca="1">Tabla2[[#This Row],[Deuda actual]]*EXP(Tabla2[[#This Row],[Ki]]*Tabla2[[#This Row],[diferencia de días]])*(1+Tabla2[[#This Row],[Hg]])</f>
        <v>1569.6362001331693</v>
      </c>
    </row>
    <row r="461" spans="1:20" ht="14.5" x14ac:dyDescent="0.35">
      <c r="A461">
        <f t="shared" si="77"/>
        <v>460</v>
      </c>
      <c r="B461">
        <f t="shared" ca="1" si="78"/>
        <v>46136</v>
      </c>
      <c r="C461">
        <f t="shared" ca="1" si="79"/>
        <v>46157</v>
      </c>
      <c r="D461">
        <f t="shared" ca="1" si="80"/>
        <v>15</v>
      </c>
      <c r="E461">
        <f t="shared" ca="1" si="81"/>
        <v>0.15485665615907762</v>
      </c>
      <c r="F461">
        <f t="shared" ca="1" si="82"/>
        <v>712.47</v>
      </c>
      <c r="G461" t="str">
        <f t="shared" ca="1" si="83"/>
        <v>personal</v>
      </c>
      <c r="H46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61" t="str">
        <f t="shared" ca="1" si="84"/>
        <v>No</v>
      </c>
      <c r="J46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12000.499136344615</v>
      </c>
      <c r="K461" t="str">
        <f ca="1">IF(Tabla2[[#This Row],[¿cliente deuda abierta?]]="Sí", Tabla2[[#This Row],[Deuda actual]]*Tabla2[[#This Row],[diferencia de días]], "0")</f>
        <v>0</v>
      </c>
      <c r="L46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6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61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61">
        <f t="shared" ca="1" si="85"/>
        <v>2115.16</v>
      </c>
      <c r="P461">
        <f t="shared" ca="1" si="86"/>
        <v>39445.42</v>
      </c>
      <c r="Q461">
        <f t="shared" ca="1" si="87"/>
        <v>4</v>
      </c>
      <c r="R461">
        <f ca="1">((Tabla2[[#This Row],[Fantasma Comunicación]]+1)/(Tabla2[[#This Row],[Fantasma Comunicación]]+RANDBETWEEN(0,5)+2))-0.5</f>
        <v>0</v>
      </c>
      <c r="S461">
        <f ca="1">1+MAX(0,Tabla2[[#This Row],[Deuda actual]]/Tabla2[[#This Row],[Liquidez]]+Tabla2[[#This Row],[Liquidez]]/(Tabla2[[#This Row],[Activos]]+Tabla2[[#This Row],[Liquidez]])+Tabla2[[#This Row],[Comunicación]])</f>
        <v>1.3877331849743406</v>
      </c>
      <c r="T461">
        <f ca="1">Tabla2[[#This Row],[Deuda actual]]*EXP(Tabla2[[#This Row],[Ki]]*Tabla2[[#This Row],[diferencia de días]])*(1+Tabla2[[#This Row],[Hg]])</f>
        <v>645.08190313269563</v>
      </c>
    </row>
    <row r="462" spans="1:20" ht="14.5" x14ac:dyDescent="0.35">
      <c r="A462">
        <f t="shared" si="77"/>
        <v>461</v>
      </c>
      <c r="B462">
        <f t="shared" ca="1" si="78"/>
        <v>46112</v>
      </c>
      <c r="C462">
        <f t="shared" ca="1" si="79"/>
        <v>46157</v>
      </c>
      <c r="D462">
        <f t="shared" ca="1" si="80"/>
        <v>2</v>
      </c>
      <c r="E462">
        <f t="shared" ca="1" si="81"/>
        <v>0.9163721204199603</v>
      </c>
      <c r="F462">
        <f t="shared" ca="1" si="82"/>
        <v>262.45999999999998</v>
      </c>
      <c r="G462" t="str">
        <f t="shared" ca="1" si="83"/>
        <v>hipotecario</v>
      </c>
      <c r="H46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62" t="str">
        <f t="shared" ca="1" si="84"/>
        <v>No</v>
      </c>
      <c r="J46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164999.94925478374</v>
      </c>
      <c r="K462" t="str">
        <f ca="1">IF(Tabla2[[#This Row],[¿cliente deuda abierta?]]="Sí", Tabla2[[#This Row],[Deuda actual]]*Tabla2[[#This Row],[diferencia de días]], "0")</f>
        <v>0</v>
      </c>
      <c r="L46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6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46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462">
        <f t="shared" ca="1" si="85"/>
        <v>1930.87</v>
      </c>
      <c r="P462">
        <f t="shared" ca="1" si="86"/>
        <v>190415.65</v>
      </c>
      <c r="Q462">
        <f t="shared" ca="1" si="87"/>
        <v>2</v>
      </c>
      <c r="R462">
        <f ca="1">((Tabla2[[#This Row],[Fantasma Comunicación]]+1)/(Tabla2[[#This Row],[Fantasma Comunicación]]+RANDBETWEEN(0,5)+2))-0.5</f>
        <v>0.25</v>
      </c>
      <c r="S462">
        <f ca="1">1+MAX(0,Tabla2[[#This Row],[Deuda actual]]/Tabla2[[#This Row],[Liquidez]]+Tabla2[[#This Row],[Liquidez]]/(Tabla2[[#This Row],[Activos]]+Tabla2[[#This Row],[Liquidez]])+Tabla2[[#This Row],[Comunicación]])</f>
        <v>1.395966861085403</v>
      </c>
      <c r="T462">
        <f ca="1">Tabla2[[#This Row],[Deuda actual]]*EXP(Tabla2[[#This Row],[Ki]]*Tabla2[[#This Row],[diferencia de días]])*(1+Tabla2[[#This Row],[Hg]])</f>
        <v>210.0520039996799</v>
      </c>
    </row>
    <row r="463" spans="1:20" ht="14.5" x14ac:dyDescent="0.35">
      <c r="A463">
        <f t="shared" si="77"/>
        <v>462</v>
      </c>
      <c r="B463">
        <f t="shared" ca="1" si="78"/>
        <v>46109</v>
      </c>
      <c r="C463">
        <f t="shared" ca="1" si="79"/>
        <v>46157</v>
      </c>
      <c r="D463">
        <f t="shared" ca="1" si="80"/>
        <v>34</v>
      </c>
      <c r="E463">
        <f t="shared" ca="1" si="81"/>
        <v>0.36539916691765906</v>
      </c>
      <c r="F463">
        <f t="shared" ca="1" si="82"/>
        <v>362.44</v>
      </c>
      <c r="G463" t="str">
        <f t="shared" ca="1" si="83"/>
        <v>personal</v>
      </c>
      <c r="H46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463" t="str">
        <f t="shared" ca="1" si="84"/>
        <v>Sí</v>
      </c>
      <c r="J46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63">
        <f ca="1">IF(Tabla2[[#This Row],[¿cliente deuda abierta?]]="Sí", Tabla2[[#This Row],[Deuda actual]]*Tabla2[[#This Row],[diferencia de días]], "0")</f>
        <v>12322.96</v>
      </c>
      <c r="L46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6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6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63">
        <f t="shared" ca="1" si="85"/>
        <v>1603.56</v>
      </c>
      <c r="P463">
        <f t="shared" ca="1" si="86"/>
        <v>69279.62</v>
      </c>
      <c r="Q463">
        <f t="shared" ca="1" si="87"/>
        <v>0</v>
      </c>
      <c r="R463">
        <f ca="1">((Tabla2[[#This Row],[Fantasma Comunicación]]+1)/(Tabla2[[#This Row],[Fantasma Comunicación]]+RANDBETWEEN(0,5)+2))-0.5</f>
        <v>-0.25</v>
      </c>
      <c r="S463">
        <f ca="1">1+MAX(0,Tabla2[[#This Row],[Deuda actual]]/Tabla2[[#This Row],[Liquidez]]+Tabla2[[#This Row],[Liquidez]]/(Tabla2[[#This Row],[Activos]]+Tabla2[[#This Row],[Liquidez]])+Tabla2[[#This Row],[Comunicación]])</f>
        <v>1</v>
      </c>
      <c r="T463">
        <f ca="1">Tabla2[[#This Row],[Deuda actual]]*EXP(Tabla2[[#This Row],[Ki]]*Tabla2[[#This Row],[diferencia de días]])*(1+Tabla2[[#This Row],[Hg]])</f>
        <v>393.72358710566601</v>
      </c>
    </row>
    <row r="464" spans="1:20" ht="14.5" x14ac:dyDescent="0.35">
      <c r="A464">
        <f t="shared" si="77"/>
        <v>463</v>
      </c>
      <c r="B464">
        <f t="shared" ca="1" si="78"/>
        <v>46096</v>
      </c>
      <c r="C464">
        <f t="shared" ca="1" si="79"/>
        <v>46157</v>
      </c>
      <c r="D464">
        <f t="shared" ca="1" si="80"/>
        <v>31</v>
      </c>
      <c r="E464">
        <f t="shared" ca="1" si="81"/>
        <v>0.7783372838113215</v>
      </c>
      <c r="F464">
        <f t="shared" ca="1" si="82"/>
        <v>457.14</v>
      </c>
      <c r="G464" t="str">
        <f t="shared" ca="1" si="83"/>
        <v>personal</v>
      </c>
      <c r="H46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464" t="str">
        <f t="shared" ca="1" si="84"/>
        <v>No</v>
      </c>
      <c r="J46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11999.412196081721</v>
      </c>
      <c r="K464" t="str">
        <f ca="1">IF(Tabla2[[#This Row],[¿cliente deuda abierta?]]="Sí", Tabla2[[#This Row],[Deuda actual]]*Tabla2[[#This Row],[diferencia de días]], "0")</f>
        <v>0</v>
      </c>
      <c r="L46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6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6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64">
        <f t="shared" ca="1" si="85"/>
        <v>1734.3</v>
      </c>
      <c r="P464">
        <f t="shared" ca="1" si="86"/>
        <v>338540.53</v>
      </c>
      <c r="Q464">
        <f t="shared" ca="1" si="87"/>
        <v>0</v>
      </c>
      <c r="R464">
        <f ca="1">((Tabla2[[#This Row],[Fantasma Comunicación]]+1)/(Tabla2[[#This Row],[Fantasma Comunicación]]+RANDBETWEEN(0,5)+2))-0.5</f>
        <v>-0.33333333333333337</v>
      </c>
      <c r="S464">
        <f ca="1">1+MAX(0,Tabla2[[#This Row],[Deuda actual]]/Tabla2[[#This Row],[Liquidez]]+Tabla2[[#This Row],[Liquidez]]/(Tabla2[[#This Row],[Activos]]+Tabla2[[#This Row],[Liquidez]])+Tabla2[[#This Row],[Comunicación]])</f>
        <v>1</v>
      </c>
      <c r="T464">
        <f ca="1">Tabla2[[#This Row],[Deuda actual]]*EXP(Tabla2[[#This Row],[Ki]]*Tabla2[[#This Row],[diferencia de días]])*(1+Tabla2[[#This Row],[Hg]])</f>
        <v>424.37995492201645</v>
      </c>
    </row>
    <row r="465" spans="1:20" ht="14.5" x14ac:dyDescent="0.35">
      <c r="A465">
        <f t="shared" si="77"/>
        <v>464</v>
      </c>
      <c r="B465">
        <f t="shared" ca="1" si="78"/>
        <v>46141</v>
      </c>
      <c r="C465">
        <f t="shared" ca="1" si="79"/>
        <v>46157</v>
      </c>
      <c r="D465">
        <f t="shared" ca="1" si="80"/>
        <v>26</v>
      </c>
      <c r="E465">
        <f t="shared" ca="1" si="81"/>
        <v>0.36499752396044349</v>
      </c>
      <c r="F465">
        <f t="shared" ca="1" si="82"/>
        <v>2832.25</v>
      </c>
      <c r="G465" t="str">
        <f t="shared" ca="1" si="83"/>
        <v>hipotecario</v>
      </c>
      <c r="H46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65" t="str">
        <f t="shared" ca="1" si="84"/>
        <v>No</v>
      </c>
      <c r="J46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165000.22189595623</v>
      </c>
      <c r="K465" t="str">
        <f ca="1">IF(Tabla2[[#This Row],[¿cliente deuda abierta?]]="Sí", Tabla2[[#This Row],[Deuda actual]]*Tabla2[[#This Row],[diferencia de días]], "0")</f>
        <v>0</v>
      </c>
      <c r="L46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6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465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465">
        <f t="shared" ca="1" si="85"/>
        <v>1594.35</v>
      </c>
      <c r="P465">
        <f t="shared" ca="1" si="86"/>
        <v>210965.82</v>
      </c>
      <c r="Q465">
        <f t="shared" ca="1" si="87"/>
        <v>0</v>
      </c>
      <c r="R465">
        <f ca="1">((Tabla2[[#This Row],[Fantasma Comunicación]]+1)/(Tabla2[[#This Row],[Fantasma Comunicación]]+RANDBETWEEN(0,5)+2))-0.5</f>
        <v>-0.25</v>
      </c>
      <c r="S465">
        <f ca="1">1+MAX(0,Tabla2[[#This Row],[Deuda actual]]/Tabla2[[#This Row],[Liquidez]]+Tabla2[[#This Row],[Liquidez]]/(Tabla2[[#This Row],[Activos]]+Tabla2[[#This Row],[Liquidez]])+Tabla2[[#This Row],[Comunicación]])</f>
        <v>2.5339299655292509</v>
      </c>
      <c r="T465">
        <f ca="1">Tabla2[[#This Row],[Deuda actual]]*EXP(Tabla2[[#This Row],[Ki]]*Tabla2[[#This Row],[diferencia de días]])*(1+Tabla2[[#This Row],[Hg]])</f>
        <v>2289.4872803568869</v>
      </c>
    </row>
    <row r="466" spans="1:20" ht="14.5" x14ac:dyDescent="0.35">
      <c r="A466">
        <f t="shared" si="77"/>
        <v>465</v>
      </c>
      <c r="B466">
        <f t="shared" ca="1" si="78"/>
        <v>46083</v>
      </c>
      <c r="C466">
        <f t="shared" ca="1" si="79"/>
        <v>46157</v>
      </c>
      <c r="D466">
        <f t="shared" ca="1" si="80"/>
        <v>33</v>
      </c>
      <c r="E466">
        <f t="shared" ca="1" si="81"/>
        <v>0.25062009870036728</v>
      </c>
      <c r="F466">
        <f t="shared" ca="1" si="82"/>
        <v>138.21</v>
      </c>
      <c r="G466" t="str">
        <f t="shared" ca="1" si="83"/>
        <v>personal</v>
      </c>
      <c r="H46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466" t="str">
        <f t="shared" ca="1" si="84"/>
        <v>Sí</v>
      </c>
      <c r="J46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66">
        <f ca="1">IF(Tabla2[[#This Row],[¿cliente deuda abierta?]]="Sí", Tabla2[[#This Row],[Deuda actual]]*Tabla2[[#This Row],[diferencia de días]], "0")</f>
        <v>4560.93</v>
      </c>
      <c r="L46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6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6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66">
        <f t="shared" ca="1" si="85"/>
        <v>1379.36</v>
      </c>
      <c r="P466">
        <f t="shared" ca="1" si="86"/>
        <v>86692.33</v>
      </c>
      <c r="Q466">
        <f t="shared" ca="1" si="87"/>
        <v>4</v>
      </c>
      <c r="R466">
        <f ca="1">((Tabla2[[#This Row],[Fantasma Comunicación]]+1)/(Tabla2[[#This Row],[Fantasma Comunicación]]+RANDBETWEEN(0,5)+2))-0.5</f>
        <v>0.33333333333333337</v>
      </c>
      <c r="S466">
        <f ca="1">1+MAX(0,Tabla2[[#This Row],[Deuda actual]]/Tabla2[[#This Row],[Liquidez]]+Tabla2[[#This Row],[Liquidez]]/(Tabla2[[#This Row],[Activos]]+Tabla2[[#This Row],[Liquidez]])+Tabla2[[#This Row],[Comunicación]])</f>
        <v>1.4491937626200349</v>
      </c>
      <c r="T466">
        <f ca="1">Tabla2[[#This Row],[Deuda actual]]*EXP(Tabla2[[#This Row],[Ki]]*Tabla2[[#This Row],[diferencia de días]])*(1+Tabla2[[#This Row],[Hg]])</f>
        <v>149.98937102996788</v>
      </c>
    </row>
    <row r="467" spans="1:20" ht="14.5" x14ac:dyDescent="0.35">
      <c r="A467">
        <f t="shared" si="77"/>
        <v>466</v>
      </c>
      <c r="B467">
        <f t="shared" ca="1" si="78"/>
        <v>46137</v>
      </c>
      <c r="C467">
        <f t="shared" ca="1" si="79"/>
        <v>46157</v>
      </c>
      <c r="D467">
        <f t="shared" ca="1" si="80"/>
        <v>8</v>
      </c>
      <c r="E467">
        <f t="shared" ca="1" si="81"/>
        <v>0.28720799209616732</v>
      </c>
      <c r="F467">
        <f t="shared" ca="1" si="82"/>
        <v>352.49</v>
      </c>
      <c r="G467" t="str">
        <f t="shared" ca="1" si="83"/>
        <v>personal</v>
      </c>
      <c r="H46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67" t="str">
        <f t="shared" ca="1" si="84"/>
        <v>Sí</v>
      </c>
      <c r="J46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67">
        <f ca="1">IF(Tabla2[[#This Row],[¿cliente deuda abierta?]]="Sí", Tabla2[[#This Row],[Deuda actual]]*Tabla2[[#This Row],[diferencia de días]], "0")</f>
        <v>2819.92</v>
      </c>
      <c r="L46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6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6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67">
        <f t="shared" ca="1" si="85"/>
        <v>2242.1999999999998</v>
      </c>
      <c r="P467">
        <f t="shared" ca="1" si="86"/>
        <v>151476.51</v>
      </c>
      <c r="Q467">
        <f t="shared" ca="1" si="87"/>
        <v>0</v>
      </c>
      <c r="R467">
        <f ca="1">((Tabla2[[#This Row],[Fantasma Comunicación]]+1)/(Tabla2[[#This Row],[Fantasma Comunicación]]+RANDBETWEEN(0,5)+2))-0.5</f>
        <v>-0.35714285714285715</v>
      </c>
      <c r="S467">
        <f ca="1">1+MAX(0,Tabla2[[#This Row],[Deuda actual]]/Tabla2[[#This Row],[Liquidez]]+Tabla2[[#This Row],[Liquidez]]/(Tabla2[[#This Row],[Activos]]+Tabla2[[#This Row],[Liquidez]])+Tabla2[[#This Row],[Comunicación]])</f>
        <v>1</v>
      </c>
      <c r="T467">
        <f ca="1">Tabla2[[#This Row],[Deuda actual]]*EXP(Tabla2[[#This Row],[Ki]]*Tabla2[[#This Row],[diferencia de días]])*(1+Tabla2[[#This Row],[Hg]])</f>
        <v>370.70715719932593</v>
      </c>
    </row>
    <row r="468" spans="1:20" ht="14.5" x14ac:dyDescent="0.35">
      <c r="A468">
        <f t="shared" si="77"/>
        <v>467</v>
      </c>
      <c r="B468">
        <f t="shared" ca="1" si="78"/>
        <v>46124</v>
      </c>
      <c r="C468">
        <f t="shared" ca="1" si="79"/>
        <v>46157</v>
      </c>
      <c r="D468">
        <f t="shared" ca="1" si="80"/>
        <v>11</v>
      </c>
      <c r="E468">
        <f t="shared" ca="1" si="81"/>
        <v>6.4813519377704076E-2</v>
      </c>
      <c r="F468">
        <f t="shared" ca="1" si="82"/>
        <v>7895.48</v>
      </c>
      <c r="G468" t="str">
        <f t="shared" ca="1" si="83"/>
        <v>personal</v>
      </c>
      <c r="H46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68" t="str">
        <f t="shared" ca="1" si="84"/>
        <v>No</v>
      </c>
      <c r="J46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11999.817839710757</v>
      </c>
      <c r="K468" t="str">
        <f ca="1">IF(Tabla2[[#This Row],[¿cliente deuda abierta?]]="Sí", Tabla2[[#This Row],[Deuda actual]]*Tabla2[[#This Row],[diferencia de días]], "0")</f>
        <v>0</v>
      </c>
      <c r="L46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6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6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68">
        <f t="shared" ca="1" si="85"/>
        <v>1805.52</v>
      </c>
      <c r="P468">
        <f t="shared" ca="1" si="86"/>
        <v>493415.66</v>
      </c>
      <c r="Q468">
        <f t="shared" ca="1" si="87"/>
        <v>1</v>
      </c>
      <c r="R468">
        <f ca="1">((Tabla2[[#This Row],[Fantasma Comunicación]]+1)/(Tabla2[[#This Row],[Fantasma Comunicación]]+RANDBETWEEN(0,5)+2))-0.5</f>
        <v>0</v>
      </c>
      <c r="S468">
        <f ca="1">1+MAX(0,Tabla2[[#This Row],[Deuda actual]]/Tabla2[[#This Row],[Liquidez]]+Tabla2[[#This Row],[Liquidez]]/(Tabla2[[#This Row],[Activos]]+Tabla2[[#This Row],[Liquidez]])+Tabla2[[#This Row],[Comunicación]])</f>
        <v>5.3766132306542129</v>
      </c>
      <c r="T468">
        <f ca="1">Tabla2[[#This Row],[Deuda actual]]*EXP(Tabla2[[#This Row],[Ki]]*Tabla2[[#This Row],[diferencia de días]])*(1+Tabla2[[#This Row],[Hg]])</f>
        <v>7121.5822593730391</v>
      </c>
    </row>
    <row r="469" spans="1:20" ht="14.5" x14ac:dyDescent="0.35">
      <c r="A469">
        <f t="shared" si="77"/>
        <v>468</v>
      </c>
      <c r="B469">
        <f t="shared" ca="1" si="78"/>
        <v>46130</v>
      </c>
      <c r="C469">
        <f t="shared" ca="1" si="79"/>
        <v>46157</v>
      </c>
      <c r="D469">
        <f t="shared" ca="1" si="80"/>
        <v>3</v>
      </c>
      <c r="E469">
        <f t="shared" ca="1" si="81"/>
        <v>0.28917323229907821</v>
      </c>
      <c r="F469">
        <f t="shared" ca="1" si="82"/>
        <v>1434.68</v>
      </c>
      <c r="G469" t="str">
        <f t="shared" ca="1" si="83"/>
        <v>hipotecario</v>
      </c>
      <c r="H46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69" t="str">
        <f t="shared" ca="1" si="84"/>
        <v>Sí</v>
      </c>
      <c r="J46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69">
        <f ca="1">IF(Tabla2[[#This Row],[¿cliente deuda abierta?]]="Sí", Tabla2[[#This Row],[Deuda actual]]*Tabla2[[#This Row],[diferencia de días]], "0")</f>
        <v>4304.04</v>
      </c>
      <c r="L46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6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6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69">
        <f t="shared" ca="1" si="85"/>
        <v>1490.95</v>
      </c>
      <c r="P469">
        <f t="shared" ca="1" si="86"/>
        <v>258471.07</v>
      </c>
      <c r="Q469">
        <f t="shared" ca="1" si="87"/>
        <v>1</v>
      </c>
      <c r="R469">
        <f ca="1">((Tabla2[[#This Row],[Fantasma Comunicación]]+1)/(Tabla2[[#This Row],[Fantasma Comunicación]]+RANDBETWEEN(0,5)+2))-0.5</f>
        <v>0.16666666666666663</v>
      </c>
      <c r="S469">
        <f ca="1">1+MAX(0,Tabla2[[#This Row],[Deuda actual]]/Tabla2[[#This Row],[Liquidez]]+Tabla2[[#This Row],[Liquidez]]/(Tabla2[[#This Row],[Activos]]+Tabla2[[#This Row],[Liquidez]])+Tabla2[[#This Row],[Comunicación]])</f>
        <v>2.1346608899393695</v>
      </c>
      <c r="T469">
        <f ca="1">Tabla2[[#This Row],[Deuda actual]]*EXP(Tabla2[[#This Row],[Ki]]*Tabla2[[#This Row],[diferencia de días]])*(1+Tabla2[[#This Row],[Hg]])</f>
        <v>1507.3181196087592</v>
      </c>
    </row>
    <row r="470" spans="1:20" ht="14.5" x14ac:dyDescent="0.35">
      <c r="A470">
        <f t="shared" si="77"/>
        <v>469</v>
      </c>
      <c r="B470">
        <f t="shared" ca="1" si="78"/>
        <v>46112</v>
      </c>
      <c r="C470">
        <f t="shared" ca="1" si="79"/>
        <v>46157</v>
      </c>
      <c r="D470">
        <f t="shared" ca="1" si="80"/>
        <v>15</v>
      </c>
      <c r="E470">
        <f t="shared" ca="1" si="81"/>
        <v>0.96673638849342614</v>
      </c>
      <c r="F470">
        <f t="shared" ca="1" si="82"/>
        <v>744.91</v>
      </c>
      <c r="G470" t="str">
        <f t="shared" ca="1" si="83"/>
        <v>hipotecario</v>
      </c>
      <c r="H47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70" t="str">
        <f t="shared" ca="1" si="84"/>
        <v>No</v>
      </c>
      <c r="J47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165000.28564817974</v>
      </c>
      <c r="K470" t="str">
        <f ca="1">IF(Tabla2[[#This Row],[¿cliente deuda abierta?]]="Sí", Tabla2[[#This Row],[Deuda actual]]*Tabla2[[#This Row],[diferencia de días]], "0")</f>
        <v>0</v>
      </c>
      <c r="L47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7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47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470">
        <f t="shared" ca="1" si="85"/>
        <v>1832.8</v>
      </c>
      <c r="P470">
        <f t="shared" ca="1" si="86"/>
        <v>78973.119999999995</v>
      </c>
      <c r="Q470">
        <f t="shared" ca="1" si="87"/>
        <v>3</v>
      </c>
      <c r="R470">
        <f ca="1">((Tabla2[[#This Row],[Fantasma Comunicación]]+1)/(Tabla2[[#This Row],[Fantasma Comunicación]]+RANDBETWEEN(0,5)+2))-0.5</f>
        <v>7.1428571428571397E-2</v>
      </c>
      <c r="S470">
        <f ca="1">1+MAX(0,Tabla2[[#This Row],[Deuda actual]]/Tabla2[[#This Row],[Liquidez]]+Tabla2[[#This Row],[Liquidez]]/(Tabla2[[#This Row],[Activos]]+Tabla2[[#This Row],[Liquidez]])+Tabla2[[#This Row],[Comunicación]])</f>
        <v>1.5005428583772757</v>
      </c>
      <c r="T470">
        <f ca="1">Tabla2[[#This Row],[Deuda actual]]*EXP(Tabla2[[#This Row],[Ki]]*Tabla2[[#This Row],[diferencia de días]])*(1+Tabla2[[#This Row],[Hg]])</f>
        <v>599.51431618962681</v>
      </c>
    </row>
    <row r="471" spans="1:20" ht="14.5" x14ac:dyDescent="0.35">
      <c r="A471">
        <f t="shared" si="77"/>
        <v>470</v>
      </c>
      <c r="B471">
        <f t="shared" ca="1" si="78"/>
        <v>46103</v>
      </c>
      <c r="C471">
        <f t="shared" ca="1" si="79"/>
        <v>46157</v>
      </c>
      <c r="D471">
        <f t="shared" ca="1" si="80"/>
        <v>18</v>
      </c>
      <c r="E471">
        <f t="shared" ca="1" si="81"/>
        <v>0.48707077246784691</v>
      </c>
      <c r="F471">
        <f t="shared" ca="1" si="82"/>
        <v>1778.79</v>
      </c>
      <c r="G471" t="str">
        <f t="shared" ca="1" si="83"/>
        <v>hipotecario</v>
      </c>
      <c r="H47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71" t="str">
        <f t="shared" ca="1" si="84"/>
        <v>No</v>
      </c>
      <c r="J47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165000.65768486573</v>
      </c>
      <c r="K471" t="str">
        <f ca="1">IF(Tabla2[[#This Row],[¿cliente deuda abierta?]]="Sí", Tabla2[[#This Row],[Deuda actual]]*Tabla2[[#This Row],[diferencia de días]], "0")</f>
        <v>0</v>
      </c>
      <c r="L47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7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471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471">
        <f t="shared" ca="1" si="85"/>
        <v>1237.25</v>
      </c>
      <c r="P471">
        <f t="shared" ca="1" si="86"/>
        <v>101572.23</v>
      </c>
      <c r="Q471">
        <f t="shared" ca="1" si="87"/>
        <v>4</v>
      </c>
      <c r="R471">
        <f ca="1">((Tabla2[[#This Row],[Fantasma Comunicación]]+1)/(Tabla2[[#This Row],[Fantasma Comunicación]]+RANDBETWEEN(0,5)+2))-0.5</f>
        <v>0</v>
      </c>
      <c r="S471">
        <f ca="1">1+MAX(0,Tabla2[[#This Row],[Deuda actual]]/Tabla2[[#This Row],[Liquidez]]+Tabla2[[#This Row],[Liquidez]]/(Tabla2[[#This Row],[Activos]]+Tabla2[[#This Row],[Liquidez]])+Tabla2[[#This Row],[Comunicación]])</f>
        <v>2.4497309003941705</v>
      </c>
      <c r="T471">
        <f ca="1">Tabla2[[#This Row],[Deuda actual]]*EXP(Tabla2[[#This Row],[Ki]]*Tabla2[[#This Row],[diferencia de días]])*(1+Tabla2[[#This Row],[Hg]])</f>
        <v>1433.3148040729877</v>
      </c>
    </row>
    <row r="472" spans="1:20" ht="14.5" x14ac:dyDescent="0.35">
      <c r="A472">
        <f t="shared" si="77"/>
        <v>471</v>
      </c>
      <c r="B472">
        <f t="shared" ca="1" si="78"/>
        <v>46122</v>
      </c>
      <c r="C472">
        <f t="shared" ca="1" si="79"/>
        <v>46157</v>
      </c>
      <c r="D472">
        <f t="shared" ca="1" si="80"/>
        <v>8</v>
      </c>
      <c r="E472">
        <f t="shared" ca="1" si="81"/>
        <v>0.31138872549887875</v>
      </c>
      <c r="F472">
        <f t="shared" ca="1" si="82"/>
        <v>2465.91</v>
      </c>
      <c r="G472" t="str">
        <f t="shared" ca="1" si="83"/>
        <v>hipotecario</v>
      </c>
      <c r="H47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72" t="str">
        <f t="shared" ca="1" si="84"/>
        <v>Sí</v>
      </c>
      <c r="J47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72">
        <f ca="1">IF(Tabla2[[#This Row],[¿cliente deuda abierta?]]="Sí", Tabla2[[#This Row],[Deuda actual]]*Tabla2[[#This Row],[diferencia de días]], "0")</f>
        <v>19727.28</v>
      </c>
      <c r="L47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7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7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72">
        <f t="shared" ca="1" si="85"/>
        <v>1793.39</v>
      </c>
      <c r="P472">
        <f t="shared" ca="1" si="86"/>
        <v>115425.18</v>
      </c>
      <c r="Q472">
        <f t="shared" ca="1" si="87"/>
        <v>1</v>
      </c>
      <c r="R472">
        <f ca="1">((Tabla2[[#This Row],[Fantasma Comunicación]]+1)/(Tabla2[[#This Row],[Fantasma Comunicación]]+RANDBETWEEN(0,5)+2))-0.5</f>
        <v>-0.25</v>
      </c>
      <c r="S472">
        <f ca="1">1+MAX(0,Tabla2[[#This Row],[Deuda actual]]/Tabla2[[#This Row],[Liquidez]]+Tabla2[[#This Row],[Liquidez]]/(Tabla2[[#This Row],[Activos]]+Tabla2[[#This Row],[Liquidez]])+Tabla2[[#This Row],[Comunicación]])</f>
        <v>2.1402988412858823</v>
      </c>
      <c r="T472">
        <f ca="1">Tabla2[[#This Row],[Deuda actual]]*EXP(Tabla2[[#This Row],[Ki]]*Tabla2[[#This Row],[diferencia de días]])*(1+Tabla2[[#This Row],[Hg]])</f>
        <v>2593.3515447513114</v>
      </c>
    </row>
    <row r="473" spans="1:20" ht="14.5" x14ac:dyDescent="0.35">
      <c r="A473">
        <f t="shared" si="77"/>
        <v>472</v>
      </c>
      <c r="B473">
        <f t="shared" ca="1" si="78"/>
        <v>46130</v>
      </c>
      <c r="C473">
        <f t="shared" ca="1" si="79"/>
        <v>46157</v>
      </c>
      <c r="D473">
        <f t="shared" ca="1" si="80"/>
        <v>17</v>
      </c>
      <c r="E473">
        <f t="shared" ca="1" si="81"/>
        <v>0.50446993740627544</v>
      </c>
      <c r="F473">
        <f t="shared" ca="1" si="82"/>
        <v>1358.4</v>
      </c>
      <c r="G473" t="str">
        <f t="shared" ca="1" si="83"/>
        <v>personal</v>
      </c>
      <c r="H47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73" t="str">
        <f t="shared" ca="1" si="84"/>
        <v>Sí</v>
      </c>
      <c r="J47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73">
        <f ca="1">IF(Tabla2[[#This Row],[¿cliente deuda abierta?]]="Sí", Tabla2[[#This Row],[Deuda actual]]*Tabla2[[#This Row],[diferencia de días]], "0")</f>
        <v>23092.800000000003</v>
      </c>
      <c r="L47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7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7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73">
        <f t="shared" ca="1" si="85"/>
        <v>1473.94</v>
      </c>
      <c r="P473">
        <f t="shared" ca="1" si="86"/>
        <v>69578.27</v>
      </c>
      <c r="Q473">
        <f t="shared" ca="1" si="87"/>
        <v>5</v>
      </c>
      <c r="R473">
        <f ca="1">((Tabla2[[#This Row],[Fantasma Comunicación]]+1)/(Tabla2[[#This Row],[Fantasma Comunicación]]+RANDBETWEEN(0,5)+2))-0.5</f>
        <v>4.5454545454545414E-2</v>
      </c>
      <c r="S473">
        <f ca="1">1+MAX(0,Tabla2[[#This Row],[Deuda actual]]/Tabla2[[#This Row],[Liquidez]]+Tabla2[[#This Row],[Liquidez]]/(Tabla2[[#This Row],[Activos]]+Tabla2[[#This Row],[Liquidez]])+Tabla2[[#This Row],[Comunicación]])</f>
        <v>1.9878104724322863</v>
      </c>
      <c r="T473">
        <f ca="1">Tabla2[[#This Row],[Deuda actual]]*EXP(Tabla2[[#This Row],[Ki]]*Tabla2[[#This Row],[diferencia de días]])*(1+Tabla2[[#This Row],[Hg]])</f>
        <v>1436.0520273924178</v>
      </c>
    </row>
    <row r="474" spans="1:20" ht="14.5" x14ac:dyDescent="0.35">
      <c r="A474">
        <f t="shared" si="77"/>
        <v>473</v>
      </c>
      <c r="B474">
        <f t="shared" ca="1" si="78"/>
        <v>46142</v>
      </c>
      <c r="C474">
        <f t="shared" ca="1" si="79"/>
        <v>46157</v>
      </c>
      <c r="D474">
        <f t="shared" ca="1" si="80"/>
        <v>25</v>
      </c>
      <c r="E474">
        <f t="shared" ca="1" si="81"/>
        <v>0.72987523553441613</v>
      </c>
      <c r="F474">
        <f t="shared" ca="1" si="82"/>
        <v>208.34</v>
      </c>
      <c r="G474" t="str">
        <f t="shared" ca="1" si="83"/>
        <v>personal</v>
      </c>
      <c r="H47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74" t="str">
        <f t="shared" ca="1" si="84"/>
        <v>No</v>
      </c>
      <c r="J47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11998.965818739101</v>
      </c>
      <c r="K474" t="str">
        <f ca="1">IF(Tabla2[[#This Row],[¿cliente deuda abierta?]]="Sí", Tabla2[[#This Row],[Deuda actual]]*Tabla2[[#This Row],[diferencia de días]], "0")</f>
        <v>0</v>
      </c>
      <c r="L47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7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7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74">
        <f t="shared" ca="1" si="85"/>
        <v>2419.48</v>
      </c>
      <c r="P474">
        <f t="shared" ca="1" si="86"/>
        <v>169670.11</v>
      </c>
      <c r="Q474">
        <f t="shared" ca="1" si="87"/>
        <v>0</v>
      </c>
      <c r="R474">
        <f ca="1">((Tabla2[[#This Row],[Fantasma Comunicación]]+1)/(Tabla2[[#This Row],[Fantasma Comunicación]]+RANDBETWEEN(0,5)+2))-0.5</f>
        <v>-0.35714285714285715</v>
      </c>
      <c r="S474">
        <f ca="1">1+MAX(0,Tabla2[[#This Row],[Deuda actual]]/Tabla2[[#This Row],[Liquidez]]+Tabla2[[#This Row],[Liquidez]]/(Tabla2[[#This Row],[Activos]]+Tabla2[[#This Row],[Liquidez]])+Tabla2[[#This Row],[Comunicación]])</f>
        <v>1</v>
      </c>
      <c r="T474">
        <f ca="1">Tabla2[[#This Row],[Deuda actual]]*EXP(Tabla2[[#This Row],[Ki]]*Tabla2[[#This Row],[diferencia de días]])*(1+Tabla2[[#This Row],[Hg]])</f>
        <v>189.39046662928402</v>
      </c>
    </row>
    <row r="475" spans="1:20" ht="14.5" x14ac:dyDescent="0.35">
      <c r="A475">
        <f t="shared" si="77"/>
        <v>474</v>
      </c>
      <c r="B475">
        <f t="shared" ca="1" si="78"/>
        <v>46092</v>
      </c>
      <c r="C475">
        <f t="shared" ca="1" si="79"/>
        <v>46157</v>
      </c>
      <c r="D475">
        <f t="shared" ca="1" si="80"/>
        <v>18</v>
      </c>
      <c r="E475">
        <f t="shared" ca="1" si="81"/>
        <v>0.72029090984659427</v>
      </c>
      <c r="F475">
        <f t="shared" ca="1" si="82"/>
        <v>427.84</v>
      </c>
      <c r="G475" t="str">
        <f t="shared" ca="1" si="83"/>
        <v>hipotecario</v>
      </c>
      <c r="H47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75" t="str">
        <f t="shared" ca="1" si="84"/>
        <v>Sí</v>
      </c>
      <c r="J47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75">
        <f ca="1">IF(Tabla2[[#This Row],[¿cliente deuda abierta?]]="Sí", Tabla2[[#This Row],[Deuda actual]]*Tabla2[[#This Row],[diferencia de días]], "0")</f>
        <v>7701.12</v>
      </c>
      <c r="L47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7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7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75">
        <f t="shared" ca="1" si="85"/>
        <v>1434.52</v>
      </c>
      <c r="P475">
        <f t="shared" ca="1" si="86"/>
        <v>109993.35</v>
      </c>
      <c r="Q475">
        <f t="shared" ca="1" si="87"/>
        <v>2</v>
      </c>
      <c r="R475">
        <f ca="1">((Tabla2[[#This Row],[Fantasma Comunicación]]+1)/(Tabla2[[#This Row],[Fantasma Comunicación]]+RANDBETWEEN(0,5)+2))-0.5</f>
        <v>-7.1428571428571452E-2</v>
      </c>
      <c r="S475">
        <f ca="1">1+MAX(0,Tabla2[[#This Row],[Deuda actual]]/Tabla2[[#This Row],[Liquidez]]+Tabla2[[#This Row],[Liquidez]]/(Tabla2[[#This Row],[Activos]]+Tabla2[[#This Row],[Liquidez]])+Tabla2[[#This Row],[Comunicación]])</f>
        <v>1.2396915102735362</v>
      </c>
      <c r="T475">
        <f ca="1">Tabla2[[#This Row],[Deuda actual]]*EXP(Tabla2[[#This Row],[Ki]]*Tabla2[[#This Row],[diferencia de días]])*(1+Tabla2[[#This Row],[Hg]])</f>
        <v>452.47814248963931</v>
      </c>
    </row>
    <row r="476" spans="1:20" ht="14.5" x14ac:dyDescent="0.35">
      <c r="A476">
        <f t="shared" si="77"/>
        <v>475</v>
      </c>
      <c r="B476">
        <f t="shared" ca="1" si="78"/>
        <v>46134</v>
      </c>
      <c r="C476">
        <f t="shared" ca="1" si="79"/>
        <v>46157</v>
      </c>
      <c r="D476">
        <f t="shared" ca="1" si="80"/>
        <v>28</v>
      </c>
      <c r="E476">
        <f t="shared" ca="1" si="81"/>
        <v>0.44448549091498468</v>
      </c>
      <c r="F476">
        <f t="shared" ca="1" si="82"/>
        <v>1290.53</v>
      </c>
      <c r="G476" t="str">
        <f t="shared" ca="1" si="83"/>
        <v>hipotecario</v>
      </c>
      <c r="H47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76" t="str">
        <f t="shared" ca="1" si="84"/>
        <v>Sí</v>
      </c>
      <c r="J47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76">
        <f ca="1">IF(Tabla2[[#This Row],[¿cliente deuda abierta?]]="Sí", Tabla2[[#This Row],[Deuda actual]]*Tabla2[[#This Row],[diferencia de días]], "0")</f>
        <v>36134.839999999997</v>
      </c>
      <c r="L47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47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76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476">
        <f t="shared" ca="1" si="85"/>
        <v>1678.98</v>
      </c>
      <c r="P476">
        <f t="shared" ca="1" si="86"/>
        <v>29286.21</v>
      </c>
      <c r="Q476">
        <f t="shared" ca="1" si="87"/>
        <v>0</v>
      </c>
      <c r="R476">
        <f ca="1">((Tabla2[[#This Row],[Fantasma Comunicación]]+1)/(Tabla2[[#This Row],[Fantasma Comunicación]]+RANDBETWEEN(0,5)+2))-0.5</f>
        <v>-0.25</v>
      </c>
      <c r="S476">
        <f ca="1">1+MAX(0,Tabla2[[#This Row],[Deuda actual]]/Tabla2[[#This Row],[Liquidez]]+Tabla2[[#This Row],[Liquidez]]/(Tabla2[[#This Row],[Activos]]+Tabla2[[#This Row],[Liquidez]])+Tabla2[[#This Row],[Comunicación]])</f>
        <v>1.5728608235970387</v>
      </c>
      <c r="T476">
        <f ca="1">Tabla2[[#This Row],[Deuda actual]]*EXP(Tabla2[[#This Row],[Ki]]*Tabla2[[#This Row],[diferencia de días]])*(1+Tabla2[[#This Row],[Hg]])</f>
        <v>1435.5716991805587</v>
      </c>
    </row>
    <row r="477" spans="1:20" ht="14.5" x14ac:dyDescent="0.35">
      <c r="A477">
        <f t="shared" si="77"/>
        <v>476</v>
      </c>
      <c r="B477">
        <f t="shared" ca="1" si="78"/>
        <v>46117</v>
      </c>
      <c r="C477">
        <f t="shared" ca="1" si="79"/>
        <v>46157</v>
      </c>
      <c r="D477">
        <f t="shared" ca="1" si="80"/>
        <v>6</v>
      </c>
      <c r="E477">
        <f t="shared" ca="1" si="81"/>
        <v>0.96014967221450642</v>
      </c>
      <c r="F477">
        <f t="shared" ca="1" si="82"/>
        <v>1628.62</v>
      </c>
      <c r="G477" t="str">
        <f t="shared" ca="1" si="83"/>
        <v>hipotecario</v>
      </c>
      <c r="H47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77" t="str">
        <f t="shared" ca="1" si="84"/>
        <v>No</v>
      </c>
      <c r="J47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165000.26051507084</v>
      </c>
      <c r="K477" t="str">
        <f ca="1">IF(Tabla2[[#This Row],[¿cliente deuda abierta?]]="Sí", Tabla2[[#This Row],[Deuda actual]]*Tabla2[[#This Row],[diferencia de días]], "0")</f>
        <v>0</v>
      </c>
      <c r="L47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7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47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477">
        <f t="shared" ca="1" si="85"/>
        <v>2475.06</v>
      </c>
      <c r="P477">
        <f t="shared" ca="1" si="86"/>
        <v>265667.03000000003</v>
      </c>
      <c r="Q477">
        <f t="shared" ca="1" si="87"/>
        <v>4</v>
      </c>
      <c r="R477">
        <f ca="1">((Tabla2[[#This Row],[Fantasma Comunicación]]+1)/(Tabla2[[#This Row],[Fantasma Comunicación]]+RANDBETWEEN(0,5)+2))-0.5</f>
        <v>0.33333333333333337</v>
      </c>
      <c r="S477">
        <f ca="1">1+MAX(0,Tabla2[[#This Row],[Deuda actual]]/Tabla2[[#This Row],[Liquidez]]+Tabla2[[#This Row],[Liquidez]]/(Tabla2[[#This Row],[Activos]]+Tabla2[[#This Row],[Liquidez]])+Tabla2[[#This Row],[Comunicación]])</f>
        <v>2.0005760690184275</v>
      </c>
      <c r="T477">
        <f ca="1">Tabla2[[#This Row],[Deuda actual]]*EXP(Tabla2[[#This Row],[Ki]]*Tabla2[[#This Row],[diferencia de días]])*(1+Tabla2[[#This Row],[Hg]])</f>
        <v>1304.4604136604667</v>
      </c>
    </row>
    <row r="478" spans="1:20" ht="14.5" x14ac:dyDescent="0.35">
      <c r="A478">
        <f t="shared" si="77"/>
        <v>477</v>
      </c>
      <c r="B478">
        <f t="shared" ca="1" si="78"/>
        <v>46084</v>
      </c>
      <c r="C478">
        <f t="shared" ca="1" si="79"/>
        <v>46157</v>
      </c>
      <c r="D478">
        <f t="shared" ca="1" si="80"/>
        <v>5</v>
      </c>
      <c r="E478">
        <f t="shared" ca="1" si="81"/>
        <v>0.20202702288064345</v>
      </c>
      <c r="F478">
        <f t="shared" ca="1" si="82"/>
        <v>1339.03</v>
      </c>
      <c r="G478" t="str">
        <f t="shared" ca="1" si="83"/>
        <v>personal</v>
      </c>
      <c r="H47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78" t="str">
        <f t="shared" ca="1" si="84"/>
        <v>No</v>
      </c>
      <c r="J47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11999.911743153336</v>
      </c>
      <c r="K478" t="str">
        <f ca="1">IF(Tabla2[[#This Row],[¿cliente deuda abierta?]]="Sí", Tabla2[[#This Row],[Deuda actual]]*Tabla2[[#This Row],[diferencia de días]], "0")</f>
        <v>0</v>
      </c>
      <c r="L47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7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7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78">
        <f t="shared" ca="1" si="85"/>
        <v>1526.65</v>
      </c>
      <c r="P478">
        <f t="shared" ca="1" si="86"/>
        <v>70056.740000000005</v>
      </c>
      <c r="Q478">
        <f t="shared" ca="1" si="87"/>
        <v>4</v>
      </c>
      <c r="R478">
        <f ca="1">((Tabla2[[#This Row],[Fantasma Comunicación]]+1)/(Tabla2[[#This Row],[Fantasma Comunicación]]+RANDBETWEEN(0,5)+2))-0.5</f>
        <v>0</v>
      </c>
      <c r="S478">
        <f ca="1">1+MAX(0,Tabla2[[#This Row],[Deuda actual]]/Tabla2[[#This Row],[Liquidez]]+Tabla2[[#This Row],[Liquidez]]/(Tabla2[[#This Row],[Activos]]+Tabla2[[#This Row],[Liquidez]])+Tabla2[[#This Row],[Comunicación]])</f>
        <v>1.8984303366800195</v>
      </c>
      <c r="T478">
        <f ca="1">Tabla2[[#This Row],[Deuda actual]]*EXP(Tabla2[[#This Row],[Ki]]*Tabla2[[#This Row],[diferencia de días]])*(1+Tabla2[[#This Row],[Hg]])</f>
        <v>1206.3327297644048</v>
      </c>
    </row>
    <row r="479" spans="1:20" ht="14.5" x14ac:dyDescent="0.35">
      <c r="A479">
        <f t="shared" si="77"/>
        <v>478</v>
      </c>
      <c r="B479">
        <f t="shared" ca="1" si="78"/>
        <v>46143</v>
      </c>
      <c r="C479">
        <f t="shared" ca="1" si="79"/>
        <v>46157</v>
      </c>
      <c r="D479">
        <f t="shared" ca="1" si="80"/>
        <v>23</v>
      </c>
      <c r="E479">
        <f t="shared" ca="1" si="81"/>
        <v>0.36897417666664734</v>
      </c>
      <c r="F479">
        <f t="shared" ca="1" si="82"/>
        <v>5112.8999999999996</v>
      </c>
      <c r="G479" t="str">
        <f t="shared" ca="1" si="83"/>
        <v>hipotecario</v>
      </c>
      <c r="H47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79" t="str">
        <f t="shared" ca="1" si="84"/>
        <v>Sí</v>
      </c>
      <c r="J47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79">
        <f ca="1">IF(Tabla2[[#This Row],[¿cliente deuda abierta?]]="Sí", Tabla2[[#This Row],[Deuda actual]]*Tabla2[[#This Row],[diferencia de días]], "0")</f>
        <v>117596.7</v>
      </c>
      <c r="L47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47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79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479">
        <f t="shared" ca="1" si="85"/>
        <v>1770.99</v>
      </c>
      <c r="P479">
        <f t="shared" ca="1" si="86"/>
        <v>219304.14</v>
      </c>
      <c r="Q479">
        <f t="shared" ca="1" si="87"/>
        <v>3</v>
      </c>
      <c r="R479">
        <f ca="1">((Tabla2[[#This Row],[Fantasma Comunicación]]+1)/(Tabla2[[#This Row],[Fantasma Comunicación]]+RANDBETWEEN(0,5)+2))-0.5</f>
        <v>0</v>
      </c>
      <c r="S479">
        <f ca="1">1+MAX(0,Tabla2[[#This Row],[Deuda actual]]/Tabla2[[#This Row],[Liquidez]]+Tabla2[[#This Row],[Liquidez]]/(Tabla2[[#This Row],[Activos]]+Tabla2[[#This Row],[Liquidez]])+Tabla2[[#This Row],[Comunicación]])</f>
        <v>3.8950400948030994</v>
      </c>
      <c r="T479">
        <f ca="1">Tabla2[[#This Row],[Deuda actual]]*EXP(Tabla2[[#This Row],[Ki]]*Tabla2[[#This Row],[diferencia de días]])*(1+Tabla2[[#This Row],[Hg]])</f>
        <v>5934.1790814683727</v>
      </c>
    </row>
    <row r="480" spans="1:20" ht="14.5" x14ac:dyDescent="0.35">
      <c r="A480">
        <f t="shared" si="77"/>
        <v>479</v>
      </c>
      <c r="B480">
        <f t="shared" ca="1" si="78"/>
        <v>46099</v>
      </c>
      <c r="C480">
        <f t="shared" ca="1" si="79"/>
        <v>46157</v>
      </c>
      <c r="D480">
        <f t="shared" ca="1" si="80"/>
        <v>19</v>
      </c>
      <c r="E480">
        <f t="shared" ca="1" si="81"/>
        <v>0.44601437334708793</v>
      </c>
      <c r="F480">
        <f t="shared" ca="1" si="82"/>
        <v>2023.27</v>
      </c>
      <c r="G480" t="str">
        <f t="shared" ca="1" si="83"/>
        <v>personal</v>
      </c>
      <c r="H48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80" t="str">
        <f t="shared" ca="1" si="84"/>
        <v>No</v>
      </c>
      <c r="J48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11999.737017212512</v>
      </c>
      <c r="K480" t="str">
        <f ca="1">IF(Tabla2[[#This Row],[¿cliente deuda abierta?]]="Sí", Tabla2[[#This Row],[Deuda actual]]*Tabla2[[#This Row],[diferencia de días]], "0")</f>
        <v>0</v>
      </c>
      <c r="L48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8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80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80">
        <f t="shared" ca="1" si="85"/>
        <v>1550.23</v>
      </c>
      <c r="P480">
        <f t="shared" ca="1" si="86"/>
        <v>43392.43</v>
      </c>
      <c r="Q480">
        <f t="shared" ca="1" si="87"/>
        <v>4</v>
      </c>
      <c r="R480">
        <f ca="1">((Tabla2[[#This Row],[Fantasma Comunicación]]+1)/(Tabla2[[#This Row],[Fantasma Comunicación]]+RANDBETWEEN(0,5)+2))-0.5</f>
        <v>0.125</v>
      </c>
      <c r="S480">
        <f ca="1">1+MAX(0,Tabla2[[#This Row],[Deuda actual]]/Tabla2[[#This Row],[Liquidez]]+Tabla2[[#This Row],[Liquidez]]/(Tabla2[[#This Row],[Activos]]+Tabla2[[#This Row],[Liquidez]])+Tabla2[[#This Row],[Comunicación]])</f>
        <v>2.4646353256156734</v>
      </c>
      <c r="T480">
        <f ca="1">Tabla2[[#This Row],[Deuda actual]]*EXP(Tabla2[[#This Row],[Ki]]*Tabla2[[#This Row],[diferencia de días]])*(1+Tabla2[[#This Row],[Hg]])</f>
        <v>1834.8348891123987</v>
      </c>
    </row>
    <row r="481" spans="1:20" ht="14.5" x14ac:dyDescent="0.35">
      <c r="A481">
        <f t="shared" si="77"/>
        <v>480</v>
      </c>
      <c r="B481">
        <f t="shared" ca="1" si="78"/>
        <v>46100</v>
      </c>
      <c r="C481">
        <f t="shared" ca="1" si="79"/>
        <v>46157</v>
      </c>
      <c r="D481">
        <f t="shared" ca="1" si="80"/>
        <v>7</v>
      </c>
      <c r="E481">
        <f t="shared" ca="1" si="81"/>
        <v>0.27183668048506959</v>
      </c>
      <c r="F481">
        <f t="shared" ca="1" si="82"/>
        <v>230.54</v>
      </c>
      <c r="G481" t="str">
        <f t="shared" ca="1" si="83"/>
        <v>hipotecario</v>
      </c>
      <c r="H48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81" t="str">
        <f t="shared" ca="1" si="84"/>
        <v>Sí</v>
      </c>
      <c r="J48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81">
        <f ca="1">IF(Tabla2[[#This Row],[¿cliente deuda abierta?]]="Sí", Tabla2[[#This Row],[Deuda actual]]*Tabla2[[#This Row],[diferencia de días]], "0")</f>
        <v>1613.78</v>
      </c>
      <c r="L48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8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8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81">
        <f t="shared" ca="1" si="85"/>
        <v>1757.26</v>
      </c>
      <c r="P481">
        <f t="shared" ca="1" si="86"/>
        <v>111559.18</v>
      </c>
      <c r="Q481">
        <f t="shared" ca="1" si="87"/>
        <v>5</v>
      </c>
      <c r="R481">
        <f ca="1">((Tabla2[[#This Row],[Fantasma Comunicación]]+1)/(Tabla2[[#This Row],[Fantasma Comunicación]]+RANDBETWEEN(0,5)+2))-0.5</f>
        <v>0.3571428571428571</v>
      </c>
      <c r="S481">
        <f ca="1">1+MAX(0,Tabla2[[#This Row],[Deuda actual]]/Tabla2[[#This Row],[Liquidez]]+Tabla2[[#This Row],[Liquidez]]/(Tabla2[[#This Row],[Activos]]+Tabla2[[#This Row],[Liquidez]])+Tabla2[[#This Row],[Comunicación]])</f>
        <v>1.503843283797933</v>
      </c>
      <c r="T481">
        <f ca="1">Tabla2[[#This Row],[Deuda actual]]*EXP(Tabla2[[#This Row],[Ki]]*Tabla2[[#This Row],[diferencia de días]])*(1+Tabla2[[#This Row],[Hg]])</f>
        <v>242.4061311364041</v>
      </c>
    </row>
    <row r="482" spans="1:20" ht="14.5" x14ac:dyDescent="0.35">
      <c r="A482">
        <f t="shared" si="77"/>
        <v>481</v>
      </c>
      <c r="B482">
        <f t="shared" ca="1" si="78"/>
        <v>46122</v>
      </c>
      <c r="C482">
        <f t="shared" ca="1" si="79"/>
        <v>46157</v>
      </c>
      <c r="D482">
        <f t="shared" ca="1" si="80"/>
        <v>9</v>
      </c>
      <c r="E482">
        <f t="shared" ca="1" si="81"/>
        <v>0.63611111094674144</v>
      </c>
      <c r="F482">
        <f t="shared" ca="1" si="82"/>
        <v>1061.27</v>
      </c>
      <c r="G482" t="str">
        <f t="shared" ca="1" si="83"/>
        <v>hipotecario</v>
      </c>
      <c r="H48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82" t="str">
        <f t="shared" ca="1" si="84"/>
        <v>Sí</v>
      </c>
      <c r="J48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82">
        <f ca="1">IF(Tabla2[[#This Row],[¿cliente deuda abierta?]]="Sí", Tabla2[[#This Row],[Deuda actual]]*Tabla2[[#This Row],[diferencia de días]], "0")</f>
        <v>9551.43</v>
      </c>
      <c r="L48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8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8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82">
        <f t="shared" ca="1" si="85"/>
        <v>1754.3</v>
      </c>
      <c r="P482">
        <f t="shared" ca="1" si="86"/>
        <v>201584.51</v>
      </c>
      <c r="Q482">
        <f t="shared" ca="1" si="87"/>
        <v>2</v>
      </c>
      <c r="R482">
        <f ca="1">((Tabla2[[#This Row],[Fantasma Comunicación]]+1)/(Tabla2[[#This Row],[Fantasma Comunicación]]+RANDBETWEEN(0,5)+2))-0.5</f>
        <v>0</v>
      </c>
      <c r="S482">
        <f ca="1">1+MAX(0,Tabla2[[#This Row],[Deuda actual]]/Tabla2[[#This Row],[Liquidez]]+Tabla2[[#This Row],[Liquidez]]/(Tabla2[[#This Row],[Activos]]+Tabla2[[#This Row],[Liquidez]])+Tabla2[[#This Row],[Comunicación]])</f>
        <v>1.6135810152656034</v>
      </c>
      <c r="T482">
        <f ca="1">Tabla2[[#This Row],[Deuda actual]]*EXP(Tabla2[[#This Row],[Ki]]*Tabla2[[#This Row],[diferencia de días]])*(1+Tabla2[[#This Row],[Hg]])</f>
        <v>1116.34110660389</v>
      </c>
    </row>
    <row r="483" spans="1:20" ht="14.5" x14ac:dyDescent="0.35">
      <c r="A483">
        <f t="shared" si="77"/>
        <v>482</v>
      </c>
      <c r="B483">
        <f t="shared" ca="1" si="78"/>
        <v>46085</v>
      </c>
      <c r="C483">
        <f t="shared" ca="1" si="79"/>
        <v>46157</v>
      </c>
      <c r="D483">
        <f t="shared" ca="1" si="80"/>
        <v>5</v>
      </c>
      <c r="E483">
        <f t="shared" ca="1" si="81"/>
        <v>0.26182784541638637</v>
      </c>
      <c r="F483">
        <f t="shared" ca="1" si="82"/>
        <v>2366.61</v>
      </c>
      <c r="G483" t="str">
        <f t="shared" ca="1" si="83"/>
        <v>hipotecario</v>
      </c>
      <c r="H48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83" t="str">
        <f t="shared" ca="1" si="84"/>
        <v>No</v>
      </c>
      <c r="J48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165000.04657682305</v>
      </c>
      <c r="K483" t="str">
        <f ca="1">IF(Tabla2[[#This Row],[¿cliente deuda abierta?]]="Sí", Tabla2[[#This Row],[Deuda actual]]*Tabla2[[#This Row],[diferencia de días]], "0")</f>
        <v>0</v>
      </c>
      <c r="L48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8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48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483">
        <f t="shared" ca="1" si="85"/>
        <v>1851.67</v>
      </c>
      <c r="P483">
        <f t="shared" ca="1" si="86"/>
        <v>118051.44</v>
      </c>
      <c r="Q483">
        <f t="shared" ca="1" si="87"/>
        <v>5</v>
      </c>
      <c r="R483">
        <f ca="1">((Tabla2[[#This Row],[Fantasma Comunicación]]+1)/(Tabla2[[#This Row],[Fantasma Comunicación]]+RANDBETWEEN(0,5)+2))-0.5</f>
        <v>0.25</v>
      </c>
      <c r="S483">
        <f ca="1">1+MAX(0,Tabla2[[#This Row],[Deuda actual]]/Tabla2[[#This Row],[Liquidez]]+Tabla2[[#This Row],[Liquidez]]/(Tabla2[[#This Row],[Activos]]+Tabla2[[#This Row],[Liquidez]])+Tabla2[[#This Row],[Comunicación]])</f>
        <v>2.5435379612312095</v>
      </c>
      <c r="T483">
        <f ca="1">Tabla2[[#This Row],[Deuda actual]]*EXP(Tabla2[[#This Row],[Ki]]*Tabla2[[#This Row],[diferencia de días]])*(1+Tabla2[[#This Row],[Hg]])</f>
        <v>1895.1822349596271</v>
      </c>
    </row>
    <row r="484" spans="1:20" ht="14.5" x14ac:dyDescent="0.35">
      <c r="A484">
        <f t="shared" si="77"/>
        <v>483</v>
      </c>
      <c r="B484">
        <f t="shared" ca="1" si="78"/>
        <v>46124</v>
      </c>
      <c r="C484">
        <f t="shared" ca="1" si="79"/>
        <v>46157</v>
      </c>
      <c r="D484">
        <f t="shared" ca="1" si="80"/>
        <v>64</v>
      </c>
      <c r="E484">
        <f t="shared" ca="1" si="81"/>
        <v>0.42553632796161878</v>
      </c>
      <c r="F484">
        <f t="shared" ca="1" si="82"/>
        <v>698.06</v>
      </c>
      <c r="G484" t="str">
        <f t="shared" ca="1" si="83"/>
        <v>hipotecario</v>
      </c>
      <c r="H48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484" t="str">
        <f t="shared" ca="1" si="84"/>
        <v>Sí</v>
      </c>
      <c r="J48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84">
        <f ca="1">IF(Tabla2[[#This Row],[¿cliente deuda abierta?]]="Sí", Tabla2[[#This Row],[Deuda actual]]*Tabla2[[#This Row],[diferencia de días]], "0")</f>
        <v>44675.839999999997</v>
      </c>
      <c r="L48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48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84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484">
        <f t="shared" ca="1" si="85"/>
        <v>1888.09</v>
      </c>
      <c r="P484">
        <f t="shared" ca="1" si="86"/>
        <v>183867.94</v>
      </c>
      <c r="Q484">
        <f t="shared" ca="1" si="87"/>
        <v>3</v>
      </c>
      <c r="R484">
        <f ca="1">((Tabla2[[#This Row],[Fantasma Comunicación]]+1)/(Tabla2[[#This Row],[Fantasma Comunicación]]+RANDBETWEEN(0,5)+2))-0.5</f>
        <v>0</v>
      </c>
      <c r="S484">
        <f ca="1">1+MAX(0,Tabla2[[#This Row],[Deuda actual]]/Tabla2[[#This Row],[Liquidez]]+Tabla2[[#This Row],[Liquidez]]/(Tabla2[[#This Row],[Activos]]+Tabla2[[#This Row],[Liquidez]])+Tabla2[[#This Row],[Comunicación]])</f>
        <v>1.3798818989935131</v>
      </c>
      <c r="T484">
        <f ca="1">Tabla2[[#This Row],[Deuda actual]]*EXP(Tabla2[[#This Row],[Ki]]*Tabla2[[#This Row],[diferencia de días]])*(1+Tabla2[[#This Row],[Hg]])</f>
        <v>818.61610586740198</v>
      </c>
    </row>
    <row r="485" spans="1:20" ht="14.5" x14ac:dyDescent="0.35">
      <c r="A485">
        <f t="shared" si="77"/>
        <v>484</v>
      </c>
      <c r="B485">
        <f t="shared" ca="1" si="78"/>
        <v>46127</v>
      </c>
      <c r="C485">
        <f t="shared" ca="1" si="79"/>
        <v>46157</v>
      </c>
      <c r="D485">
        <f t="shared" ca="1" si="80"/>
        <v>6</v>
      </c>
      <c r="E485">
        <f t="shared" ca="1" si="81"/>
        <v>0.10507444321115234</v>
      </c>
      <c r="F485">
        <f t="shared" ca="1" si="82"/>
        <v>4547.7299999999996</v>
      </c>
      <c r="G485" t="str">
        <f t="shared" ca="1" si="83"/>
        <v>personal</v>
      </c>
      <c r="H48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85" t="str">
        <f t="shared" ca="1" si="84"/>
        <v>No</v>
      </c>
      <c r="J48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11999.547055842895</v>
      </c>
      <c r="K485" t="str">
        <f ca="1">IF(Tabla2[[#This Row],[¿cliente deuda abierta?]]="Sí", Tabla2[[#This Row],[Deuda actual]]*Tabla2[[#This Row],[diferencia de días]], "0")</f>
        <v>0</v>
      </c>
      <c r="L48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8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8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85">
        <f t="shared" ca="1" si="85"/>
        <v>1297.19</v>
      </c>
      <c r="P485">
        <f t="shared" ca="1" si="86"/>
        <v>78923.83</v>
      </c>
      <c r="Q485">
        <f t="shared" ca="1" si="87"/>
        <v>4</v>
      </c>
      <c r="R485">
        <f ca="1">((Tabla2[[#This Row],[Fantasma Comunicación]]+1)/(Tabla2[[#This Row],[Fantasma Comunicación]]+RANDBETWEEN(0,5)+2))-0.5</f>
        <v>0</v>
      </c>
      <c r="S485">
        <f ca="1">1+MAX(0,Tabla2[[#This Row],[Deuda actual]]/Tabla2[[#This Row],[Liquidez]]+Tabla2[[#This Row],[Liquidez]]/(Tabla2[[#This Row],[Activos]]+Tabla2[[#This Row],[Liquidez]])+Tabla2[[#This Row],[Comunicación]])</f>
        <v>4.5220020372859455</v>
      </c>
      <c r="T485">
        <f ca="1">Tabla2[[#This Row],[Deuda actual]]*EXP(Tabla2[[#This Row],[Ki]]*Tabla2[[#This Row],[diferencia de días]])*(1+Tabla2[[#This Row],[Hg]])</f>
        <v>4097.8714965081654</v>
      </c>
    </row>
    <row r="486" spans="1:20" ht="14.5" x14ac:dyDescent="0.35">
      <c r="A486">
        <f t="shared" si="77"/>
        <v>485</v>
      </c>
      <c r="B486">
        <f t="shared" ca="1" si="78"/>
        <v>46119</v>
      </c>
      <c r="C486">
        <f t="shared" ca="1" si="79"/>
        <v>46157</v>
      </c>
      <c r="D486">
        <f t="shared" ca="1" si="80"/>
        <v>5</v>
      </c>
      <c r="E486">
        <f t="shared" ca="1" si="81"/>
        <v>0.81804064000555754</v>
      </c>
      <c r="F486">
        <f t="shared" ca="1" si="82"/>
        <v>3720.6</v>
      </c>
      <c r="G486" t="str">
        <f t="shared" ca="1" si="83"/>
        <v>personal</v>
      </c>
      <c r="H48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86" t="str">
        <f t="shared" ca="1" si="84"/>
        <v>Sí</v>
      </c>
      <c r="J48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86">
        <f ca="1">IF(Tabla2[[#This Row],[¿cliente deuda abierta?]]="Sí", Tabla2[[#This Row],[Deuda actual]]*Tabla2[[#This Row],[diferencia de días]], "0")</f>
        <v>18603</v>
      </c>
      <c r="L48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8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8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86">
        <f t="shared" ca="1" si="85"/>
        <v>1491.52</v>
      </c>
      <c r="P486">
        <f t="shared" ca="1" si="86"/>
        <v>80205.679999999993</v>
      </c>
      <c r="Q486">
        <f t="shared" ca="1" si="87"/>
        <v>0</v>
      </c>
      <c r="R486">
        <f ca="1">((Tabla2[[#This Row],[Fantasma Comunicación]]+1)/(Tabla2[[#This Row],[Fantasma Comunicación]]+RANDBETWEEN(0,5)+2))-0.5</f>
        <v>-0.3</v>
      </c>
      <c r="S486">
        <f ca="1">1+MAX(0,Tabla2[[#This Row],[Deuda actual]]/Tabla2[[#This Row],[Liquidez]]+Tabla2[[#This Row],[Liquidez]]/(Tabla2[[#This Row],[Activos]]+Tabla2[[#This Row],[Liquidez]])+Tabla2[[#This Row],[Comunicación]])</f>
        <v>3.212758937175078</v>
      </c>
      <c r="T486">
        <f ca="1">Tabla2[[#This Row],[Deuda actual]]*EXP(Tabla2[[#This Row],[Ki]]*Tabla2[[#This Row],[diferencia de días]])*(1+Tabla2[[#This Row],[Hg]])</f>
        <v>3910.5385839662681</v>
      </c>
    </row>
    <row r="487" spans="1:20" ht="14.5" x14ac:dyDescent="0.35">
      <c r="A487">
        <f t="shared" si="77"/>
        <v>486</v>
      </c>
      <c r="B487">
        <f t="shared" ca="1" si="78"/>
        <v>46123</v>
      </c>
      <c r="C487">
        <f t="shared" ca="1" si="79"/>
        <v>46157</v>
      </c>
      <c r="D487">
        <f t="shared" ca="1" si="80"/>
        <v>4</v>
      </c>
      <c r="E487">
        <f t="shared" ca="1" si="81"/>
        <v>0.49922415594346869</v>
      </c>
      <c r="F487">
        <f t="shared" ca="1" si="82"/>
        <v>435.69</v>
      </c>
      <c r="G487" t="str">
        <f t="shared" ca="1" si="83"/>
        <v>hipotecario</v>
      </c>
      <c r="H48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87" t="str">
        <f t="shared" ca="1" si="84"/>
        <v>Sí</v>
      </c>
      <c r="J48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87">
        <f ca="1">IF(Tabla2[[#This Row],[¿cliente deuda abierta?]]="Sí", Tabla2[[#This Row],[Deuda actual]]*Tabla2[[#This Row],[diferencia de días]], "0")</f>
        <v>1742.76</v>
      </c>
      <c r="L48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8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8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87">
        <f t="shared" ca="1" si="85"/>
        <v>851.22</v>
      </c>
      <c r="P487">
        <f t="shared" ca="1" si="86"/>
        <v>294361.15999999997</v>
      </c>
      <c r="Q487">
        <f t="shared" ca="1" si="87"/>
        <v>0</v>
      </c>
      <c r="R487">
        <f ca="1">((Tabla2[[#This Row],[Fantasma Comunicación]]+1)/(Tabla2[[#This Row],[Fantasma Comunicación]]+RANDBETWEEN(0,5)+2))-0.5</f>
        <v>-0.16666666666666669</v>
      </c>
      <c r="S487">
        <f ca="1">1+MAX(0,Tabla2[[#This Row],[Deuda actual]]/Tabla2[[#This Row],[Liquidez]]+Tabla2[[#This Row],[Liquidez]]/(Tabla2[[#This Row],[Activos]]+Tabla2[[#This Row],[Liquidez]])+Tabla2[[#This Row],[Comunicación]])</f>
        <v>1.3480585760197075</v>
      </c>
      <c r="T487">
        <f ca="1">Tabla2[[#This Row],[Deuda actual]]*EXP(Tabla2[[#This Row],[Ki]]*Tabla2[[#This Row],[diferencia de días]])*(1+Tabla2[[#This Row],[Hg]])</f>
        <v>457.84062603088563</v>
      </c>
    </row>
    <row r="488" spans="1:20" ht="14.5" x14ac:dyDescent="0.35">
      <c r="A488">
        <f t="shared" si="77"/>
        <v>487</v>
      </c>
      <c r="B488">
        <f t="shared" ca="1" si="78"/>
        <v>46098</v>
      </c>
      <c r="C488">
        <f t="shared" ca="1" si="79"/>
        <v>46157</v>
      </c>
      <c r="D488">
        <f t="shared" ca="1" si="80"/>
        <v>22</v>
      </c>
      <c r="E488">
        <f t="shared" ca="1" si="81"/>
        <v>0.49227534065071665</v>
      </c>
      <c r="F488">
        <f t="shared" ca="1" si="82"/>
        <v>1395.63</v>
      </c>
      <c r="G488" t="str">
        <f t="shared" ca="1" si="83"/>
        <v>personal</v>
      </c>
      <c r="H48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88" t="str">
        <f t="shared" ca="1" si="84"/>
        <v>Sí</v>
      </c>
      <c r="J48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88">
        <f ca="1">IF(Tabla2[[#This Row],[¿cliente deuda abierta?]]="Sí", Tabla2[[#This Row],[Deuda actual]]*Tabla2[[#This Row],[diferencia de días]], "0")</f>
        <v>30703.86</v>
      </c>
      <c r="L48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48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88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488">
        <f t="shared" ca="1" si="85"/>
        <v>1524.72</v>
      </c>
      <c r="P488">
        <f t="shared" ca="1" si="86"/>
        <v>100190.93</v>
      </c>
      <c r="Q488">
        <f t="shared" ca="1" si="87"/>
        <v>0</v>
      </c>
      <c r="R488">
        <f ca="1">((Tabla2[[#This Row],[Fantasma Comunicación]]+1)/(Tabla2[[#This Row],[Fantasma Comunicación]]+RANDBETWEEN(0,5)+2))-0.5</f>
        <v>-0.3</v>
      </c>
      <c r="S488">
        <f ca="1">1+MAX(0,Tabla2[[#This Row],[Deuda actual]]/Tabla2[[#This Row],[Liquidez]]+Tabla2[[#This Row],[Liquidez]]/(Tabla2[[#This Row],[Activos]]+Tabla2[[#This Row],[Liquidez]])+Tabla2[[#This Row],[Comunicación]])</f>
        <v>1.6303252983324754</v>
      </c>
      <c r="T488">
        <f ca="1">Tabla2[[#This Row],[Deuda actual]]*EXP(Tabla2[[#This Row],[Ki]]*Tabla2[[#This Row],[diferencia de días]])*(1+Tabla2[[#This Row],[Hg]])</f>
        <v>1548.7623158224139</v>
      </c>
    </row>
    <row r="489" spans="1:20" ht="14.5" x14ac:dyDescent="0.35">
      <c r="A489">
        <f t="shared" si="77"/>
        <v>488</v>
      </c>
      <c r="B489">
        <f t="shared" ca="1" si="78"/>
        <v>46117</v>
      </c>
      <c r="C489">
        <f t="shared" ca="1" si="79"/>
        <v>46157</v>
      </c>
      <c r="D489">
        <f t="shared" ca="1" si="80"/>
        <v>25</v>
      </c>
      <c r="E489">
        <f t="shared" ca="1" si="81"/>
        <v>0.99397732394957372</v>
      </c>
      <c r="F489">
        <f t="shared" ca="1" si="82"/>
        <v>4162.58</v>
      </c>
      <c r="G489" t="str">
        <f t="shared" ca="1" si="83"/>
        <v>hipotecario</v>
      </c>
      <c r="H48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89" t="str">
        <f t="shared" ca="1" si="84"/>
        <v>No</v>
      </c>
      <c r="J48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165000.34220090564</v>
      </c>
      <c r="K489" t="str">
        <f ca="1">IF(Tabla2[[#This Row],[¿cliente deuda abierta?]]="Sí", Tabla2[[#This Row],[Deuda actual]]*Tabla2[[#This Row],[diferencia de días]], "0")</f>
        <v>0</v>
      </c>
      <c r="L48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8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489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489">
        <f t="shared" ca="1" si="85"/>
        <v>1417.44</v>
      </c>
      <c r="P489">
        <f t="shared" ca="1" si="86"/>
        <v>149890.34</v>
      </c>
      <c r="Q489">
        <f t="shared" ca="1" si="87"/>
        <v>4</v>
      </c>
      <c r="R489">
        <f ca="1">((Tabla2[[#This Row],[Fantasma Comunicación]]+1)/(Tabla2[[#This Row],[Fantasma Comunicación]]+RANDBETWEEN(0,5)+2))-0.5</f>
        <v>0.33333333333333337</v>
      </c>
      <c r="S489">
        <f ca="1">1+MAX(0,Tabla2[[#This Row],[Deuda actual]]/Tabla2[[#This Row],[Liquidez]]+Tabla2[[#This Row],[Liquidez]]/(Tabla2[[#This Row],[Activos]]+Tabla2[[#This Row],[Liquidez]])+Tabla2[[#This Row],[Comunicación]])</f>
        <v>4.2793899369435904</v>
      </c>
      <c r="T489">
        <f ca="1">Tabla2[[#This Row],[Deuda actual]]*EXP(Tabla2[[#This Row],[Ki]]*Tabla2[[#This Row],[diferencia de días]])*(1+Tabla2[[#This Row],[Hg]])</f>
        <v>3363.5316996009733</v>
      </c>
    </row>
    <row r="490" spans="1:20" ht="14.5" x14ac:dyDescent="0.35">
      <c r="A490">
        <f t="shared" si="77"/>
        <v>489</v>
      </c>
      <c r="B490">
        <f t="shared" ca="1" si="78"/>
        <v>46118</v>
      </c>
      <c r="C490">
        <f t="shared" ca="1" si="79"/>
        <v>46157</v>
      </c>
      <c r="D490">
        <f t="shared" ca="1" si="80"/>
        <v>30</v>
      </c>
      <c r="E490">
        <f t="shared" ca="1" si="81"/>
        <v>0.10109772226674718</v>
      </c>
      <c r="F490">
        <f t="shared" ca="1" si="82"/>
        <v>1599.95</v>
      </c>
      <c r="G490" t="str">
        <f t="shared" ca="1" si="83"/>
        <v>personal</v>
      </c>
      <c r="H49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490" t="str">
        <f t="shared" ca="1" si="84"/>
        <v>Sí</v>
      </c>
      <c r="J49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90">
        <f ca="1">IF(Tabla2[[#This Row],[¿cliente deuda abierta?]]="Sí", Tabla2[[#This Row],[Deuda actual]]*Tabla2[[#This Row],[diferencia de días]], "0")</f>
        <v>47998.5</v>
      </c>
      <c r="L49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49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90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490">
        <f t="shared" ca="1" si="85"/>
        <v>1342.48</v>
      </c>
      <c r="P490">
        <f t="shared" ca="1" si="86"/>
        <v>88740.71</v>
      </c>
      <c r="Q490">
        <f t="shared" ca="1" si="87"/>
        <v>4</v>
      </c>
      <c r="R490">
        <f ca="1">((Tabla2[[#This Row],[Fantasma Comunicación]]+1)/(Tabla2[[#This Row],[Fantasma Comunicación]]+RANDBETWEEN(0,5)+2))-0.5</f>
        <v>0.125</v>
      </c>
      <c r="S490">
        <f ca="1">1+MAX(0,Tabla2[[#This Row],[Deuda actual]]/Tabla2[[#This Row],[Liquidez]]+Tabla2[[#This Row],[Liquidez]]/(Tabla2[[#This Row],[Activos]]+Tabla2[[#This Row],[Liquidez]])+Tabla2[[#This Row],[Comunicación]])</f>
        <v>2.331689511672435</v>
      </c>
      <c r="T490">
        <f ca="1">Tabla2[[#This Row],[Deuda actual]]*EXP(Tabla2[[#This Row],[Ki]]*Tabla2[[#This Row],[diferencia de días]])*(1+Tabla2[[#This Row],[Hg]])</f>
        <v>1813.5433047588224</v>
      </c>
    </row>
    <row r="491" spans="1:20" ht="14.5" x14ac:dyDescent="0.35">
      <c r="A491">
        <f t="shared" si="77"/>
        <v>490</v>
      </c>
      <c r="B491">
        <f t="shared" ca="1" si="78"/>
        <v>46113</v>
      </c>
      <c r="C491">
        <f t="shared" ca="1" si="79"/>
        <v>46157</v>
      </c>
      <c r="D491">
        <f t="shared" ca="1" si="80"/>
        <v>15</v>
      </c>
      <c r="E491">
        <f t="shared" ca="1" si="81"/>
        <v>0.90805268132942696</v>
      </c>
      <c r="F491">
        <f t="shared" ca="1" si="82"/>
        <v>1216.43</v>
      </c>
      <c r="G491" t="str">
        <f t="shared" ca="1" si="83"/>
        <v>personal</v>
      </c>
      <c r="H49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91" t="str">
        <f t="shared" ca="1" si="84"/>
        <v>Sí</v>
      </c>
      <c r="J49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91">
        <f ca="1">IF(Tabla2[[#This Row],[¿cliente deuda abierta?]]="Sí", Tabla2[[#This Row],[Deuda actual]]*Tabla2[[#This Row],[diferencia de días]], "0")</f>
        <v>18246.45</v>
      </c>
      <c r="L49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9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9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91">
        <f t="shared" ca="1" si="85"/>
        <v>1549.26</v>
      </c>
      <c r="P491">
        <f t="shared" ca="1" si="86"/>
        <v>685863.21</v>
      </c>
      <c r="Q491">
        <f t="shared" ca="1" si="87"/>
        <v>5</v>
      </c>
      <c r="R491">
        <f ca="1">((Tabla2[[#This Row],[Fantasma Comunicación]]+1)/(Tabla2[[#This Row],[Fantasma Comunicación]]+RANDBETWEEN(0,5)+2))-0.5</f>
        <v>9.9999999999999978E-2</v>
      </c>
      <c r="S491">
        <f ca="1">1+MAX(0,Tabla2[[#This Row],[Deuda actual]]/Tabla2[[#This Row],[Liquidez]]+Tabla2[[#This Row],[Liquidez]]/(Tabla2[[#This Row],[Activos]]+Tabla2[[#This Row],[Liquidez]])+Tabla2[[#This Row],[Comunicación]])</f>
        <v>1.8874221590104185</v>
      </c>
      <c r="T491">
        <f ca="1">Tabla2[[#This Row],[Deuda actual]]*EXP(Tabla2[[#This Row],[Ki]]*Tabla2[[#This Row],[diferencia de días]])*(1+Tabla2[[#This Row],[Hg]])</f>
        <v>1284.9380455771086</v>
      </c>
    </row>
    <row r="492" spans="1:20" ht="14.5" x14ac:dyDescent="0.35">
      <c r="A492">
        <f t="shared" si="77"/>
        <v>491</v>
      </c>
      <c r="B492">
        <f t="shared" ca="1" si="78"/>
        <v>46129</v>
      </c>
      <c r="C492">
        <f t="shared" ca="1" si="79"/>
        <v>46157</v>
      </c>
      <c r="D492">
        <f t="shared" ca="1" si="80"/>
        <v>4</v>
      </c>
      <c r="E492">
        <f t="shared" ca="1" si="81"/>
        <v>0.80455644026087547</v>
      </c>
      <c r="F492">
        <f t="shared" ca="1" si="82"/>
        <v>197.15</v>
      </c>
      <c r="G492" t="str">
        <f t="shared" ca="1" si="83"/>
        <v>personal</v>
      </c>
      <c r="H49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92" t="str">
        <f t="shared" ca="1" si="84"/>
        <v>Sí</v>
      </c>
      <c r="J49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92">
        <f ca="1">IF(Tabla2[[#This Row],[¿cliente deuda abierta?]]="Sí", Tabla2[[#This Row],[Deuda actual]]*Tabla2[[#This Row],[diferencia de días]], "0")</f>
        <v>788.6</v>
      </c>
      <c r="L49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9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9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92">
        <f t="shared" ca="1" si="85"/>
        <v>1326.2</v>
      </c>
      <c r="P492">
        <f t="shared" ca="1" si="86"/>
        <v>116838</v>
      </c>
      <c r="Q492">
        <f t="shared" ca="1" si="87"/>
        <v>1</v>
      </c>
      <c r="R492">
        <f ca="1">((Tabla2[[#This Row],[Fantasma Comunicación]]+1)/(Tabla2[[#This Row],[Fantasma Comunicación]]+RANDBETWEEN(0,5)+2))-0.5</f>
        <v>0</v>
      </c>
      <c r="S492">
        <f ca="1">1+MAX(0,Tabla2[[#This Row],[Deuda actual]]/Tabla2[[#This Row],[Liquidez]]+Tabla2[[#This Row],[Liquidez]]/(Tabla2[[#This Row],[Activos]]+Tabla2[[#This Row],[Liquidez]])+Tabla2[[#This Row],[Comunicación]])</f>
        <v>1.1598811847859145</v>
      </c>
      <c r="T492">
        <f ca="1">Tabla2[[#This Row],[Deuda actual]]*EXP(Tabla2[[#This Row],[Ki]]*Tabla2[[#This Row],[diferencia de días]])*(1+Tabla2[[#This Row],[Hg]])</f>
        <v>207.17317226006818</v>
      </c>
    </row>
    <row r="493" spans="1:20" ht="14.5" x14ac:dyDescent="0.35">
      <c r="A493">
        <f t="shared" si="77"/>
        <v>492</v>
      </c>
      <c r="B493">
        <f t="shared" ca="1" si="78"/>
        <v>46116</v>
      </c>
      <c r="C493">
        <f t="shared" ca="1" si="79"/>
        <v>46157</v>
      </c>
      <c r="D493">
        <f t="shared" ca="1" si="80"/>
        <v>21</v>
      </c>
      <c r="E493">
        <f t="shared" ca="1" si="81"/>
        <v>0.24663446032218317</v>
      </c>
      <c r="F493">
        <f t="shared" ca="1" si="82"/>
        <v>2150.56</v>
      </c>
      <c r="G493" t="str">
        <f t="shared" ca="1" si="83"/>
        <v>hipotecario</v>
      </c>
      <c r="H49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93" t="str">
        <f t="shared" ca="1" si="84"/>
        <v>Sí</v>
      </c>
      <c r="J49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93">
        <f ca="1">IF(Tabla2[[#This Row],[¿cliente deuda abierta?]]="Sí", Tabla2[[#This Row],[Deuda actual]]*Tabla2[[#This Row],[diferencia de días]], "0")</f>
        <v>45161.760000000002</v>
      </c>
      <c r="L49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49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93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493">
        <f t="shared" ca="1" si="85"/>
        <v>1882.94</v>
      </c>
      <c r="P493">
        <f t="shared" ca="1" si="86"/>
        <v>100310.2</v>
      </c>
      <c r="Q493">
        <f t="shared" ca="1" si="87"/>
        <v>0</v>
      </c>
      <c r="R493">
        <f ca="1">((Tabla2[[#This Row],[Fantasma Comunicación]]+1)/(Tabla2[[#This Row],[Fantasma Comunicación]]+RANDBETWEEN(0,5)+2))-0.5</f>
        <v>-0.3</v>
      </c>
      <c r="S493">
        <f ca="1">1+MAX(0,Tabla2[[#This Row],[Deuda actual]]/Tabla2[[#This Row],[Liquidez]]+Tabla2[[#This Row],[Liquidez]]/(Tabla2[[#This Row],[Activos]]+Tabla2[[#This Row],[Liquidez]])+Tabla2[[#This Row],[Comunicación]])</f>
        <v>1.8605541057982371</v>
      </c>
      <c r="T493">
        <f ca="1">Tabla2[[#This Row],[Deuda actual]]*EXP(Tabla2[[#This Row],[Ki]]*Tabla2[[#This Row],[diferencia de días]])*(1+Tabla2[[#This Row],[Hg]])</f>
        <v>2385.5708675090555</v>
      </c>
    </row>
    <row r="494" spans="1:20" ht="14.5" x14ac:dyDescent="0.35">
      <c r="A494">
        <f t="shared" si="77"/>
        <v>493</v>
      </c>
      <c r="B494">
        <f t="shared" ca="1" si="78"/>
        <v>46111</v>
      </c>
      <c r="C494">
        <f t="shared" ca="1" si="79"/>
        <v>46157</v>
      </c>
      <c r="D494">
        <f t="shared" ca="1" si="80"/>
        <v>4</v>
      </c>
      <c r="E494">
        <f t="shared" ca="1" si="81"/>
        <v>0.91919031082575331</v>
      </c>
      <c r="F494">
        <f t="shared" ca="1" si="82"/>
        <v>981.33</v>
      </c>
      <c r="G494" t="str">
        <f t="shared" ca="1" si="83"/>
        <v>personal</v>
      </c>
      <c r="H49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94" t="str">
        <f t="shared" ca="1" si="84"/>
        <v>Sí</v>
      </c>
      <c r="J49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94">
        <f ca="1">IF(Tabla2[[#This Row],[¿cliente deuda abierta?]]="Sí", Tabla2[[#This Row],[Deuda actual]]*Tabla2[[#This Row],[diferencia de días]], "0")</f>
        <v>3925.32</v>
      </c>
      <c r="L49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9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9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94">
        <f t="shared" ca="1" si="85"/>
        <v>1468.1</v>
      </c>
      <c r="P494">
        <f t="shared" ca="1" si="86"/>
        <v>59010.49</v>
      </c>
      <c r="Q494">
        <f t="shared" ca="1" si="87"/>
        <v>5</v>
      </c>
      <c r="R494">
        <f ca="1">((Tabla2[[#This Row],[Fantasma Comunicación]]+1)/(Tabla2[[#This Row],[Fantasma Comunicación]]+RANDBETWEEN(0,5)+2))-0.5</f>
        <v>9.9999999999999978E-2</v>
      </c>
      <c r="S494">
        <f ca="1">1+MAX(0,Tabla2[[#This Row],[Deuda actual]]/Tabla2[[#This Row],[Liquidez]]+Tabla2[[#This Row],[Liquidez]]/(Tabla2[[#This Row],[Activos]]+Tabla2[[#This Row],[Liquidez]])+Tabla2[[#This Row],[Comunicación]])</f>
        <v>1.7927100988242313</v>
      </c>
      <c r="T494">
        <f ca="1">Tabla2[[#This Row],[Deuda actual]]*EXP(Tabla2[[#This Row],[Ki]]*Tabla2[[#This Row],[diferencia de días]])*(1+Tabla2[[#This Row],[Hg]])</f>
        <v>1031.2211470148247</v>
      </c>
    </row>
    <row r="495" spans="1:20" ht="14.5" x14ac:dyDescent="0.35">
      <c r="A495">
        <f t="shared" si="77"/>
        <v>494</v>
      </c>
      <c r="B495">
        <f t="shared" ca="1" si="78"/>
        <v>46083</v>
      </c>
      <c r="C495">
        <f t="shared" ca="1" si="79"/>
        <v>46157</v>
      </c>
      <c r="D495">
        <f t="shared" ca="1" si="80"/>
        <v>4</v>
      </c>
      <c r="E495">
        <f t="shared" ca="1" si="81"/>
        <v>0.12543181488091393</v>
      </c>
      <c r="F495">
        <f t="shared" ca="1" si="82"/>
        <v>1799.01</v>
      </c>
      <c r="G495" t="str">
        <f t="shared" ca="1" si="83"/>
        <v>personal</v>
      </c>
      <c r="H49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95" t="str">
        <f t="shared" ca="1" si="84"/>
        <v>No</v>
      </c>
      <c r="J49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11999.725132488224</v>
      </c>
      <c r="K495" t="str">
        <f ca="1">IF(Tabla2[[#This Row],[¿cliente deuda abierta?]]="Sí", Tabla2[[#This Row],[Deuda actual]]*Tabla2[[#This Row],[diferencia de días]], "0")</f>
        <v>0</v>
      </c>
      <c r="L49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9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49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495">
        <f t="shared" ca="1" si="85"/>
        <v>1572.64</v>
      </c>
      <c r="P495">
        <f t="shared" ca="1" si="86"/>
        <v>129073.5</v>
      </c>
      <c r="Q495">
        <f t="shared" ca="1" si="87"/>
        <v>0</v>
      </c>
      <c r="R495">
        <f ca="1">((Tabla2[[#This Row],[Fantasma Comunicación]]+1)/(Tabla2[[#This Row],[Fantasma Comunicación]]+RANDBETWEEN(0,5)+2))-0.5</f>
        <v>-0.25</v>
      </c>
      <c r="S495">
        <f ca="1">1+MAX(0,Tabla2[[#This Row],[Deuda actual]]/Tabla2[[#This Row],[Liquidez]]+Tabla2[[#This Row],[Liquidez]]/(Tabla2[[#This Row],[Activos]]+Tabla2[[#This Row],[Liquidez]])+Tabla2[[#This Row],[Comunicación]])</f>
        <v>1.9059800708325754</v>
      </c>
      <c r="T495">
        <f ca="1">Tabla2[[#This Row],[Deuda actual]]*EXP(Tabla2[[#This Row],[Ki]]*Tabla2[[#This Row],[diferencia de días]])*(1+Tabla2[[#This Row],[Hg]])</f>
        <v>1620.4048054530715</v>
      </c>
    </row>
    <row r="496" spans="1:20" ht="14.5" x14ac:dyDescent="0.35">
      <c r="A496">
        <f t="shared" si="77"/>
        <v>495</v>
      </c>
      <c r="B496">
        <f t="shared" ca="1" si="78"/>
        <v>46134</v>
      </c>
      <c r="C496">
        <f t="shared" ca="1" si="79"/>
        <v>46157</v>
      </c>
      <c r="D496">
        <f t="shared" ca="1" si="80"/>
        <v>25</v>
      </c>
      <c r="E496">
        <f t="shared" ca="1" si="81"/>
        <v>6.4472116594623485E-2</v>
      </c>
      <c r="F496">
        <f t="shared" ca="1" si="82"/>
        <v>2256.83</v>
      </c>
      <c r="G496" t="str">
        <f t="shared" ca="1" si="83"/>
        <v>hipotecario</v>
      </c>
      <c r="H49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496" t="str">
        <f t="shared" ca="1" si="84"/>
        <v>No</v>
      </c>
      <c r="J49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165000.19486495931</v>
      </c>
      <c r="K496" t="str">
        <f ca="1">IF(Tabla2[[#This Row],[¿cliente deuda abierta?]]="Sí", Tabla2[[#This Row],[Deuda actual]]*Tabla2[[#This Row],[diferencia de días]], "0")</f>
        <v>0</v>
      </c>
      <c r="L49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9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496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496">
        <f t="shared" ca="1" si="85"/>
        <v>2209.75</v>
      </c>
      <c r="P496">
        <f t="shared" ca="1" si="86"/>
        <v>71145.27</v>
      </c>
      <c r="Q496">
        <f t="shared" ca="1" si="87"/>
        <v>2</v>
      </c>
      <c r="R496">
        <f ca="1">((Tabla2[[#This Row],[Fantasma Comunicación]]+1)/(Tabla2[[#This Row],[Fantasma Comunicación]]+RANDBETWEEN(0,5)+2))-0.5</f>
        <v>9.9999999999999978E-2</v>
      </c>
      <c r="S496">
        <f ca="1">1+MAX(0,Tabla2[[#This Row],[Deuda actual]]/Tabla2[[#This Row],[Liquidez]]+Tabla2[[#This Row],[Liquidez]]/(Tabla2[[#This Row],[Activos]]+Tabla2[[#This Row],[Liquidez]])+Tabla2[[#This Row],[Comunicación]])</f>
        <v>2.1514296235974966</v>
      </c>
      <c r="T496">
        <f ca="1">Tabla2[[#This Row],[Deuda actual]]*EXP(Tabla2[[#This Row],[Ki]]*Tabla2[[#This Row],[diferencia de días]])*(1+Tabla2[[#This Row],[Hg]])</f>
        <v>1823.6092148644502</v>
      </c>
    </row>
    <row r="497" spans="1:20" ht="14.5" x14ac:dyDescent="0.35">
      <c r="A497">
        <f t="shared" si="77"/>
        <v>496</v>
      </c>
      <c r="B497">
        <f t="shared" ca="1" si="78"/>
        <v>46103</v>
      </c>
      <c r="C497">
        <f t="shared" ca="1" si="79"/>
        <v>46157</v>
      </c>
      <c r="D497">
        <f t="shared" ca="1" si="80"/>
        <v>4</v>
      </c>
      <c r="E497">
        <f t="shared" ca="1" si="81"/>
        <v>0.46941666618448319</v>
      </c>
      <c r="F497">
        <f t="shared" ca="1" si="82"/>
        <v>908.38</v>
      </c>
      <c r="G497" t="str">
        <f t="shared" ca="1" si="83"/>
        <v>hipotecario</v>
      </c>
      <c r="H49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97" t="str">
        <f t="shared" ca="1" si="84"/>
        <v>Sí</v>
      </c>
      <c r="J49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97">
        <f ca="1">IF(Tabla2[[#This Row],[¿cliente deuda abierta?]]="Sí", Tabla2[[#This Row],[Deuda actual]]*Tabla2[[#This Row],[diferencia de días]], "0")</f>
        <v>3633.52</v>
      </c>
      <c r="L49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9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9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97">
        <f t="shared" ca="1" si="85"/>
        <v>1770.84</v>
      </c>
      <c r="P497">
        <f t="shared" ca="1" si="86"/>
        <v>150855.43</v>
      </c>
      <c r="Q497">
        <f t="shared" ca="1" si="87"/>
        <v>3</v>
      </c>
      <c r="R497">
        <f ca="1">((Tabla2[[#This Row],[Fantasma Comunicación]]+1)/(Tabla2[[#This Row],[Fantasma Comunicación]]+RANDBETWEEN(0,5)+2))-0.5</f>
        <v>0.30000000000000004</v>
      </c>
      <c r="S497">
        <f ca="1">1+MAX(0,Tabla2[[#This Row],[Deuda actual]]/Tabla2[[#This Row],[Liquidez]]+Tabla2[[#This Row],[Liquidez]]/(Tabla2[[#This Row],[Activos]]+Tabla2[[#This Row],[Liquidez]])+Tabla2[[#This Row],[Comunicación]])</f>
        <v>1.8245680569850951</v>
      </c>
      <c r="T497">
        <f ca="1">Tabla2[[#This Row],[Deuda actual]]*EXP(Tabla2[[#This Row],[Ki]]*Tabla2[[#This Row],[diferencia de días]])*(1+Tabla2[[#This Row],[Hg]])</f>
        <v>954.56234449708711</v>
      </c>
    </row>
    <row r="498" spans="1:20" ht="14.5" x14ac:dyDescent="0.35">
      <c r="A498">
        <f t="shared" si="77"/>
        <v>497</v>
      </c>
      <c r="B498">
        <f t="shared" ca="1" si="78"/>
        <v>46133</v>
      </c>
      <c r="C498">
        <f t="shared" ca="1" si="79"/>
        <v>46157</v>
      </c>
      <c r="D498">
        <f t="shared" ca="1" si="80"/>
        <v>11</v>
      </c>
      <c r="E498">
        <f t="shared" ca="1" si="81"/>
        <v>0.89481244765364532</v>
      </c>
      <c r="F498">
        <f t="shared" ca="1" si="82"/>
        <v>10000</v>
      </c>
      <c r="G498" t="str">
        <f t="shared" ca="1" si="83"/>
        <v>hipotecario</v>
      </c>
      <c r="H49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498" t="str">
        <f t="shared" ca="1" si="84"/>
        <v>No</v>
      </c>
      <c r="J49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164998.62677694001</v>
      </c>
      <c r="K498" t="str">
        <f ca="1">IF(Tabla2[[#This Row],[¿cliente deuda abierta?]]="Sí", Tabla2[[#This Row],[Deuda actual]]*Tabla2[[#This Row],[diferencia de días]], "0")</f>
        <v>0</v>
      </c>
      <c r="L49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49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498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498">
        <f t="shared" ca="1" si="85"/>
        <v>1442.34</v>
      </c>
      <c r="P498">
        <f t="shared" ca="1" si="86"/>
        <v>68055.8</v>
      </c>
      <c r="Q498">
        <f t="shared" ca="1" si="87"/>
        <v>1</v>
      </c>
      <c r="R498">
        <f ca="1">((Tabla2[[#This Row],[Fantasma Comunicación]]+1)/(Tabla2[[#This Row],[Fantasma Comunicación]]+RANDBETWEEN(0,5)+2))-0.5</f>
        <v>-9.9999999999999978E-2</v>
      </c>
      <c r="S498">
        <f ca="1">1+MAX(0,Tabla2[[#This Row],[Deuda actual]]/Tabla2[[#This Row],[Liquidez]]+Tabla2[[#This Row],[Liquidez]]/(Tabla2[[#This Row],[Activos]]+Tabla2[[#This Row],[Liquidez]])+Tabla2[[#This Row],[Comunicación]])</f>
        <v>7.8539316790920353</v>
      </c>
      <c r="T498">
        <f ca="1">Tabla2[[#This Row],[Deuda actual]]*EXP(Tabla2[[#This Row],[Ki]]*Tabla2[[#This Row],[diferencia de días]])*(1+Tabla2[[#This Row],[Hg]])</f>
        <v>8017.6193742051446</v>
      </c>
    </row>
    <row r="499" spans="1:20" ht="14.5" x14ac:dyDescent="0.35">
      <c r="A499">
        <f t="shared" si="77"/>
        <v>498</v>
      </c>
      <c r="B499">
        <f t="shared" ca="1" si="78"/>
        <v>46121</v>
      </c>
      <c r="C499">
        <f t="shared" ca="1" si="79"/>
        <v>46157</v>
      </c>
      <c r="D499">
        <f t="shared" ca="1" si="80"/>
        <v>39</v>
      </c>
      <c r="E499">
        <f t="shared" ca="1" si="81"/>
        <v>0.59685688022969385</v>
      </c>
      <c r="F499">
        <f t="shared" ca="1" si="82"/>
        <v>288.02999999999997</v>
      </c>
      <c r="G499" t="str">
        <f t="shared" ca="1" si="83"/>
        <v>hipotecario</v>
      </c>
      <c r="H49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499" t="str">
        <f t="shared" ca="1" si="84"/>
        <v>Sí</v>
      </c>
      <c r="J49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499">
        <f ca="1">IF(Tabla2[[#This Row],[¿cliente deuda abierta?]]="Sí", Tabla2[[#This Row],[Deuda actual]]*Tabla2[[#This Row],[diferencia de días]], "0")</f>
        <v>11233.169999999998</v>
      </c>
      <c r="L49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49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49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499">
        <f t="shared" ca="1" si="85"/>
        <v>1944.25</v>
      </c>
      <c r="P499">
        <f t="shared" ca="1" si="86"/>
        <v>315480.77</v>
      </c>
      <c r="Q499">
        <f t="shared" ca="1" si="87"/>
        <v>0</v>
      </c>
      <c r="R499">
        <f ca="1">((Tabla2[[#This Row],[Fantasma Comunicación]]+1)/(Tabla2[[#This Row],[Fantasma Comunicación]]+RANDBETWEEN(0,5)+2))-0.5</f>
        <v>-0.33333333333333337</v>
      </c>
      <c r="S499">
        <f ca="1">1+MAX(0,Tabla2[[#This Row],[Deuda actual]]/Tabla2[[#This Row],[Liquidez]]+Tabla2[[#This Row],[Liquidez]]/(Tabla2[[#This Row],[Activos]]+Tabla2[[#This Row],[Liquidez]])+Tabla2[[#This Row],[Comunicación]])</f>
        <v>1</v>
      </c>
      <c r="T499">
        <f ca="1">Tabla2[[#This Row],[Deuda actual]]*EXP(Tabla2[[#This Row],[Ki]]*Tabla2[[#This Row],[diferencia de días]])*(1+Tabla2[[#This Row],[Hg]])</f>
        <v>314.45934702604268</v>
      </c>
    </row>
    <row r="500" spans="1:20" ht="14.5" x14ac:dyDescent="0.35">
      <c r="A500">
        <f t="shared" si="77"/>
        <v>499</v>
      </c>
      <c r="B500">
        <f t="shared" ca="1" si="78"/>
        <v>46105</v>
      </c>
      <c r="C500">
        <f t="shared" ca="1" si="79"/>
        <v>46157</v>
      </c>
      <c r="D500">
        <f t="shared" ca="1" si="80"/>
        <v>3</v>
      </c>
      <c r="E500">
        <f t="shared" ca="1" si="81"/>
        <v>0.62971157097717934</v>
      </c>
      <c r="F500">
        <f t="shared" ca="1" si="82"/>
        <v>1586.13</v>
      </c>
      <c r="G500" t="str">
        <f t="shared" ca="1" si="83"/>
        <v>personal</v>
      </c>
      <c r="H50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00" t="str">
        <f t="shared" ca="1" si="84"/>
        <v>Sí</v>
      </c>
      <c r="J50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00">
        <f ca="1">IF(Tabla2[[#This Row],[¿cliente deuda abierta?]]="Sí", Tabla2[[#This Row],[Deuda actual]]*Tabla2[[#This Row],[diferencia de días]], "0")</f>
        <v>4758.3900000000003</v>
      </c>
      <c r="L50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0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0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00">
        <f t="shared" ca="1" si="85"/>
        <v>1728.33</v>
      </c>
      <c r="P500">
        <f t="shared" ca="1" si="86"/>
        <v>178943.12</v>
      </c>
      <c r="Q500">
        <f t="shared" ca="1" si="87"/>
        <v>4</v>
      </c>
      <c r="R500">
        <f ca="1">((Tabla2[[#This Row],[Fantasma Comunicación]]+1)/(Tabla2[[#This Row],[Fantasma Comunicación]]+RANDBETWEEN(0,5)+2))-0.5</f>
        <v>5.555555555555558E-2</v>
      </c>
      <c r="S500">
        <f ca="1">1+MAX(0,Tabla2[[#This Row],[Deuda actual]]/Tabla2[[#This Row],[Liquidez]]+Tabla2[[#This Row],[Liquidez]]/(Tabla2[[#This Row],[Activos]]+Tabla2[[#This Row],[Liquidez]])+Tabla2[[#This Row],[Comunicación]])</f>
        <v>1.982845750251228</v>
      </c>
      <c r="T500">
        <f ca="1">Tabla2[[#This Row],[Deuda actual]]*EXP(Tabla2[[#This Row],[Ki]]*Tabla2[[#This Row],[diferencia de días]])*(1+Tabla2[[#This Row],[Hg]])</f>
        <v>1666.436061738535</v>
      </c>
    </row>
    <row r="501" spans="1:20" ht="14.5" x14ac:dyDescent="0.35">
      <c r="A501">
        <f t="shared" si="77"/>
        <v>500</v>
      </c>
      <c r="B501">
        <f t="shared" ca="1" si="78"/>
        <v>46109</v>
      </c>
      <c r="C501">
        <f t="shared" ca="1" si="79"/>
        <v>46157</v>
      </c>
      <c r="D501">
        <f t="shared" ca="1" si="80"/>
        <v>20</v>
      </c>
      <c r="E501">
        <f t="shared" ca="1" si="81"/>
        <v>0.85003828865604525</v>
      </c>
      <c r="F501">
        <f t="shared" ca="1" si="82"/>
        <v>2362.5500000000002</v>
      </c>
      <c r="G501" t="str">
        <f t="shared" ca="1" si="83"/>
        <v>personal</v>
      </c>
      <c r="H50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01" t="str">
        <f t="shared" ca="1" si="84"/>
        <v>Sí</v>
      </c>
      <c r="J50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01">
        <f ca="1">IF(Tabla2[[#This Row],[¿cliente deuda abierta?]]="Sí", Tabla2[[#This Row],[Deuda actual]]*Tabla2[[#This Row],[diferencia de días]], "0")</f>
        <v>47251</v>
      </c>
      <c r="L50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50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01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501">
        <f t="shared" ca="1" si="85"/>
        <v>1339.89</v>
      </c>
      <c r="P501">
        <f t="shared" ca="1" si="86"/>
        <v>324471.96999999997</v>
      </c>
      <c r="Q501">
        <f t="shared" ca="1" si="87"/>
        <v>4</v>
      </c>
      <c r="R501">
        <f ca="1">((Tabla2[[#This Row],[Fantasma Comunicación]]+1)/(Tabla2[[#This Row],[Fantasma Comunicación]]+RANDBETWEEN(0,5)+2))-0.5</f>
        <v>0.33333333333333337</v>
      </c>
      <c r="S501">
        <f ca="1">1+MAX(0,Tabla2[[#This Row],[Deuda actual]]/Tabla2[[#This Row],[Liquidez]]+Tabla2[[#This Row],[Liquidez]]/(Tabla2[[#This Row],[Activos]]+Tabla2[[#This Row],[Liquidez]])+Tabla2[[#This Row],[Comunicación]])</f>
        <v>3.1006875573816037</v>
      </c>
      <c r="T501">
        <f ca="1">Tabla2[[#This Row],[Deuda actual]]*EXP(Tabla2[[#This Row],[Ki]]*Tabla2[[#This Row],[diferencia de días]])*(1+Tabla2[[#This Row],[Hg]])</f>
        <v>2619.678823968934</v>
      </c>
    </row>
    <row r="502" spans="1:20" ht="14.5" x14ac:dyDescent="0.35">
      <c r="A502">
        <f t="shared" si="77"/>
        <v>501</v>
      </c>
      <c r="B502">
        <f t="shared" ca="1" si="78"/>
        <v>46139</v>
      </c>
      <c r="C502">
        <f t="shared" ca="1" si="79"/>
        <v>46157</v>
      </c>
      <c r="D502">
        <f t="shared" ca="1" si="80"/>
        <v>3</v>
      </c>
      <c r="E502">
        <f t="shared" ca="1" si="81"/>
        <v>0.15683611905661876</v>
      </c>
      <c r="F502">
        <f t="shared" ca="1" si="82"/>
        <v>1334.67</v>
      </c>
      <c r="G502" t="str">
        <f t="shared" ca="1" si="83"/>
        <v>hipotecario</v>
      </c>
      <c r="H50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02" t="str">
        <f t="shared" ca="1" si="84"/>
        <v>No</v>
      </c>
      <c r="J50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165000.73366885554</v>
      </c>
      <c r="K502" t="str">
        <f ca="1">IF(Tabla2[[#This Row],[¿cliente deuda abierta?]]="Sí", Tabla2[[#This Row],[Deuda actual]]*Tabla2[[#This Row],[diferencia de días]], "0")</f>
        <v>0</v>
      </c>
      <c r="L50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0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0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02">
        <f t="shared" ca="1" si="85"/>
        <v>2131.13</v>
      </c>
      <c r="P502">
        <f t="shared" ca="1" si="86"/>
        <v>323243.26</v>
      </c>
      <c r="Q502">
        <f t="shared" ca="1" si="87"/>
        <v>4</v>
      </c>
      <c r="R502">
        <f ca="1">((Tabla2[[#This Row],[Fantasma Comunicación]]+1)/(Tabla2[[#This Row],[Fantasma Comunicación]]+RANDBETWEEN(0,5)+2))-0.5</f>
        <v>0.33333333333333337</v>
      </c>
      <c r="S502">
        <f ca="1">1+MAX(0,Tabla2[[#This Row],[Deuda actual]]/Tabla2[[#This Row],[Liquidez]]+Tabla2[[#This Row],[Liquidez]]/(Tabla2[[#This Row],[Activos]]+Tabla2[[#This Row],[Liquidez]])+Tabla2[[#This Row],[Comunicación]])</f>
        <v>1.9661564967485499</v>
      </c>
      <c r="T502">
        <f ca="1">Tabla2[[#This Row],[Deuda actual]]*EXP(Tabla2[[#This Row],[Ki]]*Tabla2[[#This Row],[diferencia de días]])*(1+Tabla2[[#This Row],[Hg]])</f>
        <v>1068.3768338309244</v>
      </c>
    </row>
    <row r="503" spans="1:20" ht="14.5" x14ac:dyDescent="0.35">
      <c r="A503">
        <f t="shared" si="77"/>
        <v>502</v>
      </c>
      <c r="B503">
        <f t="shared" ca="1" si="78"/>
        <v>46140</v>
      </c>
      <c r="C503">
        <f t="shared" ca="1" si="79"/>
        <v>46157</v>
      </c>
      <c r="D503">
        <f t="shared" ca="1" si="80"/>
        <v>32</v>
      </c>
      <c r="E503">
        <f t="shared" ca="1" si="81"/>
        <v>0.84662121308715133</v>
      </c>
      <c r="F503">
        <f t="shared" ca="1" si="82"/>
        <v>162.68</v>
      </c>
      <c r="G503" t="str">
        <f t="shared" ca="1" si="83"/>
        <v>hipotecario</v>
      </c>
      <c r="H50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503" t="str">
        <f t="shared" ca="1" si="84"/>
        <v>No</v>
      </c>
      <c r="J50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165001.0941506357</v>
      </c>
      <c r="K503" t="str">
        <f ca="1">IF(Tabla2[[#This Row],[¿cliente deuda abierta?]]="Sí", Tabla2[[#This Row],[Deuda actual]]*Tabla2[[#This Row],[diferencia de días]], "0")</f>
        <v>0</v>
      </c>
      <c r="L50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0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0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03">
        <f t="shared" ca="1" si="85"/>
        <v>1226.56</v>
      </c>
      <c r="P503">
        <f t="shared" ca="1" si="86"/>
        <v>62243.92</v>
      </c>
      <c r="Q503">
        <f t="shared" ca="1" si="87"/>
        <v>5</v>
      </c>
      <c r="R503">
        <f ca="1">((Tabla2[[#This Row],[Fantasma Comunicación]]+1)/(Tabla2[[#This Row],[Fantasma Comunicación]]+RANDBETWEEN(0,5)+2))-0.5</f>
        <v>0.16666666666666663</v>
      </c>
      <c r="S503">
        <f ca="1">1+MAX(0,Tabla2[[#This Row],[Deuda actual]]/Tabla2[[#This Row],[Liquidez]]+Tabla2[[#This Row],[Liquidez]]/(Tabla2[[#This Row],[Activos]]+Tabla2[[#This Row],[Liquidez]])+Tabla2[[#This Row],[Comunicación]])</f>
        <v>1.3186226543259152</v>
      </c>
      <c r="T503">
        <f ca="1">Tabla2[[#This Row],[Deuda actual]]*EXP(Tabla2[[#This Row],[Ki]]*Tabla2[[#This Row],[diferencia de días]])*(1+Tabla2[[#This Row],[Hg]])</f>
        <v>134.37595821042933</v>
      </c>
    </row>
    <row r="504" spans="1:20" ht="14.5" x14ac:dyDescent="0.35">
      <c r="A504">
        <f t="shared" si="77"/>
        <v>503</v>
      </c>
      <c r="B504">
        <f t="shared" ca="1" si="78"/>
        <v>46085</v>
      </c>
      <c r="C504">
        <f t="shared" ca="1" si="79"/>
        <v>46157</v>
      </c>
      <c r="D504">
        <f t="shared" ca="1" si="80"/>
        <v>2</v>
      </c>
      <c r="E504">
        <f t="shared" ca="1" si="81"/>
        <v>0.46465368067143398</v>
      </c>
      <c r="F504">
        <f t="shared" ca="1" si="82"/>
        <v>5251.02</v>
      </c>
      <c r="G504" t="str">
        <f t="shared" ca="1" si="83"/>
        <v>personal</v>
      </c>
      <c r="H50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04" t="str">
        <f t="shared" ca="1" si="84"/>
        <v>No</v>
      </c>
      <c r="J50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12002.024264969315</v>
      </c>
      <c r="K504" t="str">
        <f ca="1">IF(Tabla2[[#This Row],[¿cliente deuda abierta?]]="Sí", Tabla2[[#This Row],[Deuda actual]]*Tabla2[[#This Row],[diferencia de días]], "0")</f>
        <v>0</v>
      </c>
      <c r="L50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0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50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504">
        <f t="shared" ca="1" si="85"/>
        <v>1471.67</v>
      </c>
      <c r="P504">
        <f t="shared" ca="1" si="86"/>
        <v>117624.65</v>
      </c>
      <c r="Q504">
        <f t="shared" ca="1" si="87"/>
        <v>5</v>
      </c>
      <c r="R504">
        <f ca="1">((Tabla2[[#This Row],[Fantasma Comunicación]]+1)/(Tabla2[[#This Row],[Fantasma Comunicación]]+RANDBETWEEN(0,5)+2))-0.5</f>
        <v>9.9999999999999978E-2</v>
      </c>
      <c r="S504">
        <f ca="1">1+MAX(0,Tabla2[[#This Row],[Deuda actual]]/Tabla2[[#This Row],[Liquidez]]+Tabla2[[#This Row],[Liquidez]]/(Tabla2[[#This Row],[Activos]]+Tabla2[[#This Row],[Liquidez]])+Tabla2[[#This Row],[Comunicación]])</f>
        <v>4.6804259014068643</v>
      </c>
      <c r="T504">
        <f ca="1">Tabla2[[#This Row],[Deuda actual]]*EXP(Tabla2[[#This Row],[Ki]]*Tabla2[[#This Row],[diferencia de días]])*(1+Tabla2[[#This Row],[Hg]])</f>
        <v>4727.8087453238559</v>
      </c>
    </row>
    <row r="505" spans="1:20" ht="14.5" x14ac:dyDescent="0.35">
      <c r="A505">
        <f t="shared" si="77"/>
        <v>504</v>
      </c>
      <c r="B505">
        <f t="shared" ca="1" si="78"/>
        <v>46125</v>
      </c>
      <c r="C505">
        <f t="shared" ca="1" si="79"/>
        <v>46157</v>
      </c>
      <c r="D505">
        <f t="shared" ca="1" si="80"/>
        <v>1</v>
      </c>
      <c r="E505">
        <f t="shared" ca="1" si="81"/>
        <v>4.6215543175818441E-2</v>
      </c>
      <c r="F505">
        <f t="shared" ca="1" si="82"/>
        <v>151.13</v>
      </c>
      <c r="G505" t="str">
        <f t="shared" ca="1" si="83"/>
        <v>personal</v>
      </c>
      <c r="H50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05" t="str">
        <f t="shared" ca="1" si="84"/>
        <v>No</v>
      </c>
      <c r="J50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12001.003468159604</v>
      </c>
      <c r="K505" t="str">
        <f ca="1">IF(Tabla2[[#This Row],[¿cliente deuda abierta?]]="Sí", Tabla2[[#This Row],[Deuda actual]]*Tabla2[[#This Row],[diferencia de días]], "0")</f>
        <v>0</v>
      </c>
      <c r="L50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0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50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505">
        <f t="shared" ca="1" si="85"/>
        <v>1787.82</v>
      </c>
      <c r="P505">
        <f t="shared" ca="1" si="86"/>
        <v>43242.28</v>
      </c>
      <c r="Q505">
        <f t="shared" ca="1" si="87"/>
        <v>4</v>
      </c>
      <c r="R505">
        <f ca="1">((Tabla2[[#This Row],[Fantasma Comunicación]]+1)/(Tabla2[[#This Row],[Fantasma Comunicación]]+RANDBETWEEN(0,5)+2))-0.5</f>
        <v>5.555555555555558E-2</v>
      </c>
      <c r="S505">
        <f ca="1">1+MAX(0,Tabla2[[#This Row],[Deuda actual]]/Tabla2[[#This Row],[Liquidez]]+Tabla2[[#This Row],[Liquidez]]/(Tabla2[[#This Row],[Activos]]+Tabla2[[#This Row],[Liquidez]])+Tabla2[[#This Row],[Comunicación]])</f>
        <v>1.1797914506893816</v>
      </c>
      <c r="T505">
        <f ca="1">Tabla2[[#This Row],[Deuda actual]]*EXP(Tabla2[[#This Row],[Ki]]*Tabla2[[#This Row],[diferencia de días]])*(1+Tabla2[[#This Row],[Hg]])</f>
        <v>136.04420612052138</v>
      </c>
    </row>
    <row r="506" spans="1:20" ht="14.5" x14ac:dyDescent="0.35">
      <c r="A506">
        <f t="shared" si="77"/>
        <v>505</v>
      </c>
      <c r="B506">
        <f t="shared" ca="1" si="78"/>
        <v>46103</v>
      </c>
      <c r="C506">
        <f t="shared" ca="1" si="79"/>
        <v>46157</v>
      </c>
      <c r="D506">
        <f t="shared" ca="1" si="80"/>
        <v>1</v>
      </c>
      <c r="E506">
        <f t="shared" ca="1" si="81"/>
        <v>0.64582033810367168</v>
      </c>
      <c r="F506">
        <f t="shared" ca="1" si="82"/>
        <v>1015.28</v>
      </c>
      <c r="G506" t="str">
        <f t="shared" ca="1" si="83"/>
        <v>hipotecario</v>
      </c>
      <c r="H50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06" t="str">
        <f t="shared" ca="1" si="84"/>
        <v>Sí</v>
      </c>
      <c r="J50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06">
        <f ca="1">IF(Tabla2[[#This Row],[¿cliente deuda abierta?]]="Sí", Tabla2[[#This Row],[Deuda actual]]*Tabla2[[#This Row],[diferencia de días]], "0")</f>
        <v>1015.28</v>
      </c>
      <c r="L50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0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0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06">
        <f t="shared" ca="1" si="85"/>
        <v>1171.8</v>
      </c>
      <c r="P506">
        <f t="shared" ca="1" si="86"/>
        <v>148062.76</v>
      </c>
      <c r="Q506">
        <f t="shared" ca="1" si="87"/>
        <v>5</v>
      </c>
      <c r="R506">
        <f ca="1">((Tabla2[[#This Row],[Fantasma Comunicación]]+1)/(Tabla2[[#This Row],[Fantasma Comunicación]]+RANDBETWEEN(0,5)+2))-0.5</f>
        <v>0.16666666666666663</v>
      </c>
      <c r="S506">
        <f ca="1">1+MAX(0,Tabla2[[#This Row],[Deuda actual]]/Tabla2[[#This Row],[Liquidez]]+Tabla2[[#This Row],[Liquidez]]/(Tabla2[[#This Row],[Activos]]+Tabla2[[#This Row],[Liquidez]])+Tabla2[[#This Row],[Comunicación]])</f>
        <v>2.0409464532897932</v>
      </c>
      <c r="T506">
        <f ca="1">Tabla2[[#This Row],[Deuda actual]]*EXP(Tabla2[[#This Row],[Ki]]*Tabla2[[#This Row],[diferencia de días]])*(1+Tabla2[[#This Row],[Hg]])</f>
        <v>1066.2572301223015</v>
      </c>
    </row>
    <row r="507" spans="1:20" ht="14.5" x14ac:dyDescent="0.35">
      <c r="A507">
        <f t="shared" si="77"/>
        <v>506</v>
      </c>
      <c r="B507">
        <f t="shared" ca="1" si="78"/>
        <v>46118</v>
      </c>
      <c r="C507">
        <f t="shared" ca="1" si="79"/>
        <v>46157</v>
      </c>
      <c r="D507">
        <f t="shared" ca="1" si="80"/>
        <v>11</v>
      </c>
      <c r="E507">
        <f t="shared" ca="1" si="81"/>
        <v>0.2888436893945584</v>
      </c>
      <c r="F507">
        <f t="shared" ca="1" si="82"/>
        <v>424.66</v>
      </c>
      <c r="G507" t="str">
        <f t="shared" ca="1" si="83"/>
        <v>personal</v>
      </c>
      <c r="H50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07" t="str">
        <f t="shared" ca="1" si="84"/>
        <v>Sí</v>
      </c>
      <c r="J50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07">
        <f ca="1">IF(Tabla2[[#This Row],[¿cliente deuda abierta?]]="Sí", Tabla2[[#This Row],[Deuda actual]]*Tabla2[[#This Row],[diferencia de días]], "0")</f>
        <v>4671.26</v>
      </c>
      <c r="L50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0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0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07">
        <f t="shared" ca="1" si="85"/>
        <v>1203.9100000000001</v>
      </c>
      <c r="P507">
        <f t="shared" ca="1" si="86"/>
        <v>107991.77</v>
      </c>
      <c r="Q507">
        <f t="shared" ca="1" si="87"/>
        <v>3</v>
      </c>
      <c r="R507">
        <f ca="1">((Tabla2[[#This Row],[Fantasma Comunicación]]+1)/(Tabla2[[#This Row],[Fantasma Comunicación]]+RANDBETWEEN(0,5)+2))-0.5</f>
        <v>7.1428571428571397E-2</v>
      </c>
      <c r="S507">
        <f ca="1">1+MAX(0,Tabla2[[#This Row],[Deuda actual]]/Tabla2[[#This Row],[Liquidez]]+Tabla2[[#This Row],[Liquidez]]/(Tabla2[[#This Row],[Activos]]+Tabla2[[#This Row],[Liquidez]])+Tabla2[[#This Row],[Comunicación]])</f>
        <v>1.43518783279835</v>
      </c>
      <c r="T507">
        <f ca="1">Tabla2[[#This Row],[Deuda actual]]*EXP(Tabla2[[#This Row],[Ki]]*Tabla2[[#This Row],[diferencia de días]])*(1+Tabla2[[#This Row],[Hg]])</f>
        <v>446.87504445280689</v>
      </c>
    </row>
    <row r="508" spans="1:20" ht="14.5" x14ac:dyDescent="0.35">
      <c r="A508">
        <f t="shared" si="77"/>
        <v>507</v>
      </c>
      <c r="B508">
        <f t="shared" ca="1" si="78"/>
        <v>46141</v>
      </c>
      <c r="C508">
        <f t="shared" ca="1" si="79"/>
        <v>46157</v>
      </c>
      <c r="D508">
        <f t="shared" ca="1" si="80"/>
        <v>4</v>
      </c>
      <c r="E508">
        <f t="shared" ca="1" si="81"/>
        <v>0.83234219646998708</v>
      </c>
      <c r="F508">
        <f t="shared" ca="1" si="82"/>
        <v>218.3</v>
      </c>
      <c r="G508" t="str">
        <f t="shared" ca="1" si="83"/>
        <v>hipotecario</v>
      </c>
      <c r="H50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08" t="str">
        <f t="shared" ca="1" si="84"/>
        <v>Sí</v>
      </c>
      <c r="J50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08">
        <f ca="1">IF(Tabla2[[#This Row],[¿cliente deuda abierta?]]="Sí", Tabla2[[#This Row],[Deuda actual]]*Tabla2[[#This Row],[diferencia de días]], "0")</f>
        <v>873.2</v>
      </c>
      <c r="L50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0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0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08">
        <f t="shared" ca="1" si="85"/>
        <v>1387.91</v>
      </c>
      <c r="P508">
        <f t="shared" ca="1" si="86"/>
        <v>67090.320000000007</v>
      </c>
      <c r="Q508">
        <f t="shared" ca="1" si="87"/>
        <v>1</v>
      </c>
      <c r="R508">
        <f ca="1">((Tabla2[[#This Row],[Fantasma Comunicación]]+1)/(Tabla2[[#This Row],[Fantasma Comunicación]]+RANDBETWEEN(0,5)+2))-0.5</f>
        <v>-0.25</v>
      </c>
      <c r="S508">
        <f ca="1">1+MAX(0,Tabla2[[#This Row],[Deuda actual]]/Tabla2[[#This Row],[Liquidez]]+Tabla2[[#This Row],[Liquidez]]/(Tabla2[[#This Row],[Activos]]+Tabla2[[#This Row],[Liquidez]])+Tabla2[[#This Row],[Comunicación]])</f>
        <v>1</v>
      </c>
      <c r="T508">
        <f ca="1">Tabla2[[#This Row],[Deuda actual]]*EXP(Tabla2[[#This Row],[Ki]]*Tabla2[[#This Row],[diferencia de días]])*(1+Tabla2[[#This Row],[Hg]])</f>
        <v>229.39844536836361</v>
      </c>
    </row>
    <row r="509" spans="1:20" ht="14.5" x14ac:dyDescent="0.35">
      <c r="A509">
        <f t="shared" si="77"/>
        <v>508</v>
      </c>
      <c r="B509">
        <f t="shared" ca="1" si="78"/>
        <v>46091</v>
      </c>
      <c r="C509">
        <f t="shared" ca="1" si="79"/>
        <v>46157</v>
      </c>
      <c r="D509">
        <f t="shared" ca="1" si="80"/>
        <v>28</v>
      </c>
      <c r="E509">
        <f t="shared" ca="1" si="81"/>
        <v>0.97675642120185324</v>
      </c>
      <c r="F509">
        <f t="shared" ca="1" si="82"/>
        <v>3877.13</v>
      </c>
      <c r="G509" t="str">
        <f t="shared" ca="1" si="83"/>
        <v>hipotecario</v>
      </c>
      <c r="H50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09" t="str">
        <f t="shared" ca="1" si="84"/>
        <v>No</v>
      </c>
      <c r="J50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165000.16589955863</v>
      </c>
      <c r="K509" t="str">
        <f ca="1">IF(Tabla2[[#This Row],[¿cliente deuda abierta?]]="Sí", Tabla2[[#This Row],[Deuda actual]]*Tabla2[[#This Row],[diferencia de días]], "0")</f>
        <v>0</v>
      </c>
      <c r="L50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0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09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09">
        <f t="shared" ca="1" si="85"/>
        <v>1769.15</v>
      </c>
      <c r="P509">
        <f t="shared" ca="1" si="86"/>
        <v>28849.95</v>
      </c>
      <c r="Q509">
        <f t="shared" ca="1" si="87"/>
        <v>4</v>
      </c>
      <c r="R509">
        <f ca="1">((Tabla2[[#This Row],[Fantasma Comunicación]]+1)/(Tabla2[[#This Row],[Fantasma Comunicación]]+RANDBETWEEN(0,5)+2))-0.5</f>
        <v>0.2142857142857143</v>
      </c>
      <c r="S509">
        <f ca="1">1+MAX(0,Tabla2[[#This Row],[Deuda actual]]/Tabla2[[#This Row],[Liquidez]]+Tabla2[[#This Row],[Liquidez]]/(Tabla2[[#This Row],[Activos]]+Tabla2[[#This Row],[Liquidez]])+Tabla2[[#This Row],[Comunicación]])</f>
        <v>3.4635863609707296</v>
      </c>
      <c r="T509">
        <f ca="1">Tabla2[[#This Row],[Deuda actual]]*EXP(Tabla2[[#This Row],[Ki]]*Tabla2[[#This Row],[diferencia de días]])*(1+Tabla2[[#This Row],[Hg]])</f>
        <v>3136.6383519914898</v>
      </c>
    </row>
    <row r="510" spans="1:20" ht="14.5" x14ac:dyDescent="0.35">
      <c r="A510">
        <f t="shared" si="77"/>
        <v>509</v>
      </c>
      <c r="B510">
        <f t="shared" ca="1" si="78"/>
        <v>46107</v>
      </c>
      <c r="C510">
        <f t="shared" ca="1" si="79"/>
        <v>46157</v>
      </c>
      <c r="D510">
        <f t="shared" ca="1" si="80"/>
        <v>4</v>
      </c>
      <c r="E510">
        <f t="shared" ca="1" si="81"/>
        <v>0.44009001870987807</v>
      </c>
      <c r="F510">
        <f t="shared" ca="1" si="82"/>
        <v>439.43</v>
      </c>
      <c r="G510" t="str">
        <f t="shared" ca="1" si="83"/>
        <v>hipotecario</v>
      </c>
      <c r="H51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10" t="str">
        <f t="shared" ca="1" si="84"/>
        <v>No</v>
      </c>
      <c r="J51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165000.24807493528</v>
      </c>
      <c r="K510" t="str">
        <f ca="1">IF(Tabla2[[#This Row],[¿cliente deuda abierta?]]="Sí", Tabla2[[#This Row],[Deuda actual]]*Tabla2[[#This Row],[diferencia de días]], "0")</f>
        <v>0</v>
      </c>
      <c r="L51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1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1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10">
        <f t="shared" ca="1" si="85"/>
        <v>1256.8599999999999</v>
      </c>
      <c r="P510">
        <f t="shared" ca="1" si="86"/>
        <v>115896.59</v>
      </c>
      <c r="Q510">
        <f t="shared" ca="1" si="87"/>
        <v>4</v>
      </c>
      <c r="R510">
        <f ca="1">((Tabla2[[#This Row],[Fantasma Comunicación]]+1)/(Tabla2[[#This Row],[Fantasma Comunicación]]+RANDBETWEEN(0,5)+2))-0.5</f>
        <v>0.33333333333333337</v>
      </c>
      <c r="S510">
        <f ca="1">1+MAX(0,Tabla2[[#This Row],[Deuda actual]]/Tabla2[[#This Row],[Liquidez]]+Tabla2[[#This Row],[Liquidez]]/(Tabla2[[#This Row],[Activos]]+Tabla2[[#This Row],[Liquidez]])+Tabla2[[#This Row],[Comunicación]])</f>
        <v>1.6936869124798923</v>
      </c>
      <c r="T510">
        <f ca="1">Tabla2[[#This Row],[Deuda actual]]*EXP(Tabla2[[#This Row],[Ki]]*Tabla2[[#This Row],[diferencia de días]])*(1+Tabla2[[#This Row],[Hg]])</f>
        <v>351.82534772408439</v>
      </c>
    </row>
    <row r="511" spans="1:20" ht="14.5" x14ac:dyDescent="0.35">
      <c r="A511">
        <f t="shared" si="77"/>
        <v>510</v>
      </c>
      <c r="B511">
        <f t="shared" ca="1" si="78"/>
        <v>46084</v>
      </c>
      <c r="C511">
        <f t="shared" ca="1" si="79"/>
        <v>46157</v>
      </c>
      <c r="D511">
        <f t="shared" ca="1" si="80"/>
        <v>13</v>
      </c>
      <c r="E511">
        <f t="shared" ca="1" si="81"/>
        <v>0.53312482882218926</v>
      </c>
      <c r="F511">
        <f t="shared" ca="1" si="82"/>
        <v>402.81</v>
      </c>
      <c r="G511" t="str">
        <f t="shared" ca="1" si="83"/>
        <v>personal</v>
      </c>
      <c r="H51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11" t="str">
        <f t="shared" ca="1" si="84"/>
        <v>Sí</v>
      </c>
      <c r="J51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11">
        <f ca="1">IF(Tabla2[[#This Row],[¿cliente deuda abierta?]]="Sí", Tabla2[[#This Row],[Deuda actual]]*Tabla2[[#This Row],[diferencia de días]], "0")</f>
        <v>5236.53</v>
      </c>
      <c r="L51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1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1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11">
        <f t="shared" ca="1" si="85"/>
        <v>1842.96</v>
      </c>
      <c r="P511">
        <f t="shared" ca="1" si="86"/>
        <v>195761.48</v>
      </c>
      <c r="Q511">
        <f t="shared" ca="1" si="87"/>
        <v>0</v>
      </c>
      <c r="R511">
        <f ca="1">((Tabla2[[#This Row],[Fantasma Comunicación]]+1)/(Tabla2[[#This Row],[Fantasma Comunicación]]+RANDBETWEEN(0,5)+2))-0.5</f>
        <v>-0.33333333333333337</v>
      </c>
      <c r="S511">
        <f ca="1">1+MAX(0,Tabla2[[#This Row],[Deuda actual]]/Tabla2[[#This Row],[Liquidez]]+Tabla2[[#This Row],[Liquidez]]/(Tabla2[[#This Row],[Activos]]+Tabla2[[#This Row],[Liquidez]])+Tabla2[[#This Row],[Comunicación]])</f>
        <v>1</v>
      </c>
      <c r="T511">
        <f ca="1">Tabla2[[#This Row],[Deuda actual]]*EXP(Tabla2[[#This Row],[Ki]]*Tabla2[[#This Row],[diferencia de días]])*(1+Tabla2[[#This Row],[Hg]])</f>
        <v>424.05160211245874</v>
      </c>
    </row>
    <row r="512" spans="1:20" ht="14.5" x14ac:dyDescent="0.35">
      <c r="A512">
        <f t="shared" si="77"/>
        <v>511</v>
      </c>
      <c r="B512">
        <f t="shared" ca="1" si="78"/>
        <v>46123</v>
      </c>
      <c r="C512">
        <f t="shared" ca="1" si="79"/>
        <v>46157</v>
      </c>
      <c r="D512">
        <f t="shared" ca="1" si="80"/>
        <v>9</v>
      </c>
      <c r="E512">
        <f t="shared" ca="1" si="81"/>
        <v>0.33823897441014139</v>
      </c>
      <c r="F512">
        <f t="shared" ca="1" si="82"/>
        <v>9441.43</v>
      </c>
      <c r="G512" t="str">
        <f t="shared" ca="1" si="83"/>
        <v>hipotecario</v>
      </c>
      <c r="H51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12" t="str">
        <f t="shared" ca="1" si="84"/>
        <v>Sí</v>
      </c>
      <c r="J51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12">
        <f ca="1">IF(Tabla2[[#This Row],[¿cliente deuda abierta?]]="Sí", Tabla2[[#This Row],[Deuda actual]]*Tabla2[[#This Row],[diferencia de días]], "0")</f>
        <v>84972.87</v>
      </c>
      <c r="L51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51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12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512">
        <f t="shared" ca="1" si="85"/>
        <v>1390.43</v>
      </c>
      <c r="P512">
        <f t="shared" ca="1" si="86"/>
        <v>362727.48</v>
      </c>
      <c r="Q512">
        <f t="shared" ca="1" si="87"/>
        <v>1</v>
      </c>
      <c r="R512">
        <f ca="1">((Tabla2[[#This Row],[Fantasma Comunicación]]+1)/(Tabla2[[#This Row],[Fantasma Comunicación]]+RANDBETWEEN(0,5)+2))-0.5</f>
        <v>0.16666666666666663</v>
      </c>
      <c r="S512">
        <f ca="1">1+MAX(0,Tabla2[[#This Row],[Deuda actual]]/Tabla2[[#This Row],[Liquidez]]+Tabla2[[#This Row],[Liquidez]]/(Tabla2[[#This Row],[Activos]]+Tabla2[[#This Row],[Liquidez]])+Tabla2[[#This Row],[Comunicación]])</f>
        <v>7.9607803809117925</v>
      </c>
      <c r="T512">
        <f ca="1">Tabla2[[#This Row],[Deuda actual]]*EXP(Tabla2[[#This Row],[Ki]]*Tabla2[[#This Row],[diferencia de días]])*(1+Tabla2[[#This Row],[Hg]])</f>
        <v>10877.205860042472</v>
      </c>
    </row>
    <row r="513" spans="1:20" ht="14.5" x14ac:dyDescent="0.35">
      <c r="A513">
        <f t="shared" si="77"/>
        <v>512</v>
      </c>
      <c r="B513">
        <f t="shared" ca="1" si="78"/>
        <v>46142</v>
      </c>
      <c r="C513">
        <f t="shared" ca="1" si="79"/>
        <v>46157</v>
      </c>
      <c r="D513">
        <f t="shared" ca="1" si="80"/>
        <v>2</v>
      </c>
      <c r="E513">
        <f t="shared" ca="1" si="81"/>
        <v>0.25507719393079076</v>
      </c>
      <c r="F513">
        <f t="shared" ca="1" si="82"/>
        <v>946.2</v>
      </c>
      <c r="G513" t="str">
        <f t="shared" ca="1" si="83"/>
        <v>personal</v>
      </c>
      <c r="H51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13" t="str">
        <f t="shared" ca="1" si="84"/>
        <v>Sí</v>
      </c>
      <c r="J51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13">
        <f ca="1">IF(Tabla2[[#This Row],[¿cliente deuda abierta?]]="Sí", Tabla2[[#This Row],[Deuda actual]]*Tabla2[[#This Row],[diferencia de días]], "0")</f>
        <v>1892.4</v>
      </c>
      <c r="L51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1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1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13">
        <f t="shared" ca="1" si="85"/>
        <v>2269.9</v>
      </c>
      <c r="P513">
        <f t="shared" ca="1" si="86"/>
        <v>192771</v>
      </c>
      <c r="Q513">
        <f t="shared" ca="1" si="87"/>
        <v>2</v>
      </c>
      <c r="R513">
        <f ca="1">((Tabla2[[#This Row],[Fantasma Comunicación]]+1)/(Tabla2[[#This Row],[Fantasma Comunicación]]+RANDBETWEEN(0,5)+2))-0.5</f>
        <v>0</v>
      </c>
      <c r="S513">
        <f ca="1">1+MAX(0,Tabla2[[#This Row],[Deuda actual]]/Tabla2[[#This Row],[Liquidez]]+Tabla2[[#This Row],[Liquidez]]/(Tabla2[[#This Row],[Activos]]+Tabla2[[#This Row],[Liquidez]])+Tabla2[[#This Row],[Comunicación]])</f>
        <v>1.4284846289266073</v>
      </c>
      <c r="T513">
        <f ca="1">Tabla2[[#This Row],[Deuda actual]]*EXP(Tabla2[[#This Row],[Ki]]*Tabla2[[#This Row],[diferencia de días]])*(1+Tabla2[[#This Row],[Hg]])</f>
        <v>993.90748349139869</v>
      </c>
    </row>
    <row r="514" spans="1:20" ht="14.5" x14ac:dyDescent="0.35">
      <c r="A514">
        <f t="shared" ref="A514:A577" si="88">A513+1</f>
        <v>513</v>
      </c>
      <c r="B514">
        <f t="shared" ref="B514:B577" ca="1" si="89">RANDBETWEEN(DATE(2026,3,1), DATE(2026,5,1))</f>
        <v>46083</v>
      </c>
      <c r="C514">
        <f t="shared" ref="C514:C577" ca="1" si="90">TODAY()</f>
        <v>46157</v>
      </c>
      <c r="D514">
        <f t="shared" ref="D514:D577" ca="1" si="91">ROUND((-(15) * LN(RAND())),0)</f>
        <v>11</v>
      </c>
      <c r="E514">
        <f t="shared" ref="E514:E577" ca="1" si="92">RAND()</f>
        <v>0.61987949127158393</v>
      </c>
      <c r="F514">
        <f t="shared" ref="F514:F577" ca="1" si="93">ROUND(MIN(10000, _xlfn.LOGNORM.INV(RAND(), 69/10, 13/10)),2)</f>
        <v>176.77</v>
      </c>
      <c r="G514" t="str">
        <f t="shared" ref="G514:G577" ca="1" si="94">IF(RAND()&lt;=0.5,"personal","hipotecario")</f>
        <v>personal</v>
      </c>
      <c r="H51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14" t="str">
        <f t="shared" ref="I514:I577" ca="1" si="95">IF(RAND()&lt;=0.65, "Sí", "No")</f>
        <v>Sí</v>
      </c>
      <c r="J51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14">
        <f ca="1">IF(Tabla2[[#This Row],[¿cliente deuda abierta?]]="Sí", Tabla2[[#This Row],[Deuda actual]]*Tabla2[[#This Row],[diferencia de días]], "0")</f>
        <v>1944.47</v>
      </c>
      <c r="L51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1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1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14">
        <f t="shared" ref="O514:O577" ca="1" si="96">ROUND(1000*(_xlfn.LOGNORM.INV(RAND(), 0.5, 0.2)),2)</f>
        <v>1728.21</v>
      </c>
      <c r="P514">
        <f t="shared" ref="P514:P577" ca="1" si="97">ROUND(50000*(_xlfn.LOGNORM.INV(RAND(), 1, 0.75)),2)</f>
        <v>141682.46</v>
      </c>
      <c r="Q514">
        <f t="shared" ref="Q514:Q577" ca="1" si="98">RANDBETWEEN(0,5)</f>
        <v>3</v>
      </c>
      <c r="R514">
        <f ca="1">((Tabla2[[#This Row],[Fantasma Comunicación]]+1)/(Tabla2[[#This Row],[Fantasma Comunicación]]+RANDBETWEEN(0,5)+2))-0.5</f>
        <v>-9.9999999999999978E-2</v>
      </c>
      <c r="S514">
        <f ca="1">1+MAX(0,Tabla2[[#This Row],[Deuda actual]]/Tabla2[[#This Row],[Liquidez]]+Tabla2[[#This Row],[Liquidez]]/(Tabla2[[#This Row],[Activos]]+Tabla2[[#This Row],[Liquidez]])+Tabla2[[#This Row],[Comunicación]])</f>
        <v>1.0143358002070932</v>
      </c>
      <c r="T514">
        <f ca="1">Tabla2[[#This Row],[Deuda actual]]*EXP(Tabla2[[#This Row],[Ki]]*Tabla2[[#This Row],[diferencia de días]])*(1+Tabla2[[#This Row],[Hg]])</f>
        <v>186.01728820214447</v>
      </c>
    </row>
    <row r="515" spans="1:20" ht="14.5" x14ac:dyDescent="0.35">
      <c r="A515">
        <f t="shared" si="88"/>
        <v>514</v>
      </c>
      <c r="B515">
        <f t="shared" ca="1" si="89"/>
        <v>46120</v>
      </c>
      <c r="C515">
        <f t="shared" ca="1" si="90"/>
        <v>46157</v>
      </c>
      <c r="D515">
        <f t="shared" ca="1" si="91"/>
        <v>14</v>
      </c>
      <c r="E515">
        <f t="shared" ca="1" si="92"/>
        <v>0.95677312330243869</v>
      </c>
      <c r="F515">
        <f t="shared" ca="1" si="93"/>
        <v>407.01</v>
      </c>
      <c r="G515" t="str">
        <f t="shared" ca="1" si="94"/>
        <v>hipotecario</v>
      </c>
      <c r="H51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15" t="str">
        <f t="shared" ca="1" si="95"/>
        <v>Sí</v>
      </c>
      <c r="J51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15">
        <f ca="1">IF(Tabla2[[#This Row],[¿cliente deuda abierta?]]="Sí", Tabla2[[#This Row],[Deuda actual]]*Tabla2[[#This Row],[diferencia de días]], "0")</f>
        <v>5698.1399999999994</v>
      </c>
      <c r="L51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1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1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15">
        <f t="shared" ca="1" si="96"/>
        <v>1692.32</v>
      </c>
      <c r="P515">
        <f t="shared" ca="1" si="97"/>
        <v>325561.12</v>
      </c>
      <c r="Q515">
        <f t="shared" ca="1" si="98"/>
        <v>4</v>
      </c>
      <c r="R515">
        <f ca="1">((Tabla2[[#This Row],[Fantasma Comunicación]]+1)/(Tabla2[[#This Row],[Fantasma Comunicación]]+RANDBETWEEN(0,5)+2))-0.5</f>
        <v>0.33333333333333337</v>
      </c>
      <c r="S515">
        <f ca="1">1+MAX(0,Tabla2[[#This Row],[Deuda actual]]/Tabla2[[#This Row],[Liquidez]]+Tabla2[[#This Row],[Liquidez]]/(Tabla2[[#This Row],[Activos]]+Tabla2[[#This Row],[Liquidez]])+Tabla2[[#This Row],[Comunicación]])</f>
        <v>1.5790087758417743</v>
      </c>
      <c r="T515">
        <f ca="1">Tabla2[[#This Row],[Deuda actual]]*EXP(Tabla2[[#This Row],[Ki]]*Tabla2[[#This Row],[diferencia de días]])*(1+Tabla2[[#This Row],[Hg]])</f>
        <v>428.55878621782472</v>
      </c>
    </row>
    <row r="516" spans="1:20" ht="14.5" x14ac:dyDescent="0.35">
      <c r="A516">
        <f t="shared" si="88"/>
        <v>515</v>
      </c>
      <c r="B516">
        <f t="shared" ca="1" si="89"/>
        <v>46089</v>
      </c>
      <c r="C516">
        <f t="shared" ca="1" si="90"/>
        <v>46157</v>
      </c>
      <c r="D516">
        <f t="shared" ca="1" si="91"/>
        <v>3</v>
      </c>
      <c r="E516">
        <f t="shared" ca="1" si="92"/>
        <v>0.16310090379590036</v>
      </c>
      <c r="F516">
        <f t="shared" ca="1" si="93"/>
        <v>2269.63</v>
      </c>
      <c r="G516" t="str">
        <f t="shared" ca="1" si="94"/>
        <v>personal</v>
      </c>
      <c r="H51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16" t="str">
        <f t="shared" ca="1" si="95"/>
        <v>Sí</v>
      </c>
      <c r="J51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16">
        <f ca="1">IF(Tabla2[[#This Row],[¿cliente deuda abierta?]]="Sí", Tabla2[[#This Row],[Deuda actual]]*Tabla2[[#This Row],[diferencia de días]], "0")</f>
        <v>6808.89</v>
      </c>
      <c r="L51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1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1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16">
        <f t="shared" ca="1" si="96"/>
        <v>1562.65</v>
      </c>
      <c r="P516">
        <f t="shared" ca="1" si="97"/>
        <v>82783.210000000006</v>
      </c>
      <c r="Q516">
        <f t="shared" ca="1" si="98"/>
        <v>0</v>
      </c>
      <c r="R516">
        <f ca="1">((Tabla2[[#This Row],[Fantasma Comunicación]]+1)/(Tabla2[[#This Row],[Fantasma Comunicación]]+RANDBETWEEN(0,5)+2))-0.5</f>
        <v>-0.35714285714285715</v>
      </c>
      <c r="S516">
        <f ca="1">1+MAX(0,Tabla2[[#This Row],[Deuda actual]]/Tabla2[[#This Row],[Liquidez]]+Tabla2[[#This Row],[Liquidez]]/(Tabla2[[#This Row],[Activos]]+Tabla2[[#This Row],[Liquidez]])+Tabla2[[#This Row],[Comunicación]])</f>
        <v>2.1138076049059622</v>
      </c>
      <c r="T516">
        <f ca="1">Tabla2[[#This Row],[Deuda actual]]*EXP(Tabla2[[#This Row],[Ki]]*Tabla2[[#This Row],[diferencia de días]])*(1+Tabla2[[#This Row],[Hg]])</f>
        <v>2384.541795945875</v>
      </c>
    </row>
    <row r="517" spans="1:20" ht="14.5" x14ac:dyDescent="0.35">
      <c r="A517">
        <f t="shared" si="88"/>
        <v>516</v>
      </c>
      <c r="B517">
        <f t="shared" ca="1" si="89"/>
        <v>46083</v>
      </c>
      <c r="C517">
        <f t="shared" ca="1" si="90"/>
        <v>46157</v>
      </c>
      <c r="D517">
        <f t="shared" ca="1" si="91"/>
        <v>1</v>
      </c>
      <c r="E517">
        <f t="shared" ca="1" si="92"/>
        <v>0.9070565070324792</v>
      </c>
      <c r="F517">
        <f t="shared" ca="1" si="93"/>
        <v>5588.25</v>
      </c>
      <c r="G517" t="str">
        <f t="shared" ca="1" si="94"/>
        <v>hipotecario</v>
      </c>
      <c r="H51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17" t="str">
        <f t="shared" ca="1" si="95"/>
        <v>No</v>
      </c>
      <c r="J51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165000.12061523049</v>
      </c>
      <c r="K517" t="str">
        <f ca="1">IF(Tabla2[[#This Row],[¿cliente deuda abierta?]]="Sí", Tabla2[[#This Row],[Deuda actual]]*Tabla2[[#This Row],[diferencia de días]], "0")</f>
        <v>0</v>
      </c>
      <c r="L51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1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1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17">
        <f t="shared" ca="1" si="96"/>
        <v>1327.35</v>
      </c>
      <c r="P517">
        <f t="shared" ca="1" si="97"/>
        <v>333574.57</v>
      </c>
      <c r="Q517">
        <f t="shared" ca="1" si="98"/>
        <v>5</v>
      </c>
      <c r="R517">
        <f ca="1">((Tabla2[[#This Row],[Fantasma Comunicación]]+1)/(Tabla2[[#This Row],[Fantasma Comunicación]]+RANDBETWEEN(0,5)+2))-0.5</f>
        <v>0.3571428571428571</v>
      </c>
      <c r="S517">
        <f ca="1">1+MAX(0,Tabla2[[#This Row],[Deuda actual]]/Tabla2[[#This Row],[Liquidez]]+Tabla2[[#This Row],[Liquidez]]/(Tabla2[[#This Row],[Activos]]+Tabla2[[#This Row],[Liquidez]])+Tabla2[[#This Row],[Comunicación]])</f>
        <v>5.5711864913922717</v>
      </c>
      <c r="T517">
        <f ca="1">Tabla2[[#This Row],[Deuda actual]]*EXP(Tabla2[[#This Row],[Ki]]*Tabla2[[#This Row],[diferencia de días]])*(1+Tabla2[[#This Row],[Hg]])</f>
        <v>4471.4942094179614</v>
      </c>
    </row>
    <row r="518" spans="1:20" ht="14.5" x14ac:dyDescent="0.35">
      <c r="A518">
        <f t="shared" si="88"/>
        <v>517</v>
      </c>
      <c r="B518">
        <f t="shared" ca="1" si="89"/>
        <v>46134</v>
      </c>
      <c r="C518">
        <f t="shared" ca="1" si="90"/>
        <v>46157</v>
      </c>
      <c r="D518">
        <f t="shared" ca="1" si="91"/>
        <v>36</v>
      </c>
      <c r="E518">
        <f t="shared" ca="1" si="92"/>
        <v>0.64254616472646064</v>
      </c>
      <c r="F518">
        <f t="shared" ca="1" si="93"/>
        <v>2718.17</v>
      </c>
      <c r="G518" t="str">
        <f t="shared" ca="1" si="94"/>
        <v>personal</v>
      </c>
      <c r="H51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518" t="str">
        <f t="shared" ca="1" si="95"/>
        <v>No</v>
      </c>
      <c r="J51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11998.772489856294</v>
      </c>
      <c r="K518" t="str">
        <f ca="1">IF(Tabla2[[#This Row],[¿cliente deuda abierta?]]="Sí", Tabla2[[#This Row],[Deuda actual]]*Tabla2[[#This Row],[diferencia de días]], "0")</f>
        <v>0</v>
      </c>
      <c r="L51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1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51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518">
        <f t="shared" ca="1" si="96"/>
        <v>1401.21</v>
      </c>
      <c r="P518">
        <f t="shared" ca="1" si="97"/>
        <v>85658.19</v>
      </c>
      <c r="Q518">
        <f t="shared" ca="1" si="98"/>
        <v>5</v>
      </c>
      <c r="R518">
        <f ca="1">((Tabla2[[#This Row],[Fantasma Comunicación]]+1)/(Tabla2[[#This Row],[Fantasma Comunicación]]+RANDBETWEEN(0,5)+2))-0.5</f>
        <v>4.5454545454545414E-2</v>
      </c>
      <c r="S518">
        <f ca="1">1+MAX(0,Tabla2[[#This Row],[Deuda actual]]/Tabla2[[#This Row],[Liquidez]]+Tabla2[[#This Row],[Liquidez]]/(Tabla2[[#This Row],[Activos]]+Tabla2[[#This Row],[Liquidez]])+Tabla2[[#This Row],[Comunicación]])</f>
        <v>3.0014228137471752</v>
      </c>
      <c r="T518">
        <f ca="1">Tabla2[[#This Row],[Deuda actual]]*EXP(Tabla2[[#This Row],[Ki]]*Tabla2[[#This Row],[diferencia de días]])*(1+Tabla2[[#This Row],[Hg]])</f>
        <v>2536.0261400306108</v>
      </c>
    </row>
    <row r="519" spans="1:20" ht="14.5" x14ac:dyDescent="0.35">
      <c r="A519">
        <f t="shared" si="88"/>
        <v>518</v>
      </c>
      <c r="B519">
        <f t="shared" ca="1" si="89"/>
        <v>46143</v>
      </c>
      <c r="C519">
        <f t="shared" ca="1" si="90"/>
        <v>46157</v>
      </c>
      <c r="D519">
        <f t="shared" ca="1" si="91"/>
        <v>3</v>
      </c>
      <c r="E519">
        <f t="shared" ca="1" si="92"/>
        <v>0.9323690115478761</v>
      </c>
      <c r="F519">
        <f t="shared" ca="1" si="93"/>
        <v>943.55</v>
      </c>
      <c r="G519" t="str">
        <f t="shared" ca="1" si="94"/>
        <v>personal</v>
      </c>
      <c r="H51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19" t="str">
        <f t="shared" ca="1" si="95"/>
        <v>No</v>
      </c>
      <c r="J51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11999.596617764537</v>
      </c>
      <c r="K519" t="str">
        <f ca="1">IF(Tabla2[[#This Row],[¿cliente deuda abierta?]]="Sí", Tabla2[[#This Row],[Deuda actual]]*Tabla2[[#This Row],[diferencia de días]], "0")</f>
        <v>0</v>
      </c>
      <c r="L51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1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519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519">
        <f t="shared" ca="1" si="96"/>
        <v>1323.14</v>
      </c>
      <c r="P519">
        <f t="shared" ca="1" si="97"/>
        <v>266357.34999999998</v>
      </c>
      <c r="Q519">
        <f t="shared" ca="1" si="98"/>
        <v>5</v>
      </c>
      <c r="R519">
        <f ca="1">((Tabla2[[#This Row],[Fantasma Comunicación]]+1)/(Tabla2[[#This Row],[Fantasma Comunicación]]+RANDBETWEEN(0,5)+2))-0.5</f>
        <v>0.3571428571428571</v>
      </c>
      <c r="S519">
        <f ca="1">1+MAX(0,Tabla2[[#This Row],[Deuda actual]]/Tabla2[[#This Row],[Liquidez]]+Tabla2[[#This Row],[Liquidez]]/(Tabla2[[#This Row],[Activos]]+Tabla2[[#This Row],[Liquidez]])+Tabla2[[#This Row],[Comunicación]])</f>
        <v>2.0752000982325898</v>
      </c>
      <c r="T519">
        <f ca="1">Tabla2[[#This Row],[Deuda actual]]*EXP(Tabla2[[#This Row],[Ki]]*Tabla2[[#This Row],[diferencia de días]])*(1+Tabla2[[#This Row],[Hg]])</f>
        <v>849.70466988567557</v>
      </c>
    </row>
    <row r="520" spans="1:20" ht="14.5" x14ac:dyDescent="0.35">
      <c r="A520">
        <f t="shared" si="88"/>
        <v>519</v>
      </c>
      <c r="B520">
        <f t="shared" ca="1" si="89"/>
        <v>46117</v>
      </c>
      <c r="C520">
        <f t="shared" ca="1" si="90"/>
        <v>46157</v>
      </c>
      <c r="D520">
        <f t="shared" ca="1" si="91"/>
        <v>10</v>
      </c>
      <c r="E520">
        <f t="shared" ca="1" si="92"/>
        <v>0.23750358366014723</v>
      </c>
      <c r="F520">
        <f t="shared" ca="1" si="93"/>
        <v>1318.61</v>
      </c>
      <c r="G520" t="str">
        <f t="shared" ca="1" si="94"/>
        <v>hipotecario</v>
      </c>
      <c r="H52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20" t="str">
        <f t="shared" ca="1" si="95"/>
        <v>Sí</v>
      </c>
      <c r="J52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20">
        <f ca="1">IF(Tabla2[[#This Row],[¿cliente deuda abierta?]]="Sí", Tabla2[[#This Row],[Deuda actual]]*Tabla2[[#This Row],[diferencia de días]], "0")</f>
        <v>13186.099999999999</v>
      </c>
      <c r="L52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2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2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20">
        <f t="shared" ca="1" si="96"/>
        <v>1560.92</v>
      </c>
      <c r="P520">
        <f t="shared" ca="1" si="97"/>
        <v>225155.03</v>
      </c>
      <c r="Q520">
        <f t="shared" ca="1" si="98"/>
        <v>1</v>
      </c>
      <c r="R520">
        <f ca="1">((Tabla2[[#This Row],[Fantasma Comunicación]]+1)/(Tabla2[[#This Row],[Fantasma Comunicación]]+RANDBETWEEN(0,5)+2))-0.5</f>
        <v>-0.25</v>
      </c>
      <c r="S520">
        <f ca="1">1+MAX(0,Tabla2[[#This Row],[Deuda actual]]/Tabla2[[#This Row],[Liquidez]]+Tabla2[[#This Row],[Liquidez]]/(Tabla2[[#This Row],[Activos]]+Tabla2[[#This Row],[Liquidez]])+Tabla2[[#This Row],[Comunicación]])</f>
        <v>1.6016495407917808</v>
      </c>
      <c r="T520">
        <f ca="1">Tabla2[[#This Row],[Deuda actual]]*EXP(Tabla2[[#This Row],[Ki]]*Tabla2[[#This Row],[diferencia de días]])*(1+Tabla2[[#This Row],[Hg]])</f>
        <v>1387.3123519279773</v>
      </c>
    </row>
    <row r="521" spans="1:20" ht="14.5" x14ac:dyDescent="0.35">
      <c r="A521">
        <f t="shared" si="88"/>
        <v>520</v>
      </c>
      <c r="B521">
        <f t="shared" ca="1" si="89"/>
        <v>46142</v>
      </c>
      <c r="C521">
        <f t="shared" ca="1" si="90"/>
        <v>46157</v>
      </c>
      <c r="D521">
        <f t="shared" ca="1" si="91"/>
        <v>12</v>
      </c>
      <c r="E521">
        <f t="shared" ca="1" si="92"/>
        <v>0.19512931323501159</v>
      </c>
      <c r="F521">
        <f t="shared" ca="1" si="93"/>
        <v>3744.6</v>
      </c>
      <c r="G521" t="str">
        <f t="shared" ca="1" si="94"/>
        <v>hipotecario</v>
      </c>
      <c r="H52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21" t="str">
        <f t="shared" ca="1" si="95"/>
        <v>Sí</v>
      </c>
      <c r="J52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21">
        <f ca="1">IF(Tabla2[[#This Row],[¿cliente deuda abierta?]]="Sí", Tabla2[[#This Row],[Deuda actual]]*Tabla2[[#This Row],[diferencia de días]], "0")</f>
        <v>44935.199999999997</v>
      </c>
      <c r="L52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52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21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521">
        <f t="shared" ca="1" si="96"/>
        <v>2093.5100000000002</v>
      </c>
      <c r="P521">
        <f t="shared" ca="1" si="97"/>
        <v>86468.67</v>
      </c>
      <c r="Q521">
        <f t="shared" ca="1" si="98"/>
        <v>2</v>
      </c>
      <c r="R521">
        <f ca="1">((Tabla2[[#This Row],[Fantasma Comunicación]]+1)/(Tabla2[[#This Row],[Fantasma Comunicación]]+RANDBETWEEN(0,5)+2))-0.5</f>
        <v>-0.16666666666666669</v>
      </c>
      <c r="S521">
        <f ca="1">1+MAX(0,Tabla2[[#This Row],[Deuda actual]]/Tabla2[[#This Row],[Liquidez]]+Tabla2[[#This Row],[Liquidez]]/(Tabla2[[#This Row],[Activos]]+Tabla2[[#This Row],[Liquidez]])+Tabla2[[#This Row],[Comunicación]])</f>
        <v>2.6456429062728652</v>
      </c>
      <c r="T521">
        <f ca="1">Tabla2[[#This Row],[Deuda actual]]*EXP(Tabla2[[#This Row],[Ki]]*Tabla2[[#This Row],[diferencia de días]])*(1+Tabla2[[#This Row],[Hg]])</f>
        <v>4128.9576163888114</v>
      </c>
    </row>
    <row r="522" spans="1:20" ht="14.5" x14ac:dyDescent="0.35">
      <c r="A522">
        <f t="shared" si="88"/>
        <v>521</v>
      </c>
      <c r="B522">
        <f t="shared" ca="1" si="89"/>
        <v>46137</v>
      </c>
      <c r="C522">
        <f t="shared" ca="1" si="90"/>
        <v>46157</v>
      </c>
      <c r="D522">
        <f t="shared" ca="1" si="91"/>
        <v>22</v>
      </c>
      <c r="E522">
        <f t="shared" ca="1" si="92"/>
        <v>0.4824696440459042</v>
      </c>
      <c r="F522">
        <f t="shared" ca="1" si="93"/>
        <v>2609.7600000000002</v>
      </c>
      <c r="G522" t="str">
        <f t="shared" ca="1" si="94"/>
        <v>hipotecario</v>
      </c>
      <c r="H52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22" t="str">
        <f t="shared" ca="1" si="95"/>
        <v>No</v>
      </c>
      <c r="J52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164997.88430853805</v>
      </c>
      <c r="K522" t="str">
        <f ca="1">IF(Tabla2[[#This Row],[¿cliente deuda abierta?]]="Sí", Tabla2[[#This Row],[Deuda actual]]*Tabla2[[#This Row],[diferencia de días]], "0")</f>
        <v>0</v>
      </c>
      <c r="L52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2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2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22">
        <f t="shared" ca="1" si="96"/>
        <v>1711.9</v>
      </c>
      <c r="P522">
        <f t="shared" ca="1" si="97"/>
        <v>97048.07</v>
      </c>
      <c r="Q522">
        <f t="shared" ca="1" si="98"/>
        <v>1</v>
      </c>
      <c r="R522">
        <f ca="1">((Tabla2[[#This Row],[Fantasma Comunicación]]+1)/(Tabla2[[#This Row],[Fantasma Comunicación]]+RANDBETWEEN(0,5)+2))-0.5</f>
        <v>-9.9999999999999978E-2</v>
      </c>
      <c r="S522">
        <f ca="1">1+MAX(0,Tabla2[[#This Row],[Deuda actual]]/Tabla2[[#This Row],[Liquidez]]+Tabla2[[#This Row],[Liquidez]]/(Tabla2[[#This Row],[Activos]]+Tabla2[[#This Row],[Liquidez]])+Tabla2[[#This Row],[Comunicación]])</f>
        <v>2.4418155163173978</v>
      </c>
      <c r="T522">
        <f ca="1">Tabla2[[#This Row],[Deuda actual]]*EXP(Tabla2[[#This Row],[Ki]]*Tabla2[[#This Row],[diferencia de días]])*(1+Tabla2[[#This Row],[Hg]])</f>
        <v>2106.2617879788158</v>
      </c>
    </row>
    <row r="523" spans="1:20" ht="14.5" x14ac:dyDescent="0.35">
      <c r="A523">
        <f t="shared" si="88"/>
        <v>522</v>
      </c>
      <c r="B523">
        <f t="shared" ca="1" si="89"/>
        <v>46134</v>
      </c>
      <c r="C523">
        <f t="shared" ca="1" si="90"/>
        <v>46157</v>
      </c>
      <c r="D523">
        <f t="shared" ca="1" si="91"/>
        <v>29</v>
      </c>
      <c r="E523">
        <f t="shared" ca="1" si="92"/>
        <v>0.93028973953390448</v>
      </c>
      <c r="F523">
        <f t="shared" ca="1" si="93"/>
        <v>1161.33</v>
      </c>
      <c r="G523" t="str">
        <f t="shared" ca="1" si="94"/>
        <v>personal</v>
      </c>
      <c r="H52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23" t="str">
        <f t="shared" ca="1" si="95"/>
        <v>No</v>
      </c>
      <c r="J52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11999.673695351914</v>
      </c>
      <c r="K523" t="str">
        <f ca="1">IF(Tabla2[[#This Row],[¿cliente deuda abierta?]]="Sí", Tabla2[[#This Row],[Deuda actual]]*Tabla2[[#This Row],[diferencia de días]], "0")</f>
        <v>0</v>
      </c>
      <c r="L52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2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52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523">
        <f t="shared" ca="1" si="96"/>
        <v>1667.4</v>
      </c>
      <c r="P523">
        <f t="shared" ca="1" si="97"/>
        <v>223902.05</v>
      </c>
      <c r="Q523">
        <f t="shared" ca="1" si="98"/>
        <v>0</v>
      </c>
      <c r="R523">
        <f ca="1">((Tabla2[[#This Row],[Fantasma Comunicación]]+1)/(Tabla2[[#This Row],[Fantasma Comunicación]]+RANDBETWEEN(0,5)+2))-0.5</f>
        <v>-0.25</v>
      </c>
      <c r="S523">
        <f ca="1">1+MAX(0,Tabla2[[#This Row],[Deuda actual]]/Tabla2[[#This Row],[Liquidez]]+Tabla2[[#This Row],[Liquidez]]/(Tabla2[[#This Row],[Activos]]+Tabla2[[#This Row],[Liquidez]])+Tabla2[[#This Row],[Comunicación]])</f>
        <v>1.4538835021619436</v>
      </c>
      <c r="T523">
        <f ca="1">Tabla2[[#This Row],[Deuda actual]]*EXP(Tabla2[[#This Row],[Ki]]*Tabla2[[#This Row],[diferencia de días]])*(1+Tabla2[[#This Row],[Hg]])</f>
        <v>1057.3918787518269</v>
      </c>
    </row>
    <row r="524" spans="1:20" ht="14.5" x14ac:dyDescent="0.35">
      <c r="A524">
        <f t="shared" si="88"/>
        <v>523</v>
      </c>
      <c r="B524">
        <f t="shared" ca="1" si="89"/>
        <v>46087</v>
      </c>
      <c r="C524">
        <f t="shared" ca="1" si="90"/>
        <v>46157</v>
      </c>
      <c r="D524">
        <f t="shared" ca="1" si="91"/>
        <v>13</v>
      </c>
      <c r="E524">
        <f t="shared" ca="1" si="92"/>
        <v>0.50697422973907513</v>
      </c>
      <c r="F524">
        <f t="shared" ca="1" si="93"/>
        <v>1014.37</v>
      </c>
      <c r="G524" t="str">
        <f t="shared" ca="1" si="94"/>
        <v>personal</v>
      </c>
      <c r="H52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24" t="str">
        <f t="shared" ca="1" si="95"/>
        <v>No</v>
      </c>
      <c r="J52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11999.561987554245</v>
      </c>
      <c r="K524" t="str">
        <f ca="1">IF(Tabla2[[#This Row],[¿cliente deuda abierta?]]="Sí", Tabla2[[#This Row],[Deuda actual]]*Tabla2[[#This Row],[diferencia de días]], "0")</f>
        <v>0</v>
      </c>
      <c r="L52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2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52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524">
        <f t="shared" ca="1" si="96"/>
        <v>2120.0500000000002</v>
      </c>
      <c r="P524">
        <f t="shared" ca="1" si="97"/>
        <v>168555.33</v>
      </c>
      <c r="Q524">
        <f t="shared" ca="1" si="98"/>
        <v>4</v>
      </c>
      <c r="R524">
        <f ca="1">((Tabla2[[#This Row],[Fantasma Comunicación]]+1)/(Tabla2[[#This Row],[Fantasma Comunicación]]+RANDBETWEEN(0,5)+2))-0.5</f>
        <v>5.555555555555558E-2</v>
      </c>
      <c r="S524">
        <f ca="1">1+MAX(0,Tabla2[[#This Row],[Deuda actual]]/Tabla2[[#This Row],[Liquidez]]+Tabla2[[#This Row],[Liquidez]]/(Tabla2[[#This Row],[Activos]]+Tabla2[[#This Row],[Liquidez]])+Tabla2[[#This Row],[Comunicación]])</f>
        <v>1.5464422198861536</v>
      </c>
      <c r="T524">
        <f ca="1">Tabla2[[#This Row],[Deuda actual]]*EXP(Tabla2[[#This Row],[Ki]]*Tabla2[[#This Row],[diferencia de días]])*(1+Tabla2[[#This Row],[Hg]])</f>
        <v>915.30971418956426</v>
      </c>
    </row>
    <row r="525" spans="1:20" ht="14.5" x14ac:dyDescent="0.35">
      <c r="A525">
        <f t="shared" si="88"/>
        <v>524</v>
      </c>
      <c r="B525">
        <f t="shared" ca="1" si="89"/>
        <v>46093</v>
      </c>
      <c r="C525">
        <f t="shared" ca="1" si="90"/>
        <v>46157</v>
      </c>
      <c r="D525">
        <f t="shared" ca="1" si="91"/>
        <v>20</v>
      </c>
      <c r="E525">
        <f t="shared" ca="1" si="92"/>
        <v>0.37628018355328463</v>
      </c>
      <c r="F525">
        <f t="shared" ca="1" si="93"/>
        <v>498.02</v>
      </c>
      <c r="G525" t="str">
        <f t="shared" ca="1" si="94"/>
        <v>hipotecario</v>
      </c>
      <c r="H52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25" t="str">
        <f t="shared" ca="1" si="95"/>
        <v>Sí</v>
      </c>
      <c r="J52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25">
        <f ca="1">IF(Tabla2[[#This Row],[¿cliente deuda abierta?]]="Sí", Tabla2[[#This Row],[Deuda actual]]*Tabla2[[#This Row],[diferencia de días]], "0")</f>
        <v>9960.4</v>
      </c>
      <c r="L52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2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2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25">
        <f t="shared" ca="1" si="96"/>
        <v>939.43</v>
      </c>
      <c r="P525">
        <f t="shared" ca="1" si="97"/>
        <v>80169.009999999995</v>
      </c>
      <c r="Q525">
        <f t="shared" ca="1" si="98"/>
        <v>3</v>
      </c>
      <c r="R525">
        <f ca="1">((Tabla2[[#This Row],[Fantasma Comunicación]]+1)/(Tabla2[[#This Row],[Fantasma Comunicación]]+RANDBETWEEN(0,5)+2))-0.5</f>
        <v>-5.555555555555558E-2</v>
      </c>
      <c r="S525">
        <f ca="1">1+MAX(0,Tabla2[[#This Row],[Deuda actual]]/Tabla2[[#This Row],[Liquidez]]+Tabla2[[#This Row],[Liquidez]]/(Tabla2[[#This Row],[Activos]]+Tabla2[[#This Row],[Liquidez]])+Tabla2[[#This Row],[Comunicación]])</f>
        <v>1.4861568119988897</v>
      </c>
      <c r="T525">
        <f ca="1">Tabla2[[#This Row],[Deuda actual]]*EXP(Tabla2[[#This Row],[Ki]]*Tabla2[[#This Row],[diferencia de días]])*(1+Tabla2[[#This Row],[Hg]])</f>
        <v>527.12114618398027</v>
      </c>
    </row>
    <row r="526" spans="1:20" ht="14.5" x14ac:dyDescent="0.35">
      <c r="A526">
        <f t="shared" si="88"/>
        <v>525</v>
      </c>
      <c r="B526">
        <f t="shared" ca="1" si="89"/>
        <v>46138</v>
      </c>
      <c r="C526">
        <f t="shared" ca="1" si="90"/>
        <v>46157</v>
      </c>
      <c r="D526">
        <f t="shared" ca="1" si="91"/>
        <v>0</v>
      </c>
      <c r="E526">
        <f t="shared" ca="1" si="92"/>
        <v>0.51916570641399873</v>
      </c>
      <c r="F526">
        <f t="shared" ca="1" si="93"/>
        <v>1650.5</v>
      </c>
      <c r="G526" t="str">
        <f t="shared" ca="1" si="94"/>
        <v>hipotecario</v>
      </c>
      <c r="H52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26" t="str">
        <f t="shared" ca="1" si="95"/>
        <v>No</v>
      </c>
      <c r="J52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165000.37634523166</v>
      </c>
      <c r="K526" t="str">
        <f ca="1">IF(Tabla2[[#This Row],[¿cliente deuda abierta?]]="Sí", Tabla2[[#This Row],[Deuda actual]]*Tabla2[[#This Row],[diferencia de días]], "0")</f>
        <v>0</v>
      </c>
      <c r="L52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2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26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26">
        <f t="shared" ca="1" si="96"/>
        <v>2247.36</v>
      </c>
      <c r="P526">
        <f t="shared" ca="1" si="97"/>
        <v>116848.69</v>
      </c>
      <c r="Q526">
        <f t="shared" ca="1" si="98"/>
        <v>2</v>
      </c>
      <c r="R526">
        <f ca="1">((Tabla2[[#This Row],[Fantasma Comunicación]]+1)/(Tabla2[[#This Row],[Fantasma Comunicación]]+RANDBETWEEN(0,5)+2))-0.5</f>
        <v>-0.16666666666666669</v>
      </c>
      <c r="S526">
        <f ca="1">1+MAX(0,Tabla2[[#This Row],[Deuda actual]]/Tabla2[[#This Row],[Liquidez]]+Tabla2[[#This Row],[Liquidez]]/(Tabla2[[#This Row],[Activos]]+Tabla2[[#This Row],[Liquidez]])+Tabla2[[#This Row],[Comunicación]])</f>
        <v>1.5866207524011895</v>
      </c>
      <c r="T526">
        <f ca="1">Tabla2[[#This Row],[Deuda actual]]*EXP(Tabla2[[#This Row],[Ki]]*Tabla2[[#This Row],[diferencia de días]])*(1+Tabla2[[#This Row],[Hg]])</f>
        <v>1320.4</v>
      </c>
    </row>
    <row r="527" spans="1:20" ht="14.5" x14ac:dyDescent="0.35">
      <c r="A527">
        <f t="shared" si="88"/>
        <v>526</v>
      </c>
      <c r="B527">
        <f t="shared" ca="1" si="89"/>
        <v>46082</v>
      </c>
      <c r="C527">
        <f t="shared" ca="1" si="90"/>
        <v>46157</v>
      </c>
      <c r="D527">
        <f t="shared" ca="1" si="91"/>
        <v>17</v>
      </c>
      <c r="E527">
        <f t="shared" ca="1" si="92"/>
        <v>0.51330138446424789</v>
      </c>
      <c r="F527">
        <f t="shared" ca="1" si="93"/>
        <v>1605.8</v>
      </c>
      <c r="G527" t="str">
        <f t="shared" ca="1" si="94"/>
        <v>hipotecario</v>
      </c>
      <c r="H52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27" t="str">
        <f t="shared" ca="1" si="95"/>
        <v>Sí</v>
      </c>
      <c r="J52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27">
        <f ca="1">IF(Tabla2[[#This Row],[¿cliente deuda abierta?]]="Sí", Tabla2[[#This Row],[Deuda actual]]*Tabla2[[#This Row],[diferencia de días]], "0")</f>
        <v>27298.6</v>
      </c>
      <c r="L52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2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2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27">
        <f t="shared" ca="1" si="96"/>
        <v>1663.29</v>
      </c>
      <c r="P527">
        <f t="shared" ca="1" si="97"/>
        <v>320034.77</v>
      </c>
      <c r="Q527">
        <f t="shared" ca="1" si="98"/>
        <v>1</v>
      </c>
      <c r="R527">
        <f ca="1">((Tabla2[[#This Row],[Fantasma Comunicación]]+1)/(Tabla2[[#This Row],[Fantasma Comunicación]]+RANDBETWEEN(0,5)+2))-0.5</f>
        <v>0</v>
      </c>
      <c r="S527">
        <f ca="1">1+MAX(0,Tabla2[[#This Row],[Deuda actual]]/Tabla2[[#This Row],[Liquidez]]+Tabla2[[#This Row],[Liquidez]]/(Tabla2[[#This Row],[Activos]]+Tabla2[[#This Row],[Liquidez]])+Tabla2[[#This Row],[Comunicación]])</f>
        <v>1.9706063184185478</v>
      </c>
      <c r="T527">
        <f ca="1">Tabla2[[#This Row],[Deuda actual]]*EXP(Tabla2[[#This Row],[Ki]]*Tabla2[[#This Row],[diferencia de días]])*(1+Tabla2[[#This Row],[Hg]])</f>
        <v>1697.5944829113253</v>
      </c>
    </row>
    <row r="528" spans="1:20" ht="14.5" x14ac:dyDescent="0.35">
      <c r="A528">
        <f t="shared" si="88"/>
        <v>527</v>
      </c>
      <c r="B528">
        <f t="shared" ca="1" si="89"/>
        <v>46129</v>
      </c>
      <c r="C528">
        <f t="shared" ca="1" si="90"/>
        <v>46157</v>
      </c>
      <c r="D528">
        <f t="shared" ca="1" si="91"/>
        <v>14</v>
      </c>
      <c r="E528">
        <f t="shared" ca="1" si="92"/>
        <v>0.10475888625940377</v>
      </c>
      <c r="F528">
        <f t="shared" ca="1" si="93"/>
        <v>6662.26</v>
      </c>
      <c r="G528" t="str">
        <f t="shared" ca="1" si="94"/>
        <v>personal</v>
      </c>
      <c r="H52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28" t="str">
        <f t="shared" ca="1" si="95"/>
        <v>Sí</v>
      </c>
      <c r="J52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28">
        <f ca="1">IF(Tabla2[[#This Row],[¿cliente deuda abierta?]]="Sí", Tabla2[[#This Row],[Deuda actual]]*Tabla2[[#This Row],[diferencia de días]], "0")</f>
        <v>93271.64</v>
      </c>
      <c r="L52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52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28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528">
        <f t="shared" ca="1" si="96"/>
        <v>1637.37</v>
      </c>
      <c r="P528">
        <f t="shared" ca="1" si="97"/>
        <v>193019.64</v>
      </c>
      <c r="Q528">
        <f t="shared" ca="1" si="98"/>
        <v>2</v>
      </c>
      <c r="R528">
        <f ca="1">((Tabla2[[#This Row],[Fantasma Comunicación]]+1)/(Tabla2[[#This Row],[Fantasma Comunicación]]+RANDBETWEEN(0,5)+2))-0.5</f>
        <v>9.9999999999999978E-2</v>
      </c>
      <c r="S528">
        <f ca="1">1+MAX(0,Tabla2[[#This Row],[Deuda actual]]/Tabla2[[#This Row],[Liquidez]]+Tabla2[[#This Row],[Liquidez]]/(Tabla2[[#This Row],[Activos]]+Tabla2[[#This Row],[Liquidez]])+Tabla2[[#This Row],[Comunicación]])</f>
        <v>5.1772903152051697</v>
      </c>
      <c r="T528">
        <f ca="1">Tabla2[[#This Row],[Deuda actual]]*EXP(Tabla2[[#This Row],[Ki]]*Tabla2[[#This Row],[diferencia de días]])*(1+Tabla2[[#This Row],[Hg]])</f>
        <v>7683.0815387189496</v>
      </c>
    </row>
    <row r="529" spans="1:20" ht="14.5" x14ac:dyDescent="0.35">
      <c r="A529">
        <f t="shared" si="88"/>
        <v>528</v>
      </c>
      <c r="B529">
        <f t="shared" ca="1" si="89"/>
        <v>46141</v>
      </c>
      <c r="C529">
        <f t="shared" ca="1" si="90"/>
        <v>46157</v>
      </c>
      <c r="D529">
        <f t="shared" ca="1" si="91"/>
        <v>6</v>
      </c>
      <c r="E529">
        <f t="shared" ca="1" si="92"/>
        <v>0.89701257436627269</v>
      </c>
      <c r="F529">
        <f t="shared" ca="1" si="93"/>
        <v>3746.93</v>
      </c>
      <c r="G529" t="str">
        <f t="shared" ca="1" si="94"/>
        <v>hipotecario</v>
      </c>
      <c r="H52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29" t="str">
        <f t="shared" ca="1" si="95"/>
        <v>Sí</v>
      </c>
      <c r="J52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29">
        <f ca="1">IF(Tabla2[[#This Row],[¿cliente deuda abierta?]]="Sí", Tabla2[[#This Row],[Deuda actual]]*Tabla2[[#This Row],[diferencia de días]], "0")</f>
        <v>22481.579999999998</v>
      </c>
      <c r="L52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2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2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29">
        <f t="shared" ca="1" si="96"/>
        <v>1425.77</v>
      </c>
      <c r="P529">
        <f t="shared" ca="1" si="97"/>
        <v>662773.94999999995</v>
      </c>
      <c r="Q529">
        <f t="shared" ca="1" si="98"/>
        <v>3</v>
      </c>
      <c r="R529">
        <f ca="1">((Tabla2[[#This Row],[Fantasma Comunicación]]+1)/(Tabla2[[#This Row],[Fantasma Comunicación]]+RANDBETWEEN(0,5)+2))-0.5</f>
        <v>7.1428571428571397E-2</v>
      </c>
      <c r="S529">
        <f ca="1">1+MAX(0,Tabla2[[#This Row],[Deuda actual]]/Tabla2[[#This Row],[Liquidez]]+Tabla2[[#This Row],[Liquidez]]/(Tabla2[[#This Row],[Activos]]+Tabla2[[#This Row],[Liquidez]])+Tabla2[[#This Row],[Comunicación]])</f>
        <v>3.701579686601467</v>
      </c>
      <c r="T529">
        <f ca="1">Tabla2[[#This Row],[Deuda actual]]*EXP(Tabla2[[#This Row],[Ki]]*Tabla2[[#This Row],[diferencia de días]])*(1+Tabla2[[#This Row],[Hg]])</f>
        <v>3939.0004656124916</v>
      </c>
    </row>
    <row r="530" spans="1:20" ht="14.5" x14ac:dyDescent="0.35">
      <c r="A530">
        <f t="shared" si="88"/>
        <v>529</v>
      </c>
      <c r="B530">
        <f t="shared" ca="1" si="89"/>
        <v>46127</v>
      </c>
      <c r="C530">
        <f t="shared" ca="1" si="90"/>
        <v>46157</v>
      </c>
      <c r="D530">
        <f t="shared" ca="1" si="91"/>
        <v>14</v>
      </c>
      <c r="E530">
        <f t="shared" ca="1" si="92"/>
        <v>0.42637113207389832</v>
      </c>
      <c r="F530">
        <f t="shared" ca="1" si="93"/>
        <v>277.33999999999997</v>
      </c>
      <c r="G530" t="str">
        <f t="shared" ca="1" si="94"/>
        <v>personal</v>
      </c>
      <c r="H53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30" t="str">
        <f t="shared" ca="1" si="95"/>
        <v>Sí</v>
      </c>
      <c r="J53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30">
        <f ca="1">IF(Tabla2[[#This Row],[¿cliente deuda abierta?]]="Sí", Tabla2[[#This Row],[Deuda actual]]*Tabla2[[#This Row],[diferencia de días]], "0")</f>
        <v>3882.7599999999998</v>
      </c>
      <c r="L53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3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3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30">
        <f t="shared" ca="1" si="96"/>
        <v>1096.57</v>
      </c>
      <c r="P530">
        <f t="shared" ca="1" si="97"/>
        <v>261925.37</v>
      </c>
      <c r="Q530">
        <f t="shared" ca="1" si="98"/>
        <v>5</v>
      </c>
      <c r="R530">
        <f ca="1">((Tabla2[[#This Row],[Fantasma Comunicación]]+1)/(Tabla2[[#This Row],[Fantasma Comunicación]]+RANDBETWEEN(0,5)+2))-0.5</f>
        <v>0.16666666666666663</v>
      </c>
      <c r="S530">
        <f ca="1">1+MAX(0,Tabla2[[#This Row],[Deuda actual]]/Tabla2[[#This Row],[Liquidez]]+Tabla2[[#This Row],[Liquidez]]/(Tabla2[[#This Row],[Activos]]+Tabla2[[#This Row],[Liquidez]])+Tabla2[[#This Row],[Comunicación]])</f>
        <v>1.4237516970717223</v>
      </c>
      <c r="T530">
        <f ca="1">Tabla2[[#This Row],[Deuda actual]]*EXP(Tabla2[[#This Row],[Ki]]*Tabla2[[#This Row],[diferencia de días]])*(1+Tabla2[[#This Row],[Hg]])</f>
        <v>292.02352219761553</v>
      </c>
    </row>
    <row r="531" spans="1:20" ht="14.5" x14ac:dyDescent="0.35">
      <c r="A531">
        <f t="shared" si="88"/>
        <v>530</v>
      </c>
      <c r="B531">
        <f t="shared" ca="1" si="89"/>
        <v>46138</v>
      </c>
      <c r="C531">
        <f t="shared" ca="1" si="90"/>
        <v>46157</v>
      </c>
      <c r="D531">
        <f t="shared" ca="1" si="91"/>
        <v>24</v>
      </c>
      <c r="E531">
        <f t="shared" ca="1" si="92"/>
        <v>0.42627211302027934</v>
      </c>
      <c r="F531">
        <f t="shared" ca="1" si="93"/>
        <v>4174.17</v>
      </c>
      <c r="G531" t="str">
        <f t="shared" ca="1" si="94"/>
        <v>hipotecario</v>
      </c>
      <c r="H53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31" t="str">
        <f t="shared" ca="1" si="95"/>
        <v>Sí</v>
      </c>
      <c r="J53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31">
        <f ca="1">IF(Tabla2[[#This Row],[¿cliente deuda abierta?]]="Sí", Tabla2[[#This Row],[Deuda actual]]*Tabla2[[#This Row],[diferencia de días]], "0")</f>
        <v>100180.08</v>
      </c>
      <c r="L53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53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31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531">
        <f t="shared" ca="1" si="96"/>
        <v>2131.08</v>
      </c>
      <c r="P531">
        <f t="shared" ca="1" si="97"/>
        <v>91582.86</v>
      </c>
      <c r="Q531">
        <f t="shared" ca="1" si="98"/>
        <v>4</v>
      </c>
      <c r="R531">
        <f ca="1">((Tabla2[[#This Row],[Fantasma Comunicación]]+1)/(Tabla2[[#This Row],[Fantasma Comunicación]]+RANDBETWEEN(0,5)+2))-0.5</f>
        <v>-4.545454545454547E-2</v>
      </c>
      <c r="S531">
        <f ca="1">1+MAX(0,Tabla2[[#This Row],[Deuda actual]]/Tabla2[[#This Row],[Liquidez]]+Tabla2[[#This Row],[Liquidez]]/(Tabla2[[#This Row],[Activos]]+Tabla2[[#This Row],[Liquidez]])+Tabla2[[#This Row],[Comunicación]])</f>
        <v>2.9359967974357861</v>
      </c>
      <c r="T531">
        <f ca="1">Tabla2[[#This Row],[Deuda actual]]*EXP(Tabla2[[#This Row],[Ki]]*Tabla2[[#This Row],[diferencia de días]])*(1+Tabla2[[#This Row],[Hg]])</f>
        <v>4846.6002439510776</v>
      </c>
    </row>
    <row r="532" spans="1:20" ht="14.5" x14ac:dyDescent="0.35">
      <c r="A532">
        <f t="shared" si="88"/>
        <v>531</v>
      </c>
      <c r="B532">
        <f t="shared" ca="1" si="89"/>
        <v>46114</v>
      </c>
      <c r="C532">
        <f t="shared" ca="1" si="90"/>
        <v>46157</v>
      </c>
      <c r="D532">
        <f t="shared" ca="1" si="91"/>
        <v>10</v>
      </c>
      <c r="E532">
        <f t="shared" ca="1" si="92"/>
        <v>0.26544787204234055</v>
      </c>
      <c r="F532">
        <f t="shared" ca="1" si="93"/>
        <v>164.34</v>
      </c>
      <c r="G532" t="str">
        <f t="shared" ca="1" si="94"/>
        <v>hipotecario</v>
      </c>
      <c r="H53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32" t="str">
        <f t="shared" ca="1" si="95"/>
        <v>Sí</v>
      </c>
      <c r="J53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32">
        <f ca="1">IF(Tabla2[[#This Row],[¿cliente deuda abierta?]]="Sí", Tabla2[[#This Row],[Deuda actual]]*Tabla2[[#This Row],[diferencia de días]], "0")</f>
        <v>1643.4</v>
      </c>
      <c r="L53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3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3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32">
        <f t="shared" ca="1" si="96"/>
        <v>1909.27</v>
      </c>
      <c r="P532">
        <f t="shared" ca="1" si="97"/>
        <v>110121.39</v>
      </c>
      <c r="Q532">
        <f t="shared" ca="1" si="98"/>
        <v>5</v>
      </c>
      <c r="R532">
        <f ca="1">((Tabla2[[#This Row],[Fantasma Comunicación]]+1)/(Tabla2[[#This Row],[Fantasma Comunicación]]+RANDBETWEEN(0,5)+2))-0.5</f>
        <v>9.9999999999999978E-2</v>
      </c>
      <c r="S532">
        <f ca="1">1+MAX(0,Tabla2[[#This Row],[Deuda actual]]/Tabla2[[#This Row],[Liquidez]]+Tabla2[[#This Row],[Liquidez]]/(Tabla2[[#This Row],[Activos]]+Tabla2[[#This Row],[Liquidez]])+Tabla2[[#This Row],[Comunicación]])</f>
        <v>1.2031171707261521</v>
      </c>
      <c r="T532">
        <f ca="1">Tabla2[[#This Row],[Deuda actual]]*EXP(Tabla2[[#This Row],[Ki]]*Tabla2[[#This Row],[diferencia de días]])*(1+Tabla2[[#This Row],[Hg]])</f>
        <v>172.9024593441911</v>
      </c>
    </row>
    <row r="533" spans="1:20" ht="14.5" x14ac:dyDescent="0.35">
      <c r="A533">
        <f t="shared" si="88"/>
        <v>532</v>
      </c>
      <c r="B533">
        <f t="shared" ca="1" si="89"/>
        <v>46123</v>
      </c>
      <c r="C533">
        <f t="shared" ca="1" si="90"/>
        <v>46157</v>
      </c>
      <c r="D533">
        <f t="shared" ca="1" si="91"/>
        <v>16</v>
      </c>
      <c r="E533">
        <f t="shared" ca="1" si="92"/>
        <v>0.66768949339740591</v>
      </c>
      <c r="F533">
        <f t="shared" ca="1" si="93"/>
        <v>2239.9</v>
      </c>
      <c r="G533" t="str">
        <f t="shared" ca="1" si="94"/>
        <v>personal</v>
      </c>
      <c r="H53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33" t="str">
        <f t="shared" ca="1" si="95"/>
        <v>Sí</v>
      </c>
      <c r="J53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33">
        <f ca="1">IF(Tabla2[[#This Row],[¿cliente deuda abierta?]]="Sí", Tabla2[[#This Row],[Deuda actual]]*Tabla2[[#This Row],[diferencia de días]], "0")</f>
        <v>35838.400000000001</v>
      </c>
      <c r="L53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53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33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533">
        <f t="shared" ca="1" si="96"/>
        <v>1826.66</v>
      </c>
      <c r="P533">
        <f t="shared" ca="1" si="97"/>
        <v>136146.71</v>
      </c>
      <c r="Q533">
        <f t="shared" ca="1" si="98"/>
        <v>3</v>
      </c>
      <c r="R533">
        <f ca="1">((Tabla2[[#This Row],[Fantasma Comunicación]]+1)/(Tabla2[[#This Row],[Fantasma Comunicación]]+RANDBETWEEN(0,5)+2))-0.5</f>
        <v>0</v>
      </c>
      <c r="S533">
        <f ca="1">1+MAX(0,Tabla2[[#This Row],[Deuda actual]]/Tabla2[[#This Row],[Liquidez]]+Tabla2[[#This Row],[Liquidez]]/(Tabla2[[#This Row],[Activos]]+Tabla2[[#This Row],[Liquidez]])+Tabla2[[#This Row],[Comunicación]])</f>
        <v>2.2394663244712856</v>
      </c>
      <c r="T533">
        <f ca="1">Tabla2[[#This Row],[Deuda actual]]*EXP(Tabla2[[#This Row],[Ki]]*Tabla2[[#This Row],[diferencia de días]])*(1+Tabla2[[#This Row],[Hg]])</f>
        <v>2479.7094642886559</v>
      </c>
    </row>
    <row r="534" spans="1:20" ht="14.5" x14ac:dyDescent="0.35">
      <c r="A534">
        <f t="shared" si="88"/>
        <v>533</v>
      </c>
      <c r="B534">
        <f t="shared" ca="1" si="89"/>
        <v>46112</v>
      </c>
      <c r="C534">
        <f t="shared" ca="1" si="90"/>
        <v>46157</v>
      </c>
      <c r="D534">
        <f t="shared" ca="1" si="91"/>
        <v>6</v>
      </c>
      <c r="E534">
        <f t="shared" ca="1" si="92"/>
        <v>0.86012553674604175</v>
      </c>
      <c r="F534">
        <f t="shared" ca="1" si="93"/>
        <v>10000</v>
      </c>
      <c r="G534" t="str">
        <f t="shared" ca="1" si="94"/>
        <v>hipotecario</v>
      </c>
      <c r="H53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34" t="str">
        <f t="shared" ca="1" si="95"/>
        <v>No</v>
      </c>
      <c r="J53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165000.88277542641</v>
      </c>
      <c r="K534" t="str">
        <f ca="1">IF(Tabla2[[#This Row],[¿cliente deuda abierta?]]="Sí", Tabla2[[#This Row],[Deuda actual]]*Tabla2[[#This Row],[diferencia de días]], "0")</f>
        <v>0</v>
      </c>
      <c r="L53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3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34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34">
        <f t="shared" ca="1" si="96"/>
        <v>2093.6799999999998</v>
      </c>
      <c r="P534">
        <f t="shared" ca="1" si="97"/>
        <v>362673.46</v>
      </c>
      <c r="Q534">
        <f t="shared" ca="1" si="98"/>
        <v>4</v>
      </c>
      <c r="R534">
        <f ca="1">((Tabla2[[#This Row],[Fantasma Comunicación]]+1)/(Tabla2[[#This Row],[Fantasma Comunicación]]+RANDBETWEEN(0,5)+2))-0.5</f>
        <v>5.555555555555558E-2</v>
      </c>
      <c r="S534">
        <f ca="1">1+MAX(0,Tabla2[[#This Row],[Deuda actual]]/Tabla2[[#This Row],[Liquidez]]+Tabla2[[#This Row],[Liquidez]]/(Tabla2[[#This Row],[Activos]]+Tabla2[[#This Row],[Liquidez]])+Tabla2[[#This Row],[Comunicación]])</f>
        <v>5.8375744145011428</v>
      </c>
      <c r="T534">
        <f ca="1">Tabla2[[#This Row],[Deuda actual]]*EXP(Tabla2[[#This Row],[Ki]]*Tabla2[[#This Row],[diferencia de días]])*(1+Tabla2[[#This Row],[Hg]])</f>
        <v>8009.6057623046918</v>
      </c>
    </row>
    <row r="535" spans="1:20" ht="14.5" x14ac:dyDescent="0.35">
      <c r="A535">
        <f t="shared" si="88"/>
        <v>534</v>
      </c>
      <c r="B535">
        <f t="shared" ca="1" si="89"/>
        <v>46117</v>
      </c>
      <c r="C535">
        <f t="shared" ca="1" si="90"/>
        <v>46157</v>
      </c>
      <c r="D535">
        <f t="shared" ca="1" si="91"/>
        <v>39</v>
      </c>
      <c r="E535">
        <f t="shared" ca="1" si="92"/>
        <v>0.74063385150829608</v>
      </c>
      <c r="F535">
        <f t="shared" ca="1" si="93"/>
        <v>1332.14</v>
      </c>
      <c r="G535" t="str">
        <f t="shared" ca="1" si="94"/>
        <v>hipotecario</v>
      </c>
      <c r="H53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535" t="str">
        <f t="shared" ca="1" si="95"/>
        <v>No</v>
      </c>
      <c r="J53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164999.89411171729</v>
      </c>
      <c r="K535" t="str">
        <f ca="1">IF(Tabla2[[#This Row],[¿cliente deuda abierta?]]="Sí", Tabla2[[#This Row],[Deuda actual]]*Tabla2[[#This Row],[diferencia de días]], "0")</f>
        <v>0</v>
      </c>
      <c r="L53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3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35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35">
        <f t="shared" ca="1" si="96"/>
        <v>1829.65</v>
      </c>
      <c r="P535">
        <f t="shared" ca="1" si="97"/>
        <v>74119.94</v>
      </c>
      <c r="Q535">
        <f t="shared" ca="1" si="98"/>
        <v>0</v>
      </c>
      <c r="R535">
        <f ca="1">((Tabla2[[#This Row],[Fantasma Comunicación]]+1)/(Tabla2[[#This Row],[Fantasma Comunicación]]+RANDBETWEEN(0,5)+2))-0.5</f>
        <v>-0.33333333333333337</v>
      </c>
      <c r="S535">
        <f ca="1">1+MAX(0,Tabla2[[#This Row],[Deuda actual]]/Tabla2[[#This Row],[Liquidez]]+Tabla2[[#This Row],[Liquidez]]/(Tabla2[[#This Row],[Activos]]+Tabla2[[#This Row],[Liquidez]])+Tabla2[[#This Row],[Comunicación]])</f>
        <v>1.4188415939737171</v>
      </c>
      <c r="T535">
        <f ca="1">Tabla2[[#This Row],[Deuda actual]]*EXP(Tabla2[[#This Row],[Ki]]*Tabla2[[#This Row],[diferencia de días]])*(1+Tabla2[[#This Row],[Hg]])</f>
        <v>1108.0958816717771</v>
      </c>
    </row>
    <row r="536" spans="1:20" ht="14.5" x14ac:dyDescent="0.35">
      <c r="A536">
        <f t="shared" si="88"/>
        <v>535</v>
      </c>
      <c r="B536">
        <f t="shared" ca="1" si="89"/>
        <v>46128</v>
      </c>
      <c r="C536">
        <f t="shared" ca="1" si="90"/>
        <v>46157</v>
      </c>
      <c r="D536">
        <f t="shared" ca="1" si="91"/>
        <v>2</v>
      </c>
      <c r="E536">
        <f t="shared" ca="1" si="92"/>
        <v>0.83297541323113489</v>
      </c>
      <c r="F536">
        <f t="shared" ca="1" si="93"/>
        <v>420.21</v>
      </c>
      <c r="G536" t="str">
        <f t="shared" ca="1" si="94"/>
        <v>hipotecario</v>
      </c>
      <c r="H53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36" t="str">
        <f t="shared" ca="1" si="95"/>
        <v>Sí</v>
      </c>
      <c r="J53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36">
        <f ca="1">IF(Tabla2[[#This Row],[¿cliente deuda abierta?]]="Sí", Tabla2[[#This Row],[Deuda actual]]*Tabla2[[#This Row],[diferencia de días]], "0")</f>
        <v>840.42</v>
      </c>
      <c r="L53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3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3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36">
        <f t="shared" ca="1" si="96"/>
        <v>2108.8000000000002</v>
      </c>
      <c r="P536">
        <f t="shared" ca="1" si="97"/>
        <v>865889.68</v>
      </c>
      <c r="Q536">
        <f t="shared" ca="1" si="98"/>
        <v>4</v>
      </c>
      <c r="R536">
        <f ca="1">((Tabla2[[#This Row],[Fantasma Comunicación]]+1)/(Tabla2[[#This Row],[Fantasma Comunicación]]+RANDBETWEEN(0,5)+2))-0.5</f>
        <v>0</v>
      </c>
      <c r="S536">
        <f ca="1">1+MAX(0,Tabla2[[#This Row],[Deuda actual]]/Tabla2[[#This Row],[Liquidez]]+Tabla2[[#This Row],[Liquidez]]/(Tabla2[[#This Row],[Activos]]+Tabla2[[#This Row],[Liquidez]])+Tabla2[[#This Row],[Comunicación]])</f>
        <v>1.20169448216747</v>
      </c>
      <c r="T536">
        <f ca="1">Tabla2[[#This Row],[Deuda actual]]*EXP(Tabla2[[#This Row],[Ki]]*Tabla2[[#This Row],[diferencia de días]])*(1+Tabla2[[#This Row],[Hg]])</f>
        <v>441.39702350234683</v>
      </c>
    </row>
    <row r="537" spans="1:20" ht="14.5" x14ac:dyDescent="0.35">
      <c r="A537">
        <f t="shared" si="88"/>
        <v>536</v>
      </c>
      <c r="B537">
        <f t="shared" ca="1" si="89"/>
        <v>46126</v>
      </c>
      <c r="C537">
        <f t="shared" ca="1" si="90"/>
        <v>46157</v>
      </c>
      <c r="D537">
        <f t="shared" ca="1" si="91"/>
        <v>3</v>
      </c>
      <c r="E537">
        <f t="shared" ca="1" si="92"/>
        <v>0.83479968542250682</v>
      </c>
      <c r="F537">
        <f t="shared" ca="1" si="93"/>
        <v>2221.63</v>
      </c>
      <c r="G537" t="str">
        <f t="shared" ca="1" si="94"/>
        <v>hipotecario</v>
      </c>
      <c r="H53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37" t="str">
        <f t="shared" ca="1" si="95"/>
        <v>Sí</v>
      </c>
      <c r="J53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37">
        <f ca="1">IF(Tabla2[[#This Row],[¿cliente deuda abierta?]]="Sí", Tabla2[[#This Row],[Deuda actual]]*Tabla2[[#This Row],[diferencia de días]], "0")</f>
        <v>6664.89</v>
      </c>
      <c r="L53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3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3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37">
        <f t="shared" ca="1" si="96"/>
        <v>1569.34</v>
      </c>
      <c r="P537">
        <f t="shared" ca="1" si="97"/>
        <v>159008.38</v>
      </c>
      <c r="Q537">
        <f t="shared" ca="1" si="98"/>
        <v>0</v>
      </c>
      <c r="R537">
        <f ca="1">((Tabla2[[#This Row],[Fantasma Comunicación]]+1)/(Tabla2[[#This Row],[Fantasma Comunicación]]+RANDBETWEEN(0,5)+2))-0.5</f>
        <v>-0.3</v>
      </c>
      <c r="S537">
        <f ca="1">1+MAX(0,Tabla2[[#This Row],[Deuda actual]]/Tabla2[[#This Row],[Liquidez]]+Tabla2[[#This Row],[Liquidez]]/(Tabla2[[#This Row],[Activos]]+Tabla2[[#This Row],[Liquidez]])+Tabla2[[#This Row],[Comunicación]])</f>
        <v>2.1254191546004542</v>
      </c>
      <c r="T537">
        <f ca="1">Tabla2[[#This Row],[Deuda actual]]*EXP(Tabla2[[#This Row],[Ki]]*Tabla2[[#This Row],[diferencia de días]])*(1+Tabla2[[#This Row],[Hg]])</f>
        <v>2334.1115468720604</v>
      </c>
    </row>
    <row r="538" spans="1:20" ht="14.5" x14ac:dyDescent="0.35">
      <c r="A538">
        <f t="shared" si="88"/>
        <v>537</v>
      </c>
      <c r="B538">
        <f t="shared" ca="1" si="89"/>
        <v>46134</v>
      </c>
      <c r="C538">
        <f t="shared" ca="1" si="90"/>
        <v>46157</v>
      </c>
      <c r="D538">
        <f t="shared" ca="1" si="91"/>
        <v>1</v>
      </c>
      <c r="E538">
        <f t="shared" ca="1" si="92"/>
        <v>4.8841533918226543E-2</v>
      </c>
      <c r="F538">
        <f t="shared" ca="1" si="93"/>
        <v>4605.01</v>
      </c>
      <c r="G538" t="str">
        <f t="shared" ca="1" si="94"/>
        <v>hipotecario</v>
      </c>
      <c r="H53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38" t="str">
        <f t="shared" ca="1" si="95"/>
        <v>Sí</v>
      </c>
      <c r="J53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38">
        <f ca="1">IF(Tabla2[[#This Row],[¿cliente deuda abierta?]]="Sí", Tabla2[[#This Row],[Deuda actual]]*Tabla2[[#This Row],[diferencia de días]], "0")</f>
        <v>4605.01</v>
      </c>
      <c r="L53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3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3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38">
        <f t="shared" ca="1" si="96"/>
        <v>2507.4299999999998</v>
      </c>
      <c r="P538">
        <f t="shared" ca="1" si="97"/>
        <v>46127.08</v>
      </c>
      <c r="Q538">
        <f t="shared" ca="1" si="98"/>
        <v>0</v>
      </c>
      <c r="R538">
        <f ca="1">((Tabla2[[#This Row],[Fantasma Comunicación]]+1)/(Tabla2[[#This Row],[Fantasma Comunicación]]+RANDBETWEEN(0,5)+2))-0.5</f>
        <v>-0.16666666666666669</v>
      </c>
      <c r="S538">
        <f ca="1">1+MAX(0,Tabla2[[#This Row],[Deuda actual]]/Tabla2[[#This Row],[Liquidez]]+Tabla2[[#This Row],[Liquidez]]/(Tabla2[[#This Row],[Activos]]+Tabla2[[#This Row],[Liquidez]])+Tabla2[[#This Row],[Comunicación]])</f>
        <v>2.7214357197044512</v>
      </c>
      <c r="T538">
        <f ca="1">Tabla2[[#This Row],[Deuda actual]]*EXP(Tabla2[[#This Row],[Ki]]*Tabla2[[#This Row],[diferencia de días]])*(1+Tabla2[[#This Row],[Hg]])</f>
        <v>4836.2276488116577</v>
      </c>
    </row>
    <row r="539" spans="1:20" ht="14.5" x14ac:dyDescent="0.35">
      <c r="A539">
        <f t="shared" si="88"/>
        <v>538</v>
      </c>
      <c r="B539">
        <f t="shared" ca="1" si="89"/>
        <v>46134</v>
      </c>
      <c r="C539">
        <f t="shared" ca="1" si="90"/>
        <v>46157</v>
      </c>
      <c r="D539">
        <f t="shared" ca="1" si="91"/>
        <v>26</v>
      </c>
      <c r="E539">
        <f t="shared" ca="1" si="92"/>
        <v>0.10172202858711066</v>
      </c>
      <c r="F539">
        <f t="shared" ca="1" si="93"/>
        <v>455.92</v>
      </c>
      <c r="G539" t="str">
        <f t="shared" ca="1" si="94"/>
        <v>personal</v>
      </c>
      <c r="H53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39" t="str">
        <f t="shared" ca="1" si="95"/>
        <v>Sí</v>
      </c>
      <c r="J53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39">
        <f ca="1">IF(Tabla2[[#This Row],[¿cliente deuda abierta?]]="Sí", Tabla2[[#This Row],[Deuda actual]]*Tabla2[[#This Row],[diferencia de días]], "0")</f>
        <v>11853.92</v>
      </c>
      <c r="L53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3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3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39">
        <f t="shared" ca="1" si="96"/>
        <v>1300.3</v>
      </c>
      <c r="P539">
        <f t="shared" ca="1" si="97"/>
        <v>73971.839999999997</v>
      </c>
      <c r="Q539">
        <f t="shared" ca="1" si="98"/>
        <v>4</v>
      </c>
      <c r="R539">
        <f ca="1">((Tabla2[[#This Row],[Fantasma Comunicación]]+1)/(Tabla2[[#This Row],[Fantasma Comunicación]]+RANDBETWEEN(0,5)+2))-0.5</f>
        <v>0.33333333333333337</v>
      </c>
      <c r="S539">
        <f ca="1">1+MAX(0,Tabla2[[#This Row],[Deuda actual]]/Tabla2[[#This Row],[Liquidez]]+Tabla2[[#This Row],[Liquidez]]/(Tabla2[[#This Row],[Activos]]+Tabla2[[#This Row],[Liquidez]])+Tabla2[[#This Row],[Comunicación]])</f>
        <v>1.7012347634529557</v>
      </c>
      <c r="T539">
        <f ca="1">Tabla2[[#This Row],[Deuda actual]]*EXP(Tabla2[[#This Row],[Ki]]*Tabla2[[#This Row],[diferencia de días]])*(1+Tabla2[[#This Row],[Hg]])</f>
        <v>483.72062534351113</v>
      </c>
    </row>
    <row r="540" spans="1:20" ht="14.5" x14ac:dyDescent="0.35">
      <c r="A540">
        <f t="shared" si="88"/>
        <v>539</v>
      </c>
      <c r="B540">
        <f t="shared" ca="1" si="89"/>
        <v>46139</v>
      </c>
      <c r="C540">
        <f t="shared" ca="1" si="90"/>
        <v>46157</v>
      </c>
      <c r="D540">
        <f t="shared" ca="1" si="91"/>
        <v>7</v>
      </c>
      <c r="E540">
        <f t="shared" ca="1" si="92"/>
        <v>0.41522251008482547</v>
      </c>
      <c r="F540">
        <f t="shared" ca="1" si="93"/>
        <v>4560.33</v>
      </c>
      <c r="G540" t="str">
        <f t="shared" ca="1" si="94"/>
        <v>hipotecario</v>
      </c>
      <c r="H54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40" t="str">
        <f t="shared" ca="1" si="95"/>
        <v>No</v>
      </c>
      <c r="J54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164999.20421820221</v>
      </c>
      <c r="K540" t="str">
        <f ca="1">IF(Tabla2[[#This Row],[¿cliente deuda abierta?]]="Sí", Tabla2[[#This Row],[Deuda actual]]*Tabla2[[#This Row],[diferencia de días]], "0")</f>
        <v>0</v>
      </c>
      <c r="L54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4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4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40">
        <f t="shared" ca="1" si="96"/>
        <v>1926.41</v>
      </c>
      <c r="P540">
        <f t="shared" ca="1" si="97"/>
        <v>109857.13</v>
      </c>
      <c r="Q540">
        <f t="shared" ca="1" si="98"/>
        <v>1</v>
      </c>
      <c r="R540">
        <f ca="1">((Tabla2[[#This Row],[Fantasma Comunicación]]+1)/(Tabla2[[#This Row],[Fantasma Comunicación]]+RANDBETWEEN(0,5)+2))-0.5</f>
        <v>-0.2142857142857143</v>
      </c>
      <c r="S540">
        <f ca="1">1+MAX(0,Tabla2[[#This Row],[Deuda actual]]/Tabla2[[#This Row],[Liquidez]]+Tabla2[[#This Row],[Liquidez]]/(Tabla2[[#This Row],[Activos]]+Tabla2[[#This Row],[Liquidez]])+Tabla2[[#This Row],[Comunicación]])</f>
        <v>3.1702163315908316</v>
      </c>
      <c r="T540">
        <f ca="1">Tabla2[[#This Row],[Deuda actual]]*EXP(Tabla2[[#This Row],[Ki]]*Tabla2[[#This Row],[diferencia de días]])*(1+Tabla2[[#This Row],[Hg]])</f>
        <v>3653.3751465677774</v>
      </c>
    </row>
    <row r="541" spans="1:20" ht="14.5" x14ac:dyDescent="0.35">
      <c r="A541">
        <f t="shared" si="88"/>
        <v>540</v>
      </c>
      <c r="B541">
        <f t="shared" ca="1" si="89"/>
        <v>46116</v>
      </c>
      <c r="C541">
        <f t="shared" ca="1" si="90"/>
        <v>46157</v>
      </c>
      <c r="D541">
        <f t="shared" ca="1" si="91"/>
        <v>18</v>
      </c>
      <c r="E541">
        <f t="shared" ca="1" si="92"/>
        <v>9.5646195688573021E-2</v>
      </c>
      <c r="F541">
        <f t="shared" ca="1" si="93"/>
        <v>2434.6</v>
      </c>
      <c r="G541" t="str">
        <f t="shared" ca="1" si="94"/>
        <v>hipotecario</v>
      </c>
      <c r="H54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41" t="str">
        <f t="shared" ca="1" si="95"/>
        <v>Sí</v>
      </c>
      <c r="J54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41">
        <f ca="1">IF(Tabla2[[#This Row],[¿cliente deuda abierta?]]="Sí", Tabla2[[#This Row],[Deuda actual]]*Tabla2[[#This Row],[diferencia de días]], "0")</f>
        <v>43822.799999999996</v>
      </c>
      <c r="L54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54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41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541">
        <f t="shared" ca="1" si="96"/>
        <v>1815.61</v>
      </c>
      <c r="P541">
        <f t="shared" ca="1" si="97"/>
        <v>154441.01999999999</v>
      </c>
      <c r="Q541">
        <f t="shared" ca="1" si="98"/>
        <v>1</v>
      </c>
      <c r="R541">
        <f ca="1">((Tabla2[[#This Row],[Fantasma Comunicación]]+1)/(Tabla2[[#This Row],[Fantasma Comunicación]]+RANDBETWEEN(0,5)+2))-0.5</f>
        <v>0.16666666666666663</v>
      </c>
      <c r="S541">
        <f ca="1">1+MAX(0,Tabla2[[#This Row],[Deuda actual]]/Tabla2[[#This Row],[Liquidez]]+Tabla2[[#This Row],[Liquidez]]/(Tabla2[[#This Row],[Activos]]+Tabla2[[#This Row],[Liquidez]])+Tabla2[[#This Row],[Comunicación]])</f>
        <v>2.5192128185067881</v>
      </c>
      <c r="T541">
        <f ca="1">Tabla2[[#This Row],[Deuda actual]]*EXP(Tabla2[[#This Row],[Ki]]*Tabla2[[#This Row],[diferencia de días]])*(1+Tabla2[[#This Row],[Hg]])</f>
        <v>2697.4116142122634</v>
      </c>
    </row>
    <row r="542" spans="1:20" ht="14.5" x14ac:dyDescent="0.35">
      <c r="A542">
        <f t="shared" si="88"/>
        <v>541</v>
      </c>
      <c r="B542">
        <f t="shared" ca="1" si="89"/>
        <v>46112</v>
      </c>
      <c r="C542">
        <f t="shared" ca="1" si="90"/>
        <v>46157</v>
      </c>
      <c r="D542">
        <f t="shared" ca="1" si="91"/>
        <v>10</v>
      </c>
      <c r="E542">
        <f t="shared" ca="1" si="92"/>
        <v>0.33549410336204211</v>
      </c>
      <c r="F542">
        <f t="shared" ca="1" si="93"/>
        <v>163.18</v>
      </c>
      <c r="G542" t="str">
        <f t="shared" ca="1" si="94"/>
        <v>personal</v>
      </c>
      <c r="H54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42" t="str">
        <f t="shared" ca="1" si="95"/>
        <v>No</v>
      </c>
      <c r="J54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11999.65883174412</v>
      </c>
      <c r="K542" t="str">
        <f ca="1">IF(Tabla2[[#This Row],[¿cliente deuda abierta?]]="Sí", Tabla2[[#This Row],[Deuda actual]]*Tabla2[[#This Row],[diferencia de días]], "0")</f>
        <v>0</v>
      </c>
      <c r="L54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4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542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542">
        <f t="shared" ca="1" si="96"/>
        <v>1487.98</v>
      </c>
      <c r="P542">
        <f t="shared" ca="1" si="97"/>
        <v>120433.32</v>
      </c>
      <c r="Q542">
        <f t="shared" ca="1" si="98"/>
        <v>2</v>
      </c>
      <c r="R542">
        <f ca="1">((Tabla2[[#This Row],[Fantasma Comunicación]]+1)/(Tabla2[[#This Row],[Fantasma Comunicación]]+RANDBETWEEN(0,5)+2))-0.5</f>
        <v>-7.1428571428571452E-2</v>
      </c>
      <c r="S542">
        <f ca="1">1+MAX(0,Tabla2[[#This Row],[Deuda actual]]/Tabla2[[#This Row],[Liquidez]]+Tabla2[[#This Row],[Liquidez]]/(Tabla2[[#This Row],[Activos]]+Tabla2[[#This Row],[Liquidez]])+Tabla2[[#This Row],[Comunicación]])</f>
        <v>1.0504413112989834</v>
      </c>
      <c r="T542">
        <f ca="1">Tabla2[[#This Row],[Deuda actual]]*EXP(Tabla2[[#This Row],[Ki]]*Tabla2[[#This Row],[diferencia de días]])*(1+Tabla2[[#This Row],[Hg]])</f>
        <v>147.15601791991398</v>
      </c>
    </row>
    <row r="543" spans="1:20" ht="14.5" x14ac:dyDescent="0.35">
      <c r="A543">
        <f t="shared" si="88"/>
        <v>542</v>
      </c>
      <c r="B543">
        <f t="shared" ca="1" si="89"/>
        <v>46106</v>
      </c>
      <c r="C543">
        <f t="shared" ca="1" si="90"/>
        <v>46157</v>
      </c>
      <c r="D543">
        <f t="shared" ca="1" si="91"/>
        <v>18</v>
      </c>
      <c r="E543">
        <f t="shared" ca="1" si="92"/>
        <v>0.93705666229181184</v>
      </c>
      <c r="F543">
        <f t="shared" ca="1" si="93"/>
        <v>5350.94</v>
      </c>
      <c r="G543" t="str">
        <f t="shared" ca="1" si="94"/>
        <v>hipotecario</v>
      </c>
      <c r="H54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43" t="str">
        <f t="shared" ca="1" si="95"/>
        <v>No</v>
      </c>
      <c r="J54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164999.77283827914</v>
      </c>
      <c r="K543" t="str">
        <f ca="1">IF(Tabla2[[#This Row],[¿cliente deuda abierta?]]="Sí", Tabla2[[#This Row],[Deuda actual]]*Tabla2[[#This Row],[diferencia de días]], "0")</f>
        <v>0</v>
      </c>
      <c r="L54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4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4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43">
        <f t="shared" ca="1" si="96"/>
        <v>1122.1400000000001</v>
      </c>
      <c r="P543">
        <f t="shared" ca="1" si="97"/>
        <v>162315.72</v>
      </c>
      <c r="Q543">
        <f t="shared" ca="1" si="98"/>
        <v>2</v>
      </c>
      <c r="R543">
        <f ca="1">((Tabla2[[#This Row],[Fantasma Comunicación]]+1)/(Tabla2[[#This Row],[Fantasma Comunicación]]+RANDBETWEEN(0,5)+2))-0.5</f>
        <v>9.9999999999999978E-2</v>
      </c>
      <c r="S543">
        <f ca="1">1+MAX(0,Tabla2[[#This Row],[Deuda actual]]/Tabla2[[#This Row],[Liquidez]]+Tabla2[[#This Row],[Liquidez]]/(Tabla2[[#This Row],[Activos]]+Tabla2[[#This Row],[Liquidez]])+Tabla2[[#This Row],[Comunicación]])</f>
        <v>5.8753795837228608</v>
      </c>
      <c r="T543">
        <f ca="1">Tabla2[[#This Row],[Deuda actual]]*EXP(Tabla2[[#This Row],[Ki]]*Tabla2[[#This Row],[diferencia de días]])*(1+Tabla2[[#This Row],[Hg]])</f>
        <v>4311.6846382688864</v>
      </c>
    </row>
    <row r="544" spans="1:20" ht="14.5" x14ac:dyDescent="0.35">
      <c r="A544">
        <f t="shared" si="88"/>
        <v>543</v>
      </c>
      <c r="B544">
        <f t="shared" ca="1" si="89"/>
        <v>46133</v>
      </c>
      <c r="C544">
        <f t="shared" ca="1" si="90"/>
        <v>46157</v>
      </c>
      <c r="D544">
        <f t="shared" ca="1" si="91"/>
        <v>50</v>
      </c>
      <c r="E544">
        <f t="shared" ca="1" si="92"/>
        <v>0.59723048119894073</v>
      </c>
      <c r="F544">
        <f t="shared" ca="1" si="93"/>
        <v>441.05</v>
      </c>
      <c r="G544" t="str">
        <f t="shared" ca="1" si="94"/>
        <v>hipotecario</v>
      </c>
      <c r="H54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544" t="str">
        <f t="shared" ca="1" si="95"/>
        <v>Sí</v>
      </c>
      <c r="J54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44">
        <f ca="1">IF(Tabla2[[#This Row],[¿cliente deuda abierta?]]="Sí", Tabla2[[#This Row],[Deuda actual]]*Tabla2[[#This Row],[diferencia de días]], "0")</f>
        <v>22052.5</v>
      </c>
      <c r="L54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4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4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44">
        <f t="shared" ca="1" si="96"/>
        <v>1336.18</v>
      </c>
      <c r="P544">
        <f t="shared" ca="1" si="97"/>
        <v>84821.67</v>
      </c>
      <c r="Q544">
        <f t="shared" ca="1" si="98"/>
        <v>1</v>
      </c>
      <c r="R544">
        <f ca="1">((Tabla2[[#This Row],[Fantasma Comunicación]]+1)/(Tabla2[[#This Row],[Fantasma Comunicación]]+RANDBETWEEN(0,5)+2))-0.5</f>
        <v>-0.2142857142857143</v>
      </c>
      <c r="S544">
        <f ca="1">1+MAX(0,Tabla2[[#This Row],[Deuda actual]]/Tabla2[[#This Row],[Liquidez]]+Tabla2[[#This Row],[Liquidez]]/(Tabla2[[#This Row],[Activos]]+Tabla2[[#This Row],[Liquidez]])+Tabla2[[#This Row],[Comunicación]])</f>
        <v>1.1313055704058179</v>
      </c>
      <c r="T544">
        <f ca="1">Tabla2[[#This Row],[Deuda actual]]*EXP(Tabla2[[#This Row],[Ki]]*Tabla2[[#This Row],[diferencia de días]])*(1+Tabla2[[#This Row],[Hg]])</f>
        <v>499.17084498505011</v>
      </c>
    </row>
    <row r="545" spans="1:20" ht="14.5" x14ac:dyDescent="0.35">
      <c r="A545">
        <f t="shared" si="88"/>
        <v>544</v>
      </c>
      <c r="B545">
        <f t="shared" ca="1" si="89"/>
        <v>46094</v>
      </c>
      <c r="C545">
        <f t="shared" ca="1" si="90"/>
        <v>46157</v>
      </c>
      <c r="D545">
        <f t="shared" ca="1" si="91"/>
        <v>16</v>
      </c>
      <c r="E545">
        <f t="shared" ca="1" si="92"/>
        <v>0.15292893671565977</v>
      </c>
      <c r="F545">
        <f t="shared" ca="1" si="93"/>
        <v>1079.3699999999999</v>
      </c>
      <c r="G545" t="str">
        <f t="shared" ca="1" si="94"/>
        <v>personal</v>
      </c>
      <c r="H54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45" t="str">
        <f t="shared" ca="1" si="95"/>
        <v>Sí</v>
      </c>
      <c r="J54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45">
        <f ca="1">IF(Tabla2[[#This Row],[¿cliente deuda abierta?]]="Sí", Tabla2[[#This Row],[Deuda actual]]*Tabla2[[#This Row],[diferencia de días]], "0")</f>
        <v>17269.919999999998</v>
      </c>
      <c r="L54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4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4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45">
        <f t="shared" ca="1" si="96"/>
        <v>2483.31</v>
      </c>
      <c r="P545">
        <f t="shared" ca="1" si="97"/>
        <v>426360.84</v>
      </c>
      <c r="Q545">
        <f t="shared" ca="1" si="98"/>
        <v>0</v>
      </c>
      <c r="R545">
        <f ca="1">((Tabla2[[#This Row],[Fantasma Comunicación]]+1)/(Tabla2[[#This Row],[Fantasma Comunicación]]+RANDBETWEEN(0,5)+2))-0.5</f>
        <v>0</v>
      </c>
      <c r="S545">
        <f ca="1">1+MAX(0,Tabla2[[#This Row],[Deuda actual]]/Tabla2[[#This Row],[Liquidez]]+Tabla2[[#This Row],[Liquidez]]/(Tabla2[[#This Row],[Activos]]+Tabla2[[#This Row],[Liquidez]])+Tabla2[[#This Row],[Comunicación]])</f>
        <v>1.4404404266258271</v>
      </c>
      <c r="T545">
        <f ca="1">Tabla2[[#This Row],[Deuda actual]]*EXP(Tabla2[[#This Row],[Ki]]*Tabla2[[#This Row],[diferencia de días]])*(1+Tabla2[[#This Row],[Hg]])</f>
        <v>1140.6151267681221</v>
      </c>
    </row>
    <row r="546" spans="1:20" ht="14.5" x14ac:dyDescent="0.35">
      <c r="A546">
        <f t="shared" si="88"/>
        <v>545</v>
      </c>
      <c r="B546">
        <f t="shared" ca="1" si="89"/>
        <v>46096</v>
      </c>
      <c r="C546">
        <f t="shared" ca="1" si="90"/>
        <v>46157</v>
      </c>
      <c r="D546">
        <f t="shared" ca="1" si="91"/>
        <v>3</v>
      </c>
      <c r="E546">
        <f t="shared" ca="1" si="92"/>
        <v>0.28468506639058822</v>
      </c>
      <c r="F546">
        <f t="shared" ca="1" si="93"/>
        <v>6296.27</v>
      </c>
      <c r="G546" t="str">
        <f t="shared" ca="1" si="94"/>
        <v>personal</v>
      </c>
      <c r="H54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46" t="str">
        <f t="shared" ca="1" si="95"/>
        <v>Sí</v>
      </c>
      <c r="J54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46">
        <f ca="1">IF(Tabla2[[#This Row],[¿cliente deuda abierta?]]="Sí", Tabla2[[#This Row],[Deuda actual]]*Tabla2[[#This Row],[diferencia de días]], "0")</f>
        <v>18888.810000000001</v>
      </c>
      <c r="L54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4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4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46">
        <f t="shared" ca="1" si="96"/>
        <v>1758.85</v>
      </c>
      <c r="P546">
        <f t="shared" ca="1" si="97"/>
        <v>292966.05</v>
      </c>
      <c r="Q546">
        <f t="shared" ca="1" si="98"/>
        <v>4</v>
      </c>
      <c r="R546">
        <f ca="1">((Tabla2[[#This Row],[Fantasma Comunicación]]+1)/(Tabla2[[#This Row],[Fantasma Comunicación]]+RANDBETWEEN(0,5)+2))-0.5</f>
        <v>0.2142857142857143</v>
      </c>
      <c r="S546">
        <f ca="1">1+MAX(0,Tabla2[[#This Row],[Deuda actual]]/Tabla2[[#This Row],[Liquidez]]+Tabla2[[#This Row],[Liquidez]]/(Tabla2[[#This Row],[Activos]]+Tabla2[[#This Row],[Liquidez]])+Tabla2[[#This Row],[Comunicación]])</f>
        <v>4.8000186703530803</v>
      </c>
      <c r="T546">
        <f ca="1">Tabla2[[#This Row],[Deuda actual]]*EXP(Tabla2[[#This Row],[Ki]]*Tabla2[[#This Row],[diferencia de días]])*(1+Tabla2[[#This Row],[Hg]])</f>
        <v>6615.0513403330651</v>
      </c>
    </row>
    <row r="547" spans="1:20" ht="14.5" x14ac:dyDescent="0.35">
      <c r="A547">
        <f t="shared" si="88"/>
        <v>546</v>
      </c>
      <c r="B547">
        <f t="shared" ca="1" si="89"/>
        <v>46101</v>
      </c>
      <c r="C547">
        <f t="shared" ca="1" si="90"/>
        <v>46157</v>
      </c>
      <c r="D547">
        <f t="shared" ca="1" si="91"/>
        <v>6</v>
      </c>
      <c r="E547">
        <f t="shared" ca="1" si="92"/>
        <v>0.43351336164502619</v>
      </c>
      <c r="F547">
        <f t="shared" ca="1" si="93"/>
        <v>10000</v>
      </c>
      <c r="G547" t="str">
        <f t="shared" ca="1" si="94"/>
        <v>personal</v>
      </c>
      <c r="H54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47" t="str">
        <f t="shared" ca="1" si="95"/>
        <v>Sí</v>
      </c>
      <c r="J54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47">
        <f ca="1">IF(Tabla2[[#This Row],[¿cliente deuda abierta?]]="Sí", Tabla2[[#This Row],[Deuda actual]]*Tabla2[[#This Row],[diferencia de días]], "0")</f>
        <v>60000</v>
      </c>
      <c r="L54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54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47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547">
        <f t="shared" ca="1" si="96"/>
        <v>1881.05</v>
      </c>
      <c r="P547">
        <f t="shared" ca="1" si="97"/>
        <v>310415.63</v>
      </c>
      <c r="Q547">
        <f t="shared" ca="1" si="98"/>
        <v>2</v>
      </c>
      <c r="R547">
        <f ca="1">((Tabla2[[#This Row],[Fantasma Comunicación]]+1)/(Tabla2[[#This Row],[Fantasma Comunicación]]+RANDBETWEEN(0,5)+2))-0.5</f>
        <v>-0.125</v>
      </c>
      <c r="S547">
        <f ca="1">1+MAX(0,Tabla2[[#This Row],[Deuda actual]]/Tabla2[[#This Row],[Liquidez]]+Tabla2[[#This Row],[Liquidez]]/(Tabla2[[#This Row],[Activos]]+Tabla2[[#This Row],[Liquidez]])+Tabla2[[#This Row],[Comunicación]])</f>
        <v>6.197203072090411</v>
      </c>
      <c r="T547">
        <f ca="1">Tabla2[[#This Row],[Deuda actual]]*EXP(Tabla2[[#This Row],[Ki]]*Tabla2[[#This Row],[diferencia de días]])*(1+Tabla2[[#This Row],[Hg]])</f>
        <v>11513.808283312994</v>
      </c>
    </row>
    <row r="548" spans="1:20" ht="14.5" x14ac:dyDescent="0.35">
      <c r="A548">
        <f t="shared" si="88"/>
        <v>547</v>
      </c>
      <c r="B548">
        <f t="shared" ca="1" si="89"/>
        <v>46121</v>
      </c>
      <c r="C548">
        <f t="shared" ca="1" si="90"/>
        <v>46157</v>
      </c>
      <c r="D548">
        <f t="shared" ca="1" si="91"/>
        <v>8</v>
      </c>
      <c r="E548">
        <f t="shared" ca="1" si="92"/>
        <v>0.58061625759483826</v>
      </c>
      <c r="F548">
        <f t="shared" ca="1" si="93"/>
        <v>2532.8000000000002</v>
      </c>
      <c r="G548" t="str">
        <f t="shared" ca="1" si="94"/>
        <v>personal</v>
      </c>
      <c r="H54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48" t="str">
        <f t="shared" ca="1" si="95"/>
        <v>No</v>
      </c>
      <c r="J54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11998.325955672988</v>
      </c>
      <c r="K548" t="str">
        <f ca="1">IF(Tabla2[[#This Row],[¿cliente deuda abierta?]]="Sí", Tabla2[[#This Row],[Deuda actual]]*Tabla2[[#This Row],[diferencia de días]], "0")</f>
        <v>0</v>
      </c>
      <c r="L54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4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54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548">
        <f t="shared" ca="1" si="96"/>
        <v>1161.8800000000001</v>
      </c>
      <c r="P548">
        <f t="shared" ca="1" si="97"/>
        <v>251238.26</v>
      </c>
      <c r="Q548">
        <f t="shared" ca="1" si="98"/>
        <v>0</v>
      </c>
      <c r="R548">
        <f ca="1">((Tabla2[[#This Row],[Fantasma Comunicación]]+1)/(Tabla2[[#This Row],[Fantasma Comunicación]]+RANDBETWEEN(0,5)+2))-0.5</f>
        <v>-0.16666666666666669</v>
      </c>
      <c r="S548">
        <f ca="1">1+MAX(0,Tabla2[[#This Row],[Deuda actual]]/Tabla2[[#This Row],[Liquidez]]+Tabla2[[#This Row],[Liquidez]]/(Tabla2[[#This Row],[Activos]]+Tabla2[[#This Row],[Liquidez]])+Tabla2[[#This Row],[Comunicación]])</f>
        <v>3.0178519685012306</v>
      </c>
      <c r="T548">
        <f ca="1">Tabla2[[#This Row],[Deuda actual]]*EXP(Tabla2[[#This Row],[Ki]]*Tabla2[[#This Row],[diferencia de días]])*(1+Tabla2[[#This Row],[Hg]])</f>
        <v>2283.170151342375</v>
      </c>
    </row>
    <row r="549" spans="1:20" ht="14.5" x14ac:dyDescent="0.35">
      <c r="A549">
        <f t="shared" si="88"/>
        <v>548</v>
      </c>
      <c r="B549">
        <f t="shared" ca="1" si="89"/>
        <v>46086</v>
      </c>
      <c r="C549">
        <f t="shared" ca="1" si="90"/>
        <v>46157</v>
      </c>
      <c r="D549">
        <f t="shared" ca="1" si="91"/>
        <v>0</v>
      </c>
      <c r="E549">
        <f t="shared" ca="1" si="92"/>
        <v>0.27039091007065419</v>
      </c>
      <c r="F549">
        <f t="shared" ca="1" si="93"/>
        <v>88.74</v>
      </c>
      <c r="G549" t="str">
        <f t="shared" ca="1" si="94"/>
        <v>personal</v>
      </c>
      <c r="H54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49" t="str">
        <f t="shared" ca="1" si="95"/>
        <v>Sí</v>
      </c>
      <c r="J54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49">
        <f ca="1">IF(Tabla2[[#This Row],[¿cliente deuda abierta?]]="Sí", Tabla2[[#This Row],[Deuda actual]]*Tabla2[[#This Row],[diferencia de días]], "0")</f>
        <v>0</v>
      </c>
      <c r="L54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4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49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549">
        <f t="shared" ca="1" si="96"/>
        <v>1306.2</v>
      </c>
      <c r="P549">
        <f t="shared" ca="1" si="97"/>
        <v>159792.59</v>
      </c>
      <c r="Q549">
        <f t="shared" ca="1" si="98"/>
        <v>4</v>
      </c>
      <c r="R549">
        <f ca="1">((Tabla2[[#This Row],[Fantasma Comunicación]]+1)/(Tabla2[[#This Row],[Fantasma Comunicación]]+RANDBETWEEN(0,5)+2))-0.5</f>
        <v>0.33333333333333337</v>
      </c>
      <c r="S549">
        <f ca="1">1+MAX(0,Tabla2[[#This Row],[Deuda actual]]/Tabla2[[#This Row],[Liquidez]]+Tabla2[[#This Row],[Liquidez]]/(Tabla2[[#This Row],[Activos]]+Tabla2[[#This Row],[Liquidez]])+Tabla2[[#This Row],[Comunicación]])</f>
        <v>1.4093789303899449</v>
      </c>
      <c r="T549">
        <f ca="1">Tabla2[[#This Row],[Deuda actual]]*EXP(Tabla2[[#This Row],[Ki]]*Tabla2[[#This Row],[diferencia de días]])*(1+Tabla2[[#This Row],[Hg]])</f>
        <v>88.74</v>
      </c>
    </row>
    <row r="550" spans="1:20" ht="14.5" x14ac:dyDescent="0.35">
      <c r="A550">
        <f t="shared" si="88"/>
        <v>549</v>
      </c>
      <c r="B550">
        <f t="shared" ca="1" si="89"/>
        <v>46090</v>
      </c>
      <c r="C550">
        <f t="shared" ca="1" si="90"/>
        <v>46157</v>
      </c>
      <c r="D550">
        <f t="shared" ca="1" si="91"/>
        <v>1</v>
      </c>
      <c r="E550">
        <f t="shared" ca="1" si="92"/>
        <v>0.47246009736664907</v>
      </c>
      <c r="F550">
        <f t="shared" ca="1" si="93"/>
        <v>776.68</v>
      </c>
      <c r="G550" t="str">
        <f t="shared" ca="1" si="94"/>
        <v>personal</v>
      </c>
      <c r="H55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50" t="str">
        <f t="shared" ca="1" si="95"/>
        <v>Sí</v>
      </c>
      <c r="J55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50">
        <f ca="1">IF(Tabla2[[#This Row],[¿cliente deuda abierta?]]="Sí", Tabla2[[#This Row],[Deuda actual]]*Tabla2[[#This Row],[diferencia de días]], "0")</f>
        <v>776.68</v>
      </c>
      <c r="L55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5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5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50">
        <f t="shared" ca="1" si="96"/>
        <v>1799.68</v>
      </c>
      <c r="P550">
        <f t="shared" ca="1" si="97"/>
        <v>173747.9</v>
      </c>
      <c r="Q550">
        <f t="shared" ca="1" si="98"/>
        <v>0</v>
      </c>
      <c r="R550">
        <f ca="1">((Tabla2[[#This Row],[Fantasma Comunicación]]+1)/(Tabla2[[#This Row],[Fantasma Comunicación]]+RANDBETWEEN(0,5)+2))-0.5</f>
        <v>-0.33333333333333337</v>
      </c>
      <c r="S550">
        <f ca="1">1+MAX(0,Tabla2[[#This Row],[Deuda actual]]/Tabla2[[#This Row],[Liquidez]]+Tabla2[[#This Row],[Liquidez]]/(Tabla2[[#This Row],[Activos]]+Tabla2[[#This Row],[Liquidez]])+Tabla2[[#This Row],[Comunicación]])</f>
        <v>1.1084840858466229</v>
      </c>
      <c r="T550">
        <f ca="1">Tabla2[[#This Row],[Deuda actual]]*EXP(Tabla2[[#This Row],[Ki]]*Tabla2[[#This Row],[diferencia de días]])*(1+Tabla2[[#This Row],[Hg]])</f>
        <v>815.67711911136746</v>
      </c>
    </row>
    <row r="551" spans="1:20" ht="14.5" x14ac:dyDescent="0.35">
      <c r="A551">
        <f t="shared" si="88"/>
        <v>550</v>
      </c>
      <c r="B551">
        <f t="shared" ca="1" si="89"/>
        <v>46107</v>
      </c>
      <c r="C551">
        <f t="shared" ca="1" si="90"/>
        <v>46157</v>
      </c>
      <c r="D551">
        <f t="shared" ca="1" si="91"/>
        <v>4</v>
      </c>
      <c r="E551">
        <f t="shared" ca="1" si="92"/>
        <v>0.95725642288349588</v>
      </c>
      <c r="F551">
        <f t="shared" ca="1" si="93"/>
        <v>2249.34</v>
      </c>
      <c r="G551" t="str">
        <f t="shared" ca="1" si="94"/>
        <v>hipotecario</v>
      </c>
      <c r="H55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51" t="str">
        <f t="shared" ca="1" si="95"/>
        <v>Sí</v>
      </c>
      <c r="J55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51">
        <f ca="1">IF(Tabla2[[#This Row],[¿cliente deuda abierta?]]="Sí", Tabla2[[#This Row],[Deuda actual]]*Tabla2[[#This Row],[diferencia de días]], "0")</f>
        <v>8997.36</v>
      </c>
      <c r="L55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5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5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51">
        <f t="shared" ca="1" si="96"/>
        <v>1459.95</v>
      </c>
      <c r="P551">
        <f t="shared" ca="1" si="97"/>
        <v>138860.13</v>
      </c>
      <c r="Q551">
        <f t="shared" ca="1" si="98"/>
        <v>2</v>
      </c>
      <c r="R551">
        <f ca="1">((Tabla2[[#This Row],[Fantasma Comunicación]]+1)/(Tabla2[[#This Row],[Fantasma Comunicación]]+RANDBETWEEN(0,5)+2))-0.5</f>
        <v>0</v>
      </c>
      <c r="S551">
        <f ca="1">1+MAX(0,Tabla2[[#This Row],[Deuda actual]]/Tabla2[[#This Row],[Liquidez]]+Tabla2[[#This Row],[Liquidez]]/(Tabla2[[#This Row],[Activos]]+Tabla2[[#This Row],[Liquidez]])+Tabla2[[#This Row],[Comunicación]])</f>
        <v>2.551101025991974</v>
      </c>
      <c r="T551">
        <f ca="1">Tabla2[[#This Row],[Deuda actual]]*EXP(Tabla2[[#This Row],[Ki]]*Tabla2[[#This Row],[diferencia de días]])*(1+Tabla2[[#This Row],[Hg]])</f>
        <v>2363.6972015798215</v>
      </c>
    </row>
    <row r="552" spans="1:20" ht="14.5" x14ac:dyDescent="0.35">
      <c r="A552">
        <f t="shared" si="88"/>
        <v>551</v>
      </c>
      <c r="B552">
        <f t="shared" ca="1" si="89"/>
        <v>46100</v>
      </c>
      <c r="C552">
        <f t="shared" ca="1" si="90"/>
        <v>46157</v>
      </c>
      <c r="D552">
        <f t="shared" ca="1" si="91"/>
        <v>9</v>
      </c>
      <c r="E552">
        <f t="shared" ca="1" si="92"/>
        <v>0.54434053263515603</v>
      </c>
      <c r="F552">
        <f t="shared" ca="1" si="93"/>
        <v>1108.46</v>
      </c>
      <c r="G552" t="str">
        <f t="shared" ca="1" si="94"/>
        <v>hipotecario</v>
      </c>
      <c r="H55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52" t="str">
        <f t="shared" ca="1" si="95"/>
        <v>No</v>
      </c>
      <c r="J55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165000.51108318244</v>
      </c>
      <c r="K552" t="str">
        <f ca="1">IF(Tabla2[[#This Row],[¿cliente deuda abierta?]]="Sí", Tabla2[[#This Row],[Deuda actual]]*Tabla2[[#This Row],[diferencia de días]], "0")</f>
        <v>0</v>
      </c>
      <c r="L55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5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5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52">
        <f t="shared" ca="1" si="96"/>
        <v>2278.46</v>
      </c>
      <c r="P552">
        <f t="shared" ca="1" si="97"/>
        <v>56050.27</v>
      </c>
      <c r="Q552">
        <f t="shared" ca="1" si="98"/>
        <v>5</v>
      </c>
      <c r="R552">
        <f ca="1">((Tabla2[[#This Row],[Fantasma Comunicación]]+1)/(Tabla2[[#This Row],[Fantasma Comunicación]]+RANDBETWEEN(0,5)+2))-0.5</f>
        <v>0.25</v>
      </c>
      <c r="S552">
        <f ca="1">1+MAX(0,Tabla2[[#This Row],[Deuda actual]]/Tabla2[[#This Row],[Liquidez]]+Tabla2[[#This Row],[Liquidez]]/(Tabla2[[#This Row],[Activos]]+Tabla2[[#This Row],[Liquidez]])+Tabla2[[#This Row],[Comunicación]])</f>
        <v>1.7755576612120769</v>
      </c>
      <c r="T552">
        <f ca="1">Tabla2[[#This Row],[Deuda actual]]*EXP(Tabla2[[#This Row],[Ki]]*Tabla2[[#This Row],[diferencia de días]])*(1+Tabla2[[#This Row],[Hg]])</f>
        <v>888.36561982648664</v>
      </c>
    </row>
    <row r="553" spans="1:20" ht="14.5" x14ac:dyDescent="0.35">
      <c r="A553">
        <f t="shared" si="88"/>
        <v>552</v>
      </c>
      <c r="B553">
        <f t="shared" ca="1" si="89"/>
        <v>46123</v>
      </c>
      <c r="C553">
        <f t="shared" ca="1" si="90"/>
        <v>46157</v>
      </c>
      <c r="D553">
        <f t="shared" ca="1" si="91"/>
        <v>7</v>
      </c>
      <c r="E553">
        <f t="shared" ca="1" si="92"/>
        <v>0.52176348096515568</v>
      </c>
      <c r="F553">
        <f t="shared" ca="1" si="93"/>
        <v>1948.76</v>
      </c>
      <c r="G553" t="str">
        <f t="shared" ca="1" si="94"/>
        <v>personal</v>
      </c>
      <c r="H55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53" t="str">
        <f t="shared" ca="1" si="95"/>
        <v>No</v>
      </c>
      <c r="J55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11998.806722696327</v>
      </c>
      <c r="K553" t="str">
        <f ca="1">IF(Tabla2[[#This Row],[¿cliente deuda abierta?]]="Sí", Tabla2[[#This Row],[Deuda actual]]*Tabla2[[#This Row],[diferencia de días]], "0")</f>
        <v>0</v>
      </c>
      <c r="L55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5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55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553">
        <f t="shared" ca="1" si="96"/>
        <v>1128.6300000000001</v>
      </c>
      <c r="P553">
        <f t="shared" ca="1" si="97"/>
        <v>142622.93</v>
      </c>
      <c r="Q553">
        <f t="shared" ca="1" si="98"/>
        <v>5</v>
      </c>
      <c r="R553">
        <f ca="1">((Tabla2[[#This Row],[Fantasma Comunicación]]+1)/(Tabla2[[#This Row],[Fantasma Comunicación]]+RANDBETWEEN(0,5)+2))-0.5</f>
        <v>0.16666666666666663</v>
      </c>
      <c r="S553">
        <f ca="1">1+MAX(0,Tabla2[[#This Row],[Deuda actual]]/Tabla2[[#This Row],[Liquidez]]+Tabla2[[#This Row],[Liquidez]]/(Tabla2[[#This Row],[Activos]]+Tabla2[[#This Row],[Liquidez]])+Tabla2[[#This Row],[Comunicación]])</f>
        <v>2.9011776762268635</v>
      </c>
      <c r="T553">
        <f ca="1">Tabla2[[#This Row],[Deuda actual]]*EXP(Tabla2[[#This Row],[Ki]]*Tabla2[[#This Row],[diferencia de días]])*(1+Tabla2[[#This Row],[Hg]])</f>
        <v>1756.3411572087107</v>
      </c>
    </row>
    <row r="554" spans="1:20" ht="14.5" x14ac:dyDescent="0.35">
      <c r="A554">
        <f t="shared" si="88"/>
        <v>553</v>
      </c>
      <c r="B554">
        <f t="shared" ca="1" si="89"/>
        <v>46097</v>
      </c>
      <c r="C554">
        <f t="shared" ca="1" si="90"/>
        <v>46157</v>
      </c>
      <c r="D554">
        <f t="shared" ca="1" si="91"/>
        <v>14</v>
      </c>
      <c r="E554">
        <f t="shared" ca="1" si="92"/>
        <v>0.42137418883032929</v>
      </c>
      <c r="F554">
        <f t="shared" ca="1" si="93"/>
        <v>1826.45</v>
      </c>
      <c r="G554" t="str">
        <f t="shared" ca="1" si="94"/>
        <v>personal</v>
      </c>
      <c r="H55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54" t="str">
        <f t="shared" ca="1" si="95"/>
        <v>Sí</v>
      </c>
      <c r="J55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54">
        <f ca="1">IF(Tabla2[[#This Row],[¿cliente deuda abierta?]]="Sí", Tabla2[[#This Row],[Deuda actual]]*Tabla2[[#This Row],[diferencia de días]], "0")</f>
        <v>25570.3</v>
      </c>
      <c r="L55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5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5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54">
        <f t="shared" ca="1" si="96"/>
        <v>1914.1</v>
      </c>
      <c r="P554">
        <f t="shared" ca="1" si="97"/>
        <v>96950.11</v>
      </c>
      <c r="Q554">
        <f t="shared" ca="1" si="98"/>
        <v>4</v>
      </c>
      <c r="R554">
        <f ca="1">((Tabla2[[#This Row],[Fantasma Comunicación]]+1)/(Tabla2[[#This Row],[Fantasma Comunicación]]+RANDBETWEEN(0,5)+2))-0.5</f>
        <v>0.33333333333333337</v>
      </c>
      <c r="S554">
        <f ca="1">1+MAX(0,Tabla2[[#This Row],[Deuda actual]]/Tabla2[[#This Row],[Liquidez]]+Tabla2[[#This Row],[Liquidez]]/(Tabla2[[#This Row],[Activos]]+Tabla2[[#This Row],[Liquidez]])+Tabla2[[#This Row],[Comunicación]])</f>
        <v>2.3069024765732449</v>
      </c>
      <c r="T554">
        <f ca="1">Tabla2[[#This Row],[Deuda actual]]*EXP(Tabla2[[#This Row],[Ki]]*Tabla2[[#This Row],[diferencia de días]])*(1+Tabla2[[#This Row],[Hg]])</f>
        <v>1923.1497876896046</v>
      </c>
    </row>
    <row r="555" spans="1:20" ht="14.5" x14ac:dyDescent="0.35">
      <c r="A555">
        <f t="shared" si="88"/>
        <v>554</v>
      </c>
      <c r="B555">
        <f t="shared" ca="1" si="89"/>
        <v>46121</v>
      </c>
      <c r="C555">
        <f t="shared" ca="1" si="90"/>
        <v>46157</v>
      </c>
      <c r="D555">
        <f t="shared" ca="1" si="91"/>
        <v>3</v>
      </c>
      <c r="E555">
        <f t="shared" ca="1" si="92"/>
        <v>0.27271138361868408</v>
      </c>
      <c r="F555">
        <f t="shared" ca="1" si="93"/>
        <v>10000</v>
      </c>
      <c r="G555" t="str">
        <f t="shared" ca="1" si="94"/>
        <v>hipotecario</v>
      </c>
      <c r="H55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55" t="str">
        <f t="shared" ca="1" si="95"/>
        <v>Sí</v>
      </c>
      <c r="J55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55">
        <f ca="1">IF(Tabla2[[#This Row],[¿cliente deuda abierta?]]="Sí", Tabla2[[#This Row],[Deuda actual]]*Tabla2[[#This Row],[diferencia de días]], "0")</f>
        <v>30000</v>
      </c>
      <c r="L55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55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55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555">
        <f t="shared" ca="1" si="96"/>
        <v>1740.3</v>
      </c>
      <c r="P555">
        <f t="shared" ca="1" si="97"/>
        <v>121060.05</v>
      </c>
      <c r="Q555">
        <f t="shared" ca="1" si="98"/>
        <v>2</v>
      </c>
      <c r="R555">
        <f ca="1">((Tabla2[[#This Row],[Fantasma Comunicación]]+1)/(Tabla2[[#This Row],[Fantasma Comunicación]]+RANDBETWEEN(0,5)+2))-0.5</f>
        <v>0.25</v>
      </c>
      <c r="S555">
        <f ca="1">1+MAX(0,Tabla2[[#This Row],[Deuda actual]]/Tabla2[[#This Row],[Liquidez]]+Tabla2[[#This Row],[Liquidez]]/(Tabla2[[#This Row],[Activos]]+Tabla2[[#This Row],[Liquidez]])+Tabla2[[#This Row],[Comunicación]])</f>
        <v>7.0103075074381378</v>
      </c>
      <c r="T555">
        <f ca="1">Tabla2[[#This Row],[Deuda actual]]*EXP(Tabla2[[#This Row],[Ki]]*Tabla2[[#This Row],[diferencia de días]])*(1+Tabla2[[#This Row],[Hg]])</f>
        <v>11006.601980396061</v>
      </c>
    </row>
    <row r="556" spans="1:20" ht="14.5" x14ac:dyDescent="0.35">
      <c r="A556">
        <f t="shared" si="88"/>
        <v>555</v>
      </c>
      <c r="B556">
        <f t="shared" ca="1" si="89"/>
        <v>46106</v>
      </c>
      <c r="C556">
        <f t="shared" ca="1" si="90"/>
        <v>46157</v>
      </c>
      <c r="D556">
        <f t="shared" ca="1" si="91"/>
        <v>3</v>
      </c>
      <c r="E556">
        <f t="shared" ca="1" si="92"/>
        <v>0.42818414053791198</v>
      </c>
      <c r="F556">
        <f t="shared" ca="1" si="93"/>
        <v>190.77</v>
      </c>
      <c r="G556" t="str">
        <f t="shared" ca="1" si="94"/>
        <v>hipotecario</v>
      </c>
      <c r="H55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56" t="str">
        <f t="shared" ca="1" si="95"/>
        <v>Sí</v>
      </c>
      <c r="J55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56">
        <f ca="1">IF(Tabla2[[#This Row],[¿cliente deuda abierta?]]="Sí", Tabla2[[#This Row],[Deuda actual]]*Tabla2[[#This Row],[diferencia de días]], "0")</f>
        <v>572.31000000000006</v>
      </c>
      <c r="L55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5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5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56">
        <f t="shared" ca="1" si="96"/>
        <v>1547.97</v>
      </c>
      <c r="P556">
        <f t="shared" ca="1" si="97"/>
        <v>86189.94</v>
      </c>
      <c r="Q556">
        <f t="shared" ca="1" si="98"/>
        <v>5</v>
      </c>
      <c r="R556">
        <f ca="1">((Tabla2[[#This Row],[Fantasma Comunicación]]+1)/(Tabla2[[#This Row],[Fantasma Comunicación]]+RANDBETWEEN(0,5)+2))-0.5</f>
        <v>0</v>
      </c>
      <c r="S556">
        <f ca="1">1+MAX(0,Tabla2[[#This Row],[Deuda actual]]/Tabla2[[#This Row],[Liquidez]]+Tabla2[[#This Row],[Liquidez]]/(Tabla2[[#This Row],[Activos]]+Tabla2[[#This Row],[Liquidez]])+Tabla2[[#This Row],[Comunicación]])</f>
        <v>1.1408819370476047</v>
      </c>
      <c r="T556">
        <f ca="1">Tabla2[[#This Row],[Deuda actual]]*EXP(Tabla2[[#This Row],[Ki]]*Tabla2[[#This Row],[diferencia de días]])*(1+Tabla2[[#This Row],[Hg]])</f>
        <v>200.42872116274222</v>
      </c>
    </row>
    <row r="557" spans="1:20" ht="14.5" x14ac:dyDescent="0.35">
      <c r="A557">
        <f t="shared" si="88"/>
        <v>556</v>
      </c>
      <c r="B557">
        <f t="shared" ca="1" si="89"/>
        <v>46119</v>
      </c>
      <c r="C557">
        <f t="shared" ca="1" si="90"/>
        <v>46157</v>
      </c>
      <c r="D557">
        <f t="shared" ca="1" si="91"/>
        <v>16</v>
      </c>
      <c r="E557">
        <f t="shared" ca="1" si="92"/>
        <v>0.10961400091528106</v>
      </c>
      <c r="F557">
        <f t="shared" ca="1" si="93"/>
        <v>2756.3</v>
      </c>
      <c r="G557" t="str">
        <f t="shared" ca="1" si="94"/>
        <v>personal</v>
      </c>
      <c r="H55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57" t="str">
        <f t="shared" ca="1" si="95"/>
        <v>No</v>
      </c>
      <c r="J55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12000.736702920049</v>
      </c>
      <c r="K557" t="str">
        <f ca="1">IF(Tabla2[[#This Row],[¿cliente deuda abierta?]]="Sí", Tabla2[[#This Row],[Deuda actual]]*Tabla2[[#This Row],[diferencia de días]], "0")</f>
        <v>0</v>
      </c>
      <c r="L55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5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557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557">
        <f t="shared" ca="1" si="96"/>
        <v>1755.09</v>
      </c>
      <c r="P557">
        <f t="shared" ca="1" si="97"/>
        <v>279219.05</v>
      </c>
      <c r="Q557">
        <f t="shared" ca="1" si="98"/>
        <v>4</v>
      </c>
      <c r="R557">
        <f ca="1">((Tabla2[[#This Row],[Fantasma Comunicación]]+1)/(Tabla2[[#This Row],[Fantasma Comunicación]]+RANDBETWEEN(0,5)+2))-0.5</f>
        <v>0.33333333333333337</v>
      </c>
      <c r="S557">
        <f ca="1">1+MAX(0,Tabla2[[#This Row],[Deuda actual]]/Tabla2[[#This Row],[Liquidez]]+Tabla2[[#This Row],[Liquidez]]/(Tabla2[[#This Row],[Activos]]+Tabla2[[#This Row],[Liquidez]])+Tabla2[[#This Row],[Comunicación]])</f>
        <v>2.9100405541617462</v>
      </c>
      <c r="T557">
        <f ca="1">Tabla2[[#This Row],[Deuda actual]]*EXP(Tabla2[[#This Row],[Ki]]*Tabla2[[#This Row],[diferencia de días]])*(1+Tabla2[[#This Row],[Hg]])</f>
        <v>2496.59720067736</v>
      </c>
    </row>
    <row r="558" spans="1:20" ht="14.5" x14ac:dyDescent="0.35">
      <c r="A558">
        <f t="shared" si="88"/>
        <v>557</v>
      </c>
      <c r="B558">
        <f t="shared" ca="1" si="89"/>
        <v>46141</v>
      </c>
      <c r="C558">
        <f t="shared" ca="1" si="90"/>
        <v>46157</v>
      </c>
      <c r="D558">
        <f t="shared" ca="1" si="91"/>
        <v>18</v>
      </c>
      <c r="E558">
        <f t="shared" ca="1" si="92"/>
        <v>0.90917138998737401</v>
      </c>
      <c r="F558">
        <f t="shared" ca="1" si="93"/>
        <v>585.5</v>
      </c>
      <c r="G558" t="str">
        <f t="shared" ca="1" si="94"/>
        <v>hipotecario</v>
      </c>
      <c r="H55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58" t="str">
        <f t="shared" ca="1" si="95"/>
        <v>Sí</v>
      </c>
      <c r="J55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58">
        <f ca="1">IF(Tabla2[[#This Row],[¿cliente deuda abierta?]]="Sí", Tabla2[[#This Row],[Deuda actual]]*Tabla2[[#This Row],[diferencia de días]], "0")</f>
        <v>10539</v>
      </c>
      <c r="L55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5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5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58">
        <f t="shared" ca="1" si="96"/>
        <v>1660.88</v>
      </c>
      <c r="P558">
        <f t="shared" ca="1" si="97"/>
        <v>118341.34</v>
      </c>
      <c r="Q558">
        <f t="shared" ca="1" si="98"/>
        <v>4</v>
      </c>
      <c r="R558">
        <f ca="1">((Tabla2[[#This Row],[Fantasma Comunicación]]+1)/(Tabla2[[#This Row],[Fantasma Comunicación]]+RANDBETWEEN(0,5)+2))-0.5</f>
        <v>-4.545454545454547E-2</v>
      </c>
      <c r="S558">
        <f ca="1">1+MAX(0,Tabla2[[#This Row],[Deuda actual]]/Tabla2[[#This Row],[Liquidez]]+Tabla2[[#This Row],[Liquidez]]/(Tabla2[[#This Row],[Activos]]+Tabla2[[#This Row],[Liquidez]])+Tabla2[[#This Row],[Comunicación]])</f>
        <v>1.3209098283647558</v>
      </c>
      <c r="T558">
        <f ca="1">Tabla2[[#This Row],[Deuda actual]]*EXP(Tabla2[[#This Row],[Ki]]*Tabla2[[#This Row],[diferencia de días]])*(1+Tabla2[[#This Row],[Hg]])</f>
        <v>619.21735328086163</v>
      </c>
    </row>
    <row r="559" spans="1:20" ht="14.5" x14ac:dyDescent="0.35">
      <c r="A559">
        <f t="shared" si="88"/>
        <v>558</v>
      </c>
      <c r="B559">
        <f t="shared" ca="1" si="89"/>
        <v>46127</v>
      </c>
      <c r="C559">
        <f t="shared" ca="1" si="90"/>
        <v>46157</v>
      </c>
      <c r="D559">
        <f t="shared" ca="1" si="91"/>
        <v>3</v>
      </c>
      <c r="E559">
        <f t="shared" ca="1" si="92"/>
        <v>0.2903285842405009</v>
      </c>
      <c r="F559">
        <f t="shared" ca="1" si="93"/>
        <v>1932.65</v>
      </c>
      <c r="G559" t="str">
        <f t="shared" ca="1" si="94"/>
        <v>hipotecario</v>
      </c>
      <c r="H55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59" t="str">
        <f t="shared" ca="1" si="95"/>
        <v>No</v>
      </c>
      <c r="J55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165000.6396882954</v>
      </c>
      <c r="K559" t="str">
        <f ca="1">IF(Tabla2[[#This Row],[¿cliente deuda abierta?]]="Sí", Tabla2[[#This Row],[Deuda actual]]*Tabla2[[#This Row],[diferencia de días]], "0")</f>
        <v>0</v>
      </c>
      <c r="L55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5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59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59">
        <f t="shared" ca="1" si="96"/>
        <v>1190.21</v>
      </c>
      <c r="P559">
        <f t="shared" ca="1" si="97"/>
        <v>206222.64</v>
      </c>
      <c r="Q559">
        <f t="shared" ca="1" si="98"/>
        <v>2</v>
      </c>
      <c r="R559">
        <f ca="1">((Tabla2[[#This Row],[Fantasma Comunicación]]+1)/(Tabla2[[#This Row],[Fantasma Comunicación]]+RANDBETWEEN(0,5)+2))-0.5</f>
        <v>-0.125</v>
      </c>
      <c r="S559">
        <f ca="1">1+MAX(0,Tabla2[[#This Row],[Deuda actual]]/Tabla2[[#This Row],[Liquidez]]+Tabla2[[#This Row],[Liquidez]]/(Tabla2[[#This Row],[Activos]]+Tabla2[[#This Row],[Liquidez]])+Tabla2[[#This Row],[Comunicación]])</f>
        <v>2.5045274411573528</v>
      </c>
      <c r="T559">
        <f ca="1">Tabla2[[#This Row],[Deuda actual]]*EXP(Tabla2[[#This Row],[Ki]]*Tabla2[[#This Row],[diferencia de días]])*(1+Tabla2[[#This Row],[Hg]])</f>
        <v>1547.0479503572687</v>
      </c>
    </row>
    <row r="560" spans="1:20" ht="14.5" x14ac:dyDescent="0.35">
      <c r="A560">
        <f t="shared" si="88"/>
        <v>559</v>
      </c>
      <c r="B560">
        <f t="shared" ca="1" si="89"/>
        <v>46127</v>
      </c>
      <c r="C560">
        <f t="shared" ca="1" si="90"/>
        <v>46157</v>
      </c>
      <c r="D560">
        <f t="shared" ca="1" si="91"/>
        <v>18</v>
      </c>
      <c r="E560">
        <f t="shared" ca="1" si="92"/>
        <v>0.39593803745771716</v>
      </c>
      <c r="F560">
        <f t="shared" ca="1" si="93"/>
        <v>2029.08</v>
      </c>
      <c r="G560" t="str">
        <f t="shared" ca="1" si="94"/>
        <v>personal</v>
      </c>
      <c r="H56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60" t="str">
        <f t="shared" ca="1" si="95"/>
        <v>Sí</v>
      </c>
      <c r="J56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60">
        <f ca="1">IF(Tabla2[[#This Row],[¿cliente deuda abierta?]]="Sí", Tabla2[[#This Row],[Deuda actual]]*Tabla2[[#This Row],[diferencia de días]], "0")</f>
        <v>36523.440000000002</v>
      </c>
      <c r="L56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56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60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560">
        <f t="shared" ca="1" si="96"/>
        <v>2189.4899999999998</v>
      </c>
      <c r="P560">
        <f t="shared" ca="1" si="97"/>
        <v>79746.850000000006</v>
      </c>
      <c r="Q560">
        <f t="shared" ca="1" si="98"/>
        <v>1</v>
      </c>
      <c r="R560">
        <f ca="1">((Tabla2[[#This Row],[Fantasma Comunicación]]+1)/(Tabla2[[#This Row],[Fantasma Comunicación]]+RANDBETWEEN(0,5)+2))-0.5</f>
        <v>-9.9999999999999978E-2</v>
      </c>
      <c r="S560">
        <f ca="1">1+MAX(0,Tabla2[[#This Row],[Deuda actual]]/Tabla2[[#This Row],[Liquidez]]+Tabla2[[#This Row],[Liquidez]]/(Tabla2[[#This Row],[Activos]]+Tabla2[[#This Row],[Liquidez]])+Tabla2[[#This Row],[Comunicación]])</f>
        <v>1.8534582060982254</v>
      </c>
      <c r="T560">
        <f ca="1">Tabla2[[#This Row],[Deuda actual]]*EXP(Tabla2[[#This Row],[Ki]]*Tabla2[[#This Row],[diferencia de días]])*(1+Tabla2[[#This Row],[Hg]])</f>
        <v>2248.1163058267557</v>
      </c>
    </row>
    <row r="561" spans="1:20" ht="14.5" x14ac:dyDescent="0.35">
      <c r="A561">
        <f t="shared" si="88"/>
        <v>560</v>
      </c>
      <c r="B561">
        <f t="shared" ca="1" si="89"/>
        <v>46117</v>
      </c>
      <c r="C561">
        <f t="shared" ca="1" si="90"/>
        <v>46157</v>
      </c>
      <c r="D561">
        <f t="shared" ca="1" si="91"/>
        <v>32</v>
      </c>
      <c r="E561">
        <f t="shared" ca="1" si="92"/>
        <v>0.56872885376186366</v>
      </c>
      <c r="F561">
        <f t="shared" ca="1" si="93"/>
        <v>1525.01</v>
      </c>
      <c r="G561" t="str">
        <f t="shared" ca="1" si="94"/>
        <v>hipotecario</v>
      </c>
      <c r="H56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561" t="str">
        <f t="shared" ca="1" si="95"/>
        <v>No</v>
      </c>
      <c r="J56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164999.61437747921</v>
      </c>
      <c r="K561" t="str">
        <f ca="1">IF(Tabla2[[#This Row],[¿cliente deuda abierta?]]="Sí", Tabla2[[#This Row],[Deuda actual]]*Tabla2[[#This Row],[diferencia de días]], "0")</f>
        <v>0</v>
      </c>
      <c r="L56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6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61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61">
        <f t="shared" ca="1" si="96"/>
        <v>2593.7800000000002</v>
      </c>
      <c r="P561">
        <f t="shared" ca="1" si="97"/>
        <v>184569.18</v>
      </c>
      <c r="Q561">
        <f t="shared" ca="1" si="98"/>
        <v>1</v>
      </c>
      <c r="R561">
        <f ca="1">((Tabla2[[#This Row],[Fantasma Comunicación]]+1)/(Tabla2[[#This Row],[Fantasma Comunicación]]+RANDBETWEEN(0,5)+2))-0.5</f>
        <v>0</v>
      </c>
      <c r="S561">
        <f ca="1">1+MAX(0,Tabla2[[#This Row],[Deuda actual]]/Tabla2[[#This Row],[Liquidez]]+Tabla2[[#This Row],[Liquidez]]/(Tabla2[[#This Row],[Activos]]+Tabla2[[#This Row],[Liquidez]])+Tabla2[[#This Row],[Comunicación]])</f>
        <v>1.6018072667402987</v>
      </c>
      <c r="T561">
        <f ca="1">Tabla2[[#This Row],[Deuda actual]]*EXP(Tabla2[[#This Row],[Ki]]*Tabla2[[#This Row],[diferencia de días]])*(1+Tabla2[[#This Row],[Hg]])</f>
        <v>1259.6796166122867</v>
      </c>
    </row>
    <row r="562" spans="1:20" ht="14.5" x14ac:dyDescent="0.35">
      <c r="A562">
        <f t="shared" si="88"/>
        <v>561</v>
      </c>
      <c r="B562">
        <f t="shared" ca="1" si="89"/>
        <v>46126</v>
      </c>
      <c r="C562">
        <f t="shared" ca="1" si="90"/>
        <v>46157</v>
      </c>
      <c r="D562">
        <f t="shared" ca="1" si="91"/>
        <v>46</v>
      </c>
      <c r="E562">
        <f t="shared" ca="1" si="92"/>
        <v>0.31597039511665836</v>
      </c>
      <c r="F562">
        <f t="shared" ca="1" si="93"/>
        <v>48.95</v>
      </c>
      <c r="G562" t="str">
        <f t="shared" ca="1" si="94"/>
        <v>hipotecario</v>
      </c>
      <c r="H56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562" t="str">
        <f t="shared" ca="1" si="95"/>
        <v>No</v>
      </c>
      <c r="J56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165000.46449057641</v>
      </c>
      <c r="K562" t="str">
        <f ca="1">IF(Tabla2[[#This Row],[¿cliente deuda abierta?]]="Sí", Tabla2[[#This Row],[Deuda actual]]*Tabla2[[#This Row],[diferencia de días]], "0")</f>
        <v>0</v>
      </c>
      <c r="L56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6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6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62">
        <f t="shared" ca="1" si="96"/>
        <v>2488.44</v>
      </c>
      <c r="P562">
        <f t="shared" ca="1" si="97"/>
        <v>95482.47</v>
      </c>
      <c r="Q562">
        <f t="shared" ca="1" si="98"/>
        <v>5</v>
      </c>
      <c r="R562">
        <f ca="1">((Tabla2[[#This Row],[Fantasma Comunicación]]+1)/(Tabla2[[#This Row],[Fantasma Comunicación]]+RANDBETWEEN(0,5)+2))-0.5</f>
        <v>9.9999999999999978E-2</v>
      </c>
      <c r="S562">
        <f ca="1">1+MAX(0,Tabla2[[#This Row],[Deuda actual]]/Tabla2[[#This Row],[Liquidez]]+Tabla2[[#This Row],[Liquidez]]/(Tabla2[[#This Row],[Activos]]+Tabla2[[#This Row],[Liquidez]])+Tabla2[[#This Row],[Comunicación]])</f>
        <v>1.1450707429992084</v>
      </c>
      <c r="T562">
        <f ca="1">Tabla2[[#This Row],[Deuda actual]]*EXP(Tabla2[[#This Row],[Ki]]*Tabla2[[#This Row],[diferencia de días]])*(1+Tabla2[[#This Row],[Hg]])</f>
        <v>41.003433933073666</v>
      </c>
    </row>
    <row r="563" spans="1:20" ht="14.5" x14ac:dyDescent="0.35">
      <c r="A563">
        <f t="shared" si="88"/>
        <v>562</v>
      </c>
      <c r="B563">
        <f t="shared" ca="1" si="89"/>
        <v>46136</v>
      </c>
      <c r="C563">
        <f t="shared" ca="1" si="90"/>
        <v>46157</v>
      </c>
      <c r="D563">
        <f t="shared" ca="1" si="91"/>
        <v>16</v>
      </c>
      <c r="E563">
        <f t="shared" ca="1" si="92"/>
        <v>0.31796102648609736</v>
      </c>
      <c r="F563">
        <f t="shared" ca="1" si="93"/>
        <v>4424.3599999999997</v>
      </c>
      <c r="G563" t="str">
        <f t="shared" ca="1" si="94"/>
        <v>personal</v>
      </c>
      <c r="H56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63" t="str">
        <f t="shared" ca="1" si="95"/>
        <v>Sí</v>
      </c>
      <c r="J56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63">
        <f ca="1">IF(Tabla2[[#This Row],[¿cliente deuda abierta?]]="Sí", Tabla2[[#This Row],[Deuda actual]]*Tabla2[[#This Row],[diferencia de días]], "0")</f>
        <v>70789.759999999995</v>
      </c>
      <c r="L56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56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63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563">
        <f t="shared" ca="1" si="96"/>
        <v>1438.11</v>
      </c>
      <c r="P563">
        <f t="shared" ca="1" si="97"/>
        <v>707123.96</v>
      </c>
      <c r="Q563">
        <f t="shared" ca="1" si="98"/>
        <v>3</v>
      </c>
      <c r="R563">
        <f ca="1">((Tabla2[[#This Row],[Fantasma Comunicación]]+1)/(Tabla2[[#This Row],[Fantasma Comunicación]]+RANDBETWEEN(0,5)+2))-0.5</f>
        <v>0.30000000000000004</v>
      </c>
      <c r="S563">
        <f ca="1">1+MAX(0,Tabla2[[#This Row],[Deuda actual]]/Tabla2[[#This Row],[Liquidez]]+Tabla2[[#This Row],[Liquidez]]/(Tabla2[[#This Row],[Activos]]+Tabla2[[#This Row],[Liquidez]])+Tabla2[[#This Row],[Comunicación]])</f>
        <v>4.3785397593156201</v>
      </c>
      <c r="T563">
        <f ca="1">Tabla2[[#This Row],[Deuda actual]]*EXP(Tabla2[[#This Row],[Ki]]*Tabla2[[#This Row],[diferencia de días]])*(1+Tabla2[[#This Row],[Hg]])</f>
        <v>5120.6817147815764</v>
      </c>
    </row>
    <row r="564" spans="1:20" ht="14.5" x14ac:dyDescent="0.35">
      <c r="A564">
        <f t="shared" si="88"/>
        <v>563</v>
      </c>
      <c r="B564">
        <f t="shared" ca="1" si="89"/>
        <v>46122</v>
      </c>
      <c r="C564">
        <f t="shared" ca="1" si="90"/>
        <v>46157</v>
      </c>
      <c r="D564">
        <f t="shared" ca="1" si="91"/>
        <v>0</v>
      </c>
      <c r="E564">
        <f t="shared" ca="1" si="92"/>
        <v>0.77306351204827717</v>
      </c>
      <c r="F564">
        <f t="shared" ca="1" si="93"/>
        <v>1303.1600000000001</v>
      </c>
      <c r="G564" t="str">
        <f t="shared" ca="1" si="94"/>
        <v>hipotecario</v>
      </c>
      <c r="H56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64" t="str">
        <f t="shared" ca="1" si="95"/>
        <v>Sí</v>
      </c>
      <c r="J56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64">
        <f ca="1">IF(Tabla2[[#This Row],[¿cliente deuda abierta?]]="Sí", Tabla2[[#This Row],[Deuda actual]]*Tabla2[[#This Row],[diferencia de días]], "0")</f>
        <v>0</v>
      </c>
      <c r="L56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6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64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564">
        <f t="shared" ca="1" si="96"/>
        <v>1822.99</v>
      </c>
      <c r="P564">
        <f t="shared" ca="1" si="97"/>
        <v>222151.14</v>
      </c>
      <c r="Q564">
        <f t="shared" ca="1" si="98"/>
        <v>4</v>
      </c>
      <c r="R564">
        <f ca="1">((Tabla2[[#This Row],[Fantasma Comunicación]]+1)/(Tabla2[[#This Row],[Fantasma Comunicación]]+RANDBETWEEN(0,5)+2))-0.5</f>
        <v>0.33333333333333337</v>
      </c>
      <c r="S564">
        <f ca="1">1+MAX(0,Tabla2[[#This Row],[Deuda actual]]/Tabla2[[#This Row],[Liquidez]]+Tabla2[[#This Row],[Liquidez]]/(Tabla2[[#This Row],[Activos]]+Tabla2[[#This Row],[Liquidez]])+Tabla2[[#This Row],[Comunicación]])</f>
        <v>2.0563202071227238</v>
      </c>
      <c r="T564">
        <f ca="1">Tabla2[[#This Row],[Deuda actual]]*EXP(Tabla2[[#This Row],[Ki]]*Tabla2[[#This Row],[diferencia de días]])*(1+Tabla2[[#This Row],[Hg]])</f>
        <v>1303.1600000000001</v>
      </c>
    </row>
    <row r="565" spans="1:20" ht="14.5" x14ac:dyDescent="0.35">
      <c r="A565">
        <f t="shared" si="88"/>
        <v>564</v>
      </c>
      <c r="B565">
        <f t="shared" ca="1" si="89"/>
        <v>46121</v>
      </c>
      <c r="C565">
        <f t="shared" ca="1" si="90"/>
        <v>46157</v>
      </c>
      <c r="D565">
        <f t="shared" ca="1" si="91"/>
        <v>11</v>
      </c>
      <c r="E565">
        <f t="shared" ca="1" si="92"/>
        <v>0.85572956793661359</v>
      </c>
      <c r="F565">
        <f t="shared" ca="1" si="93"/>
        <v>459.36</v>
      </c>
      <c r="G565" t="str">
        <f t="shared" ca="1" si="94"/>
        <v>hipotecario</v>
      </c>
      <c r="H56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65" t="str">
        <f t="shared" ca="1" si="95"/>
        <v>No</v>
      </c>
      <c r="J56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164999.51900754322</v>
      </c>
      <c r="K565" t="str">
        <f ca="1">IF(Tabla2[[#This Row],[¿cliente deuda abierta?]]="Sí", Tabla2[[#This Row],[Deuda actual]]*Tabla2[[#This Row],[diferencia de días]], "0")</f>
        <v>0</v>
      </c>
      <c r="L56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6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65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65">
        <f t="shared" ca="1" si="96"/>
        <v>1818.85</v>
      </c>
      <c r="P565">
        <f t="shared" ca="1" si="97"/>
        <v>126488.23</v>
      </c>
      <c r="Q565">
        <f t="shared" ca="1" si="98"/>
        <v>3</v>
      </c>
      <c r="R565">
        <f ca="1">((Tabla2[[#This Row],[Fantasma Comunicación]]+1)/(Tabla2[[#This Row],[Fantasma Comunicación]]+RANDBETWEEN(0,5)+2))-0.5</f>
        <v>-5.555555555555558E-2</v>
      </c>
      <c r="S565">
        <f ca="1">1+MAX(0,Tabla2[[#This Row],[Deuda actual]]/Tabla2[[#This Row],[Liquidez]]+Tabla2[[#This Row],[Liquidez]]/(Tabla2[[#This Row],[Activos]]+Tabla2[[#This Row],[Liquidez]])+Tabla2[[#This Row],[Comunicación]])</f>
        <v>1.2111753875113385</v>
      </c>
      <c r="T565">
        <f ca="1">Tabla2[[#This Row],[Deuda actual]]*EXP(Tabla2[[#This Row],[Ki]]*Tabla2[[#This Row],[diferencia de días]])*(1+Tabla2[[#This Row],[Hg]])</f>
        <v>368.29736357348759</v>
      </c>
    </row>
    <row r="566" spans="1:20" ht="14.5" x14ac:dyDescent="0.35">
      <c r="A566">
        <f t="shared" si="88"/>
        <v>565</v>
      </c>
      <c r="B566">
        <f t="shared" ca="1" si="89"/>
        <v>46084</v>
      </c>
      <c r="C566">
        <f t="shared" ca="1" si="90"/>
        <v>46157</v>
      </c>
      <c r="D566">
        <f t="shared" ca="1" si="91"/>
        <v>20</v>
      </c>
      <c r="E566">
        <f t="shared" ca="1" si="92"/>
        <v>0.84680368626687208</v>
      </c>
      <c r="F566">
        <f t="shared" ca="1" si="93"/>
        <v>1936.53</v>
      </c>
      <c r="G566" t="str">
        <f t="shared" ca="1" si="94"/>
        <v>hipotecario</v>
      </c>
      <c r="H56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66" t="str">
        <f t="shared" ca="1" si="95"/>
        <v>Sí</v>
      </c>
      <c r="J56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66">
        <f ca="1">IF(Tabla2[[#This Row],[¿cliente deuda abierta?]]="Sí", Tabla2[[#This Row],[Deuda actual]]*Tabla2[[#This Row],[diferencia de días]], "0")</f>
        <v>38730.6</v>
      </c>
      <c r="L56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56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66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566">
        <f t="shared" ca="1" si="96"/>
        <v>1564.69</v>
      </c>
      <c r="P566">
        <f t="shared" ca="1" si="97"/>
        <v>50812.83</v>
      </c>
      <c r="Q566">
        <f t="shared" ca="1" si="98"/>
        <v>5</v>
      </c>
      <c r="R566">
        <f ca="1">((Tabla2[[#This Row],[Fantasma Comunicación]]+1)/(Tabla2[[#This Row],[Fantasma Comunicación]]+RANDBETWEEN(0,5)+2))-0.5</f>
        <v>0.3571428571428571</v>
      </c>
      <c r="S566">
        <f ca="1">1+MAX(0,Tabla2[[#This Row],[Deuda actual]]/Tabla2[[#This Row],[Liquidez]]+Tabla2[[#This Row],[Liquidez]]/(Tabla2[[#This Row],[Activos]]+Tabla2[[#This Row],[Liquidez]])+Tabla2[[#This Row],[Comunicación]])</f>
        <v>2.6246606866493285</v>
      </c>
      <c r="T566">
        <f ca="1">Tabla2[[#This Row],[Deuda actual]]*EXP(Tabla2[[#This Row],[Ki]]*Tabla2[[#This Row],[diferencia de días]])*(1+Tabla2[[#This Row],[Hg]])</f>
        <v>2147.2928119957501</v>
      </c>
    </row>
    <row r="567" spans="1:20" ht="14.5" x14ac:dyDescent="0.35">
      <c r="A567">
        <f t="shared" si="88"/>
        <v>566</v>
      </c>
      <c r="B567">
        <f t="shared" ca="1" si="89"/>
        <v>46108</v>
      </c>
      <c r="C567">
        <f t="shared" ca="1" si="90"/>
        <v>46157</v>
      </c>
      <c r="D567">
        <f t="shared" ca="1" si="91"/>
        <v>4</v>
      </c>
      <c r="E567">
        <f t="shared" ca="1" si="92"/>
        <v>0.31202875147747633</v>
      </c>
      <c r="F567">
        <f t="shared" ca="1" si="93"/>
        <v>818.23</v>
      </c>
      <c r="G567" t="str">
        <f t="shared" ca="1" si="94"/>
        <v>hipotecario</v>
      </c>
      <c r="H56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67" t="str">
        <f t="shared" ca="1" si="95"/>
        <v>No</v>
      </c>
      <c r="J56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164999.90310112436</v>
      </c>
      <c r="K567" t="str">
        <f ca="1">IF(Tabla2[[#This Row],[¿cliente deuda abierta?]]="Sí", Tabla2[[#This Row],[Deuda actual]]*Tabla2[[#This Row],[diferencia de días]], "0")</f>
        <v>0</v>
      </c>
      <c r="L56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6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6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67">
        <f t="shared" ca="1" si="96"/>
        <v>1542.69</v>
      </c>
      <c r="P567">
        <f t="shared" ca="1" si="97"/>
        <v>354097.1</v>
      </c>
      <c r="Q567">
        <f t="shared" ca="1" si="98"/>
        <v>4</v>
      </c>
      <c r="R567">
        <f ca="1">((Tabla2[[#This Row],[Fantasma Comunicación]]+1)/(Tabla2[[#This Row],[Fantasma Comunicación]]+RANDBETWEEN(0,5)+2))-0.5</f>
        <v>-4.545454545454547E-2</v>
      </c>
      <c r="S567">
        <f ca="1">1+MAX(0,Tabla2[[#This Row],[Deuda actual]]/Tabla2[[#This Row],[Liquidez]]+Tabla2[[#This Row],[Liquidez]]/(Tabla2[[#This Row],[Activos]]+Tabla2[[#This Row],[Liquidez]])+Tabla2[[#This Row],[Comunicación]])</f>
        <v>1.4892749608699012</v>
      </c>
      <c r="T567">
        <f ca="1">Tabla2[[#This Row],[Deuda actual]]*EXP(Tabla2[[#This Row],[Ki]]*Tabla2[[#This Row],[diferencia de días]])*(1+Tabla2[[#This Row],[Hg]])</f>
        <v>655.1078767227491</v>
      </c>
    </row>
    <row r="568" spans="1:20" ht="14.5" x14ac:dyDescent="0.35">
      <c r="A568">
        <f t="shared" si="88"/>
        <v>567</v>
      </c>
      <c r="B568">
        <f t="shared" ca="1" si="89"/>
        <v>46082</v>
      </c>
      <c r="C568">
        <f t="shared" ca="1" si="90"/>
        <v>46157</v>
      </c>
      <c r="D568">
        <f t="shared" ca="1" si="91"/>
        <v>17</v>
      </c>
      <c r="E568">
        <f t="shared" ca="1" si="92"/>
        <v>0.22084320068915531</v>
      </c>
      <c r="F568">
        <f t="shared" ca="1" si="93"/>
        <v>168.2</v>
      </c>
      <c r="G568" t="str">
        <f t="shared" ca="1" si="94"/>
        <v>personal</v>
      </c>
      <c r="H56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68" t="str">
        <f t="shared" ca="1" si="95"/>
        <v>Sí</v>
      </c>
      <c r="J56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68">
        <f ca="1">IF(Tabla2[[#This Row],[¿cliente deuda abierta?]]="Sí", Tabla2[[#This Row],[Deuda actual]]*Tabla2[[#This Row],[diferencia de días]], "0")</f>
        <v>2859.3999999999996</v>
      </c>
      <c r="L56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6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6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68">
        <f t="shared" ca="1" si="96"/>
        <v>2032.32</v>
      </c>
      <c r="P568">
        <f t="shared" ca="1" si="97"/>
        <v>157956.87</v>
      </c>
      <c r="Q568">
        <f t="shared" ca="1" si="98"/>
        <v>3</v>
      </c>
      <c r="R568">
        <f ca="1">((Tabla2[[#This Row],[Fantasma Comunicación]]+1)/(Tabla2[[#This Row],[Fantasma Comunicación]]+RANDBETWEEN(0,5)+2))-0.5</f>
        <v>0.30000000000000004</v>
      </c>
      <c r="S568">
        <f ca="1">1+MAX(0,Tabla2[[#This Row],[Deuda actual]]/Tabla2[[#This Row],[Liquidez]]+Tabla2[[#This Row],[Liquidez]]/(Tabla2[[#This Row],[Activos]]+Tabla2[[#This Row],[Liquidez]])+Tabla2[[#This Row],[Comunicación]])</f>
        <v>1.3954654153144852</v>
      </c>
      <c r="T568">
        <f ca="1">Tabla2[[#This Row],[Deuda actual]]*EXP(Tabla2[[#This Row],[Ki]]*Tabla2[[#This Row],[diferencia de días]])*(1+Tabla2[[#This Row],[Hg]])</f>
        <v>177.81504049426135</v>
      </c>
    </row>
    <row r="569" spans="1:20" ht="14.5" x14ac:dyDescent="0.35">
      <c r="A569">
        <f t="shared" si="88"/>
        <v>568</v>
      </c>
      <c r="B569">
        <f t="shared" ca="1" si="89"/>
        <v>46116</v>
      </c>
      <c r="C569">
        <f t="shared" ca="1" si="90"/>
        <v>46157</v>
      </c>
      <c r="D569">
        <f t="shared" ca="1" si="91"/>
        <v>13</v>
      </c>
      <c r="E569">
        <f t="shared" ca="1" si="92"/>
        <v>0.47580323245439027</v>
      </c>
      <c r="F569">
        <f t="shared" ca="1" si="93"/>
        <v>10000</v>
      </c>
      <c r="G569" t="str">
        <f t="shared" ca="1" si="94"/>
        <v>hipotecario</v>
      </c>
      <c r="H56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69" t="str">
        <f t="shared" ca="1" si="95"/>
        <v>Sí</v>
      </c>
      <c r="J56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69">
        <f ca="1">IF(Tabla2[[#This Row],[¿cliente deuda abierta?]]="Sí", Tabla2[[#This Row],[Deuda actual]]*Tabla2[[#This Row],[diferencia de días]], "0")</f>
        <v>130000</v>
      </c>
      <c r="L56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56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69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569">
        <f t="shared" ca="1" si="96"/>
        <v>1827.3</v>
      </c>
      <c r="P569">
        <f t="shared" ca="1" si="97"/>
        <v>129195.11</v>
      </c>
      <c r="Q569">
        <f t="shared" ca="1" si="98"/>
        <v>1</v>
      </c>
      <c r="R569">
        <f ca="1">((Tabla2[[#This Row],[Fantasma Comunicación]]+1)/(Tabla2[[#This Row],[Fantasma Comunicación]]+RANDBETWEEN(0,5)+2))-0.5</f>
        <v>-0.2142857142857143</v>
      </c>
      <c r="S569">
        <f ca="1">1+MAX(0,Tabla2[[#This Row],[Deuda actual]]/Tabla2[[#This Row],[Liquidez]]+Tabla2[[#This Row],[Liquidez]]/(Tabla2[[#This Row],[Activos]]+Tabla2[[#This Row],[Liquidez]])+Tabla2[[#This Row],[Comunicación]])</f>
        <v>6.2722158908647323</v>
      </c>
      <c r="T569">
        <f ca="1">Tabla2[[#This Row],[Deuda actual]]*EXP(Tabla2[[#This Row],[Ki]]*Tabla2[[#This Row],[diferencia de días]])*(1+Tabla2[[#This Row],[Hg]])</f>
        <v>11529.938903709241</v>
      </c>
    </row>
    <row r="570" spans="1:20" ht="14.5" x14ac:dyDescent="0.35">
      <c r="A570">
        <f t="shared" si="88"/>
        <v>569</v>
      </c>
      <c r="B570">
        <f t="shared" ca="1" si="89"/>
        <v>46126</v>
      </c>
      <c r="C570">
        <f t="shared" ca="1" si="90"/>
        <v>46157</v>
      </c>
      <c r="D570">
        <f t="shared" ca="1" si="91"/>
        <v>1</v>
      </c>
      <c r="E570">
        <f t="shared" ca="1" si="92"/>
        <v>0.99556331984157198</v>
      </c>
      <c r="F570">
        <f t="shared" ca="1" si="93"/>
        <v>372.96</v>
      </c>
      <c r="G570" t="str">
        <f t="shared" ca="1" si="94"/>
        <v>hipotecario</v>
      </c>
      <c r="H57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70" t="str">
        <f t="shared" ca="1" si="95"/>
        <v>Sí</v>
      </c>
      <c r="J57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70">
        <f ca="1">IF(Tabla2[[#This Row],[¿cliente deuda abierta?]]="Sí", Tabla2[[#This Row],[Deuda actual]]*Tabla2[[#This Row],[diferencia de días]], "0")</f>
        <v>372.96</v>
      </c>
      <c r="L57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7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7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70">
        <f t="shared" ca="1" si="96"/>
        <v>1168.98</v>
      </c>
      <c r="P570">
        <f t="shared" ca="1" si="97"/>
        <v>128901.85</v>
      </c>
      <c r="Q570">
        <f t="shared" ca="1" si="98"/>
        <v>0</v>
      </c>
      <c r="R570">
        <f ca="1">((Tabla2[[#This Row],[Fantasma Comunicación]]+1)/(Tabla2[[#This Row],[Fantasma Comunicación]]+RANDBETWEEN(0,5)+2))-0.5</f>
        <v>-0.3</v>
      </c>
      <c r="S570">
        <f ca="1">1+MAX(0,Tabla2[[#This Row],[Deuda actual]]/Tabla2[[#This Row],[Liquidez]]+Tabla2[[#This Row],[Liquidez]]/(Tabla2[[#This Row],[Activos]]+Tabla2[[#This Row],[Liquidez]])+Tabla2[[#This Row],[Comunicación]])</f>
        <v>1.0280346318079459</v>
      </c>
      <c r="T570">
        <f ca="1">Tabla2[[#This Row],[Deuda actual]]*EXP(Tabla2[[#This Row],[Ki]]*Tabla2[[#This Row],[diferencia de días]])*(1+Tabla2[[#This Row],[Hg]])</f>
        <v>391.68632943268216</v>
      </c>
    </row>
    <row r="571" spans="1:20" ht="14.5" x14ac:dyDescent="0.35">
      <c r="A571">
        <f t="shared" si="88"/>
        <v>570</v>
      </c>
      <c r="B571">
        <f t="shared" ca="1" si="89"/>
        <v>46103</v>
      </c>
      <c r="C571">
        <f t="shared" ca="1" si="90"/>
        <v>46157</v>
      </c>
      <c r="D571">
        <f t="shared" ca="1" si="91"/>
        <v>1</v>
      </c>
      <c r="E571">
        <f t="shared" ca="1" si="92"/>
        <v>5.1015856559619932E-2</v>
      </c>
      <c r="F571">
        <f t="shared" ca="1" si="93"/>
        <v>370.43</v>
      </c>
      <c r="G571" t="str">
        <f t="shared" ca="1" si="94"/>
        <v>hipotecario</v>
      </c>
      <c r="H57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71" t="str">
        <f t="shared" ca="1" si="95"/>
        <v>Sí</v>
      </c>
      <c r="J57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71">
        <f ca="1">IF(Tabla2[[#This Row],[¿cliente deuda abierta?]]="Sí", Tabla2[[#This Row],[Deuda actual]]*Tabla2[[#This Row],[diferencia de días]], "0")</f>
        <v>370.43</v>
      </c>
      <c r="L57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7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7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71">
        <f t="shared" ca="1" si="96"/>
        <v>1953.41</v>
      </c>
      <c r="P571">
        <f t="shared" ca="1" si="97"/>
        <v>121755.71</v>
      </c>
      <c r="Q571">
        <f t="shared" ca="1" si="98"/>
        <v>3</v>
      </c>
      <c r="R571">
        <f ca="1">((Tabla2[[#This Row],[Fantasma Comunicación]]+1)/(Tabla2[[#This Row],[Fantasma Comunicación]]+RANDBETWEEN(0,5)+2))-0.5</f>
        <v>-9.9999999999999978E-2</v>
      </c>
      <c r="S571">
        <f ca="1">1+MAX(0,Tabla2[[#This Row],[Deuda actual]]/Tabla2[[#This Row],[Liquidez]]+Tabla2[[#This Row],[Liquidez]]/(Tabla2[[#This Row],[Activos]]+Tabla2[[#This Row],[Liquidez]])+Tabla2[[#This Row],[Comunicación]])</f>
        <v>1.105422836378001</v>
      </c>
      <c r="T571">
        <f ca="1">Tabla2[[#This Row],[Deuda actual]]*EXP(Tabla2[[#This Row],[Ki]]*Tabla2[[#This Row],[diferencia de días]])*(1+Tabla2[[#This Row],[Hg]])</f>
        <v>389.02929807954871</v>
      </c>
    </row>
    <row r="572" spans="1:20" ht="14.5" x14ac:dyDescent="0.35">
      <c r="A572">
        <f t="shared" si="88"/>
        <v>571</v>
      </c>
      <c r="B572">
        <f t="shared" ca="1" si="89"/>
        <v>46139</v>
      </c>
      <c r="C572">
        <f t="shared" ca="1" si="90"/>
        <v>46157</v>
      </c>
      <c r="D572">
        <f t="shared" ca="1" si="91"/>
        <v>38</v>
      </c>
      <c r="E572">
        <f t="shared" ca="1" si="92"/>
        <v>0.4681209350157477</v>
      </c>
      <c r="F572">
        <f t="shared" ca="1" si="93"/>
        <v>2884.03</v>
      </c>
      <c r="G572" t="str">
        <f t="shared" ca="1" si="94"/>
        <v>personal</v>
      </c>
      <c r="H57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572" t="str">
        <f t="shared" ca="1" si="95"/>
        <v>Sí</v>
      </c>
      <c r="J57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72">
        <f ca="1">IF(Tabla2[[#This Row],[¿cliente deuda abierta?]]="Sí", Tabla2[[#This Row],[Deuda actual]]*Tabla2[[#This Row],[diferencia de días]], "0")</f>
        <v>109593.14000000001</v>
      </c>
      <c r="L57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57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72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572">
        <f t="shared" ca="1" si="96"/>
        <v>1762.53</v>
      </c>
      <c r="P572">
        <f t="shared" ca="1" si="97"/>
        <v>46448.160000000003</v>
      </c>
      <c r="Q572">
        <f t="shared" ca="1" si="98"/>
        <v>0</v>
      </c>
      <c r="R572">
        <f ca="1">((Tabla2[[#This Row],[Fantasma Comunicación]]+1)/(Tabla2[[#This Row],[Fantasma Comunicación]]+RANDBETWEEN(0,5)+2))-0.5</f>
        <v>-0.35714285714285715</v>
      </c>
      <c r="S572">
        <f ca="1">1+MAX(0,Tabla2[[#This Row],[Deuda actual]]/Tabla2[[#This Row],[Liquidez]]+Tabla2[[#This Row],[Liquidez]]/(Tabla2[[#This Row],[Activos]]+Tabla2[[#This Row],[Liquidez]])+Tabla2[[#This Row],[Comunicación]])</f>
        <v>2.3157172731951796</v>
      </c>
      <c r="T572">
        <f ca="1">Tabla2[[#This Row],[Deuda actual]]*EXP(Tabla2[[#This Row],[Ki]]*Tabla2[[#This Row],[diferencia de días]])*(1+Tabla2[[#This Row],[Hg]])</f>
        <v>3445.0918431923596</v>
      </c>
    </row>
    <row r="573" spans="1:20" ht="14.5" x14ac:dyDescent="0.35">
      <c r="A573">
        <f t="shared" si="88"/>
        <v>572</v>
      </c>
      <c r="B573">
        <f t="shared" ca="1" si="89"/>
        <v>46113</v>
      </c>
      <c r="C573">
        <f t="shared" ca="1" si="90"/>
        <v>46157</v>
      </c>
      <c r="D573">
        <f t="shared" ca="1" si="91"/>
        <v>9</v>
      </c>
      <c r="E573">
        <f t="shared" ca="1" si="92"/>
        <v>0.89146459423078461</v>
      </c>
      <c r="F573">
        <f t="shared" ca="1" si="93"/>
        <v>1904.75</v>
      </c>
      <c r="G573" t="str">
        <f t="shared" ca="1" si="94"/>
        <v>personal</v>
      </c>
      <c r="H57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73" t="str">
        <f t="shared" ca="1" si="95"/>
        <v>Sí</v>
      </c>
      <c r="J57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73">
        <f ca="1">IF(Tabla2[[#This Row],[¿cliente deuda abierta?]]="Sí", Tabla2[[#This Row],[Deuda actual]]*Tabla2[[#This Row],[diferencia de días]], "0")</f>
        <v>17142.75</v>
      </c>
      <c r="L57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7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7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73">
        <f t="shared" ca="1" si="96"/>
        <v>2073.4</v>
      </c>
      <c r="P573">
        <f t="shared" ca="1" si="97"/>
        <v>97894.35</v>
      </c>
      <c r="Q573">
        <f t="shared" ca="1" si="98"/>
        <v>4</v>
      </c>
      <c r="R573">
        <f ca="1">((Tabla2[[#This Row],[Fantasma Comunicación]]+1)/(Tabla2[[#This Row],[Fantasma Comunicación]]+RANDBETWEEN(0,5)+2))-0.5</f>
        <v>0.2142857142857143</v>
      </c>
      <c r="S573">
        <f ca="1">1+MAX(0,Tabla2[[#This Row],[Deuda actual]]/Tabla2[[#This Row],[Liquidez]]+Tabla2[[#This Row],[Liquidez]]/(Tabla2[[#This Row],[Activos]]+Tabla2[[#This Row],[Liquidez]])+Tabla2[[#This Row],[Comunicación]])</f>
        <v>2.1536865748565348</v>
      </c>
      <c r="T573">
        <f ca="1">Tabla2[[#This Row],[Deuda actual]]*EXP(Tabla2[[#This Row],[Ki]]*Tabla2[[#This Row],[diferencia de días]])*(1+Tabla2[[#This Row],[Hg]])</f>
        <v>2003.5907194246133</v>
      </c>
    </row>
    <row r="574" spans="1:20" ht="14.5" x14ac:dyDescent="0.35">
      <c r="A574">
        <f t="shared" si="88"/>
        <v>573</v>
      </c>
      <c r="B574">
        <f t="shared" ca="1" si="89"/>
        <v>46125</v>
      </c>
      <c r="C574">
        <f t="shared" ca="1" si="90"/>
        <v>46157</v>
      </c>
      <c r="D574">
        <f t="shared" ca="1" si="91"/>
        <v>44</v>
      </c>
      <c r="E574">
        <f t="shared" ca="1" si="92"/>
        <v>0.4469644810772444</v>
      </c>
      <c r="F574">
        <f t="shared" ca="1" si="93"/>
        <v>1031.3599999999999</v>
      </c>
      <c r="G574" t="str">
        <f t="shared" ca="1" si="94"/>
        <v>hipotecario</v>
      </c>
      <c r="H57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574" t="str">
        <f t="shared" ca="1" si="95"/>
        <v>Sí</v>
      </c>
      <c r="J57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74">
        <f ca="1">IF(Tabla2[[#This Row],[¿cliente deuda abierta?]]="Sí", Tabla2[[#This Row],[Deuda actual]]*Tabla2[[#This Row],[diferencia de días]], "0")</f>
        <v>45379.839999999997</v>
      </c>
      <c r="L57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57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74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574">
        <f t="shared" ca="1" si="96"/>
        <v>1735.11</v>
      </c>
      <c r="P574">
        <f t="shared" ca="1" si="97"/>
        <v>124308.63</v>
      </c>
      <c r="Q574">
        <f t="shared" ca="1" si="98"/>
        <v>3</v>
      </c>
      <c r="R574">
        <f ca="1">((Tabla2[[#This Row],[Fantasma Comunicación]]+1)/(Tabla2[[#This Row],[Fantasma Comunicación]]+RANDBETWEEN(0,5)+2))-0.5</f>
        <v>0</v>
      </c>
      <c r="S574">
        <f ca="1">1+MAX(0,Tabla2[[#This Row],[Deuda actual]]/Tabla2[[#This Row],[Liquidez]]+Tabla2[[#This Row],[Liquidez]]/(Tabla2[[#This Row],[Activos]]+Tabla2[[#This Row],[Liquidez]])+Tabla2[[#This Row],[Comunicación]])</f>
        <v>1.6081720538836017</v>
      </c>
      <c r="T574">
        <f ca="1">Tabla2[[#This Row],[Deuda actual]]*EXP(Tabla2[[#This Row],[Ki]]*Tabla2[[#This Row],[diferencia de días]])*(1+Tabla2[[#This Row],[Hg]])</f>
        <v>1185.52830169152</v>
      </c>
    </row>
    <row r="575" spans="1:20" ht="14.5" x14ac:dyDescent="0.35">
      <c r="A575">
        <f t="shared" si="88"/>
        <v>574</v>
      </c>
      <c r="B575">
        <f t="shared" ca="1" si="89"/>
        <v>46112</v>
      </c>
      <c r="C575">
        <f t="shared" ca="1" si="90"/>
        <v>46157</v>
      </c>
      <c r="D575">
        <f t="shared" ca="1" si="91"/>
        <v>2</v>
      </c>
      <c r="E575">
        <f t="shared" ca="1" si="92"/>
        <v>0.21602277920291424</v>
      </c>
      <c r="F575">
        <f t="shared" ca="1" si="93"/>
        <v>3168.22</v>
      </c>
      <c r="G575" t="str">
        <f t="shared" ca="1" si="94"/>
        <v>hipotecario</v>
      </c>
      <c r="H57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75" t="str">
        <f t="shared" ca="1" si="95"/>
        <v>Sí</v>
      </c>
      <c r="J57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75">
        <f ca="1">IF(Tabla2[[#This Row],[¿cliente deuda abierta?]]="Sí", Tabla2[[#This Row],[Deuda actual]]*Tabla2[[#This Row],[diferencia de días]], "0")</f>
        <v>6336.44</v>
      </c>
      <c r="L57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7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7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75">
        <f t="shared" ca="1" si="96"/>
        <v>1282.04</v>
      </c>
      <c r="P575">
        <f t="shared" ca="1" si="97"/>
        <v>140016.29</v>
      </c>
      <c r="Q575">
        <f t="shared" ca="1" si="98"/>
        <v>1</v>
      </c>
      <c r="R575">
        <f ca="1">((Tabla2[[#This Row],[Fantasma Comunicación]]+1)/(Tabla2[[#This Row],[Fantasma Comunicación]]+RANDBETWEEN(0,5)+2))-0.5</f>
        <v>0.16666666666666663</v>
      </c>
      <c r="S575">
        <f ca="1">1+MAX(0,Tabla2[[#This Row],[Deuda actual]]/Tabla2[[#This Row],[Liquidez]]+Tabla2[[#This Row],[Liquidez]]/(Tabla2[[#This Row],[Activos]]+Tabla2[[#This Row],[Liquidez]])+Tabla2[[#This Row],[Comunicación]])</f>
        <v>3.6469732983919219</v>
      </c>
      <c r="T575">
        <f ca="1">Tabla2[[#This Row],[Deuda actual]]*EXP(Tabla2[[#This Row],[Ki]]*Tabla2[[#This Row],[diferencia de días]])*(1+Tabla2[[#This Row],[Hg]])</f>
        <v>3327.9619185659676</v>
      </c>
    </row>
    <row r="576" spans="1:20" ht="14.5" x14ac:dyDescent="0.35">
      <c r="A576">
        <f t="shared" si="88"/>
        <v>575</v>
      </c>
      <c r="B576">
        <f t="shared" ca="1" si="89"/>
        <v>46117</v>
      </c>
      <c r="C576">
        <f t="shared" ca="1" si="90"/>
        <v>46157</v>
      </c>
      <c r="D576">
        <f t="shared" ca="1" si="91"/>
        <v>22</v>
      </c>
      <c r="E576">
        <f t="shared" ca="1" si="92"/>
        <v>0.99957345035465639</v>
      </c>
      <c r="F576">
        <f t="shared" ca="1" si="93"/>
        <v>393.99</v>
      </c>
      <c r="G576" t="str">
        <f t="shared" ca="1" si="94"/>
        <v>hipotecario</v>
      </c>
      <c r="H57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76" t="str">
        <f t="shared" ca="1" si="95"/>
        <v>Sí</v>
      </c>
      <c r="J57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76">
        <f ca="1">IF(Tabla2[[#This Row],[¿cliente deuda abierta?]]="Sí", Tabla2[[#This Row],[Deuda actual]]*Tabla2[[#This Row],[diferencia de días]], "0")</f>
        <v>8667.7800000000007</v>
      </c>
      <c r="L57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7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7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76">
        <f t="shared" ca="1" si="96"/>
        <v>1316.59</v>
      </c>
      <c r="P576">
        <f t="shared" ca="1" si="97"/>
        <v>165744</v>
      </c>
      <c r="Q576">
        <f t="shared" ca="1" si="98"/>
        <v>4</v>
      </c>
      <c r="R576">
        <f ca="1">((Tabla2[[#This Row],[Fantasma Comunicación]]+1)/(Tabla2[[#This Row],[Fantasma Comunicación]]+RANDBETWEEN(0,5)+2))-0.5</f>
        <v>0.2142857142857143</v>
      </c>
      <c r="S576">
        <f ca="1">1+MAX(0,Tabla2[[#This Row],[Deuda actual]]/Tabla2[[#This Row],[Liquidez]]+Tabla2[[#This Row],[Liquidez]]/(Tabla2[[#This Row],[Activos]]+Tabla2[[#This Row],[Liquidez]])+Tabla2[[#This Row],[Comunicación]])</f>
        <v>1.5214169635277754</v>
      </c>
      <c r="T576">
        <f ca="1">Tabla2[[#This Row],[Deuda actual]]*EXP(Tabla2[[#This Row],[Ki]]*Tabla2[[#This Row],[diferencia de días]])*(1+Tabla2[[#This Row],[Hg]])</f>
        <v>417.34603274729392</v>
      </c>
    </row>
    <row r="577" spans="1:20" ht="14.5" x14ac:dyDescent="0.35">
      <c r="A577">
        <f t="shared" si="88"/>
        <v>576</v>
      </c>
      <c r="B577">
        <f t="shared" ca="1" si="89"/>
        <v>46117</v>
      </c>
      <c r="C577">
        <f t="shared" ca="1" si="90"/>
        <v>46157</v>
      </c>
      <c r="D577">
        <f t="shared" ca="1" si="91"/>
        <v>35</v>
      </c>
      <c r="E577">
        <f t="shared" ca="1" si="92"/>
        <v>0.63391678146735719</v>
      </c>
      <c r="F577">
        <f t="shared" ca="1" si="93"/>
        <v>956.39</v>
      </c>
      <c r="G577" t="str">
        <f t="shared" ca="1" si="94"/>
        <v>hipotecario</v>
      </c>
      <c r="H57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577" t="str">
        <f t="shared" ca="1" si="95"/>
        <v>Sí</v>
      </c>
      <c r="J57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77">
        <f ca="1">IF(Tabla2[[#This Row],[¿cliente deuda abierta?]]="Sí", Tabla2[[#This Row],[Deuda actual]]*Tabla2[[#This Row],[diferencia de días]], "0")</f>
        <v>33473.65</v>
      </c>
      <c r="L57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57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77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577">
        <f t="shared" ca="1" si="96"/>
        <v>1439.96</v>
      </c>
      <c r="P577">
        <f t="shared" ca="1" si="97"/>
        <v>322158.5</v>
      </c>
      <c r="Q577">
        <f t="shared" ca="1" si="98"/>
        <v>0</v>
      </c>
      <c r="R577">
        <f ca="1">((Tabla2[[#This Row],[Fantasma Comunicación]]+1)/(Tabla2[[#This Row],[Fantasma Comunicación]]+RANDBETWEEN(0,5)+2))-0.5</f>
        <v>-0.3</v>
      </c>
      <c r="S577">
        <f ca="1">1+MAX(0,Tabla2[[#This Row],[Deuda actual]]/Tabla2[[#This Row],[Liquidez]]+Tabla2[[#This Row],[Liquidez]]/(Tabla2[[#This Row],[Activos]]+Tabla2[[#This Row],[Liquidez]])+Tabla2[[#This Row],[Comunicación]])</f>
        <v>1.3686280073783847</v>
      </c>
      <c r="T577">
        <f ca="1">Tabla2[[#This Row],[Deuda actual]]*EXP(Tabla2[[#This Row],[Ki]]*Tabla2[[#This Row],[diferencia de días]])*(1+Tabla2[[#This Row],[Hg]])</f>
        <v>1089.501966628759</v>
      </c>
    </row>
    <row r="578" spans="1:20" ht="14.5" x14ac:dyDescent="0.35">
      <c r="A578">
        <f t="shared" ref="A578:A641" si="99">A577+1</f>
        <v>577</v>
      </c>
      <c r="B578">
        <f t="shared" ref="B578:B641" ca="1" si="100">RANDBETWEEN(DATE(2026,3,1), DATE(2026,5,1))</f>
        <v>46099</v>
      </c>
      <c r="C578">
        <f t="shared" ref="C578:C641" ca="1" si="101">TODAY()</f>
        <v>46157</v>
      </c>
      <c r="D578">
        <f t="shared" ref="D578:D641" ca="1" si="102">ROUND((-(15) * LN(RAND())),0)</f>
        <v>1</v>
      </c>
      <c r="E578">
        <f t="shared" ref="E578:E641" ca="1" si="103">RAND()</f>
        <v>0.54022037331061601</v>
      </c>
      <c r="F578">
        <f t="shared" ref="F578:F641" ca="1" si="104">ROUND(MIN(10000, _xlfn.LOGNORM.INV(RAND(), 69/10, 13/10)),2)</f>
        <v>1845.07</v>
      </c>
      <c r="G578" t="str">
        <f t="shared" ref="G578:G641" ca="1" si="105">IF(RAND()&lt;=0.5,"personal","hipotecario")</f>
        <v>hipotecario</v>
      </c>
      <c r="H57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78" t="str">
        <f t="shared" ref="I578:I641" ca="1" si="106">IF(RAND()&lt;=0.65, "Sí", "No")</f>
        <v>No</v>
      </c>
      <c r="J57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164999.98513209613</v>
      </c>
      <c r="K578" t="str">
        <f ca="1">IF(Tabla2[[#This Row],[¿cliente deuda abierta?]]="Sí", Tabla2[[#This Row],[Deuda actual]]*Tabla2[[#This Row],[diferencia de días]], "0")</f>
        <v>0</v>
      </c>
      <c r="L57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7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78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78">
        <f t="shared" ref="O578:O641" ca="1" si="107">ROUND(1000*(_xlfn.LOGNORM.INV(RAND(), 0.5, 0.2)),2)</f>
        <v>1265.1099999999999</v>
      </c>
      <c r="P578">
        <f t="shared" ref="P578:P641" ca="1" si="108">ROUND(50000*(_xlfn.LOGNORM.INV(RAND(), 1, 0.75)),2)</f>
        <v>431866.98</v>
      </c>
      <c r="Q578">
        <f t="shared" ref="Q578:Q641" ca="1" si="109">RANDBETWEEN(0,5)</f>
        <v>0</v>
      </c>
      <c r="R578">
        <f ca="1">((Tabla2[[#This Row],[Fantasma Comunicación]]+1)/(Tabla2[[#This Row],[Fantasma Comunicación]]+RANDBETWEEN(0,5)+2))-0.5</f>
        <v>-0.25</v>
      </c>
      <c r="S578">
        <f ca="1">1+MAX(0,Tabla2[[#This Row],[Deuda actual]]/Tabla2[[#This Row],[Liquidez]]+Tabla2[[#This Row],[Liquidez]]/(Tabla2[[#This Row],[Activos]]+Tabla2[[#This Row],[Liquidez]])+Tabla2[[#This Row],[Comunicación]])</f>
        <v>2.2113473810611142</v>
      </c>
      <c r="T578">
        <f ca="1">Tabla2[[#This Row],[Deuda actual]]*EXP(Tabla2[[#This Row],[Ki]]*Tabla2[[#This Row],[diferencia de días]])*(1+Tabla2[[#This Row],[Hg]])</f>
        <v>1476.3512407230883</v>
      </c>
    </row>
    <row r="579" spans="1:20" ht="14.5" x14ac:dyDescent="0.35">
      <c r="A579">
        <f t="shared" si="99"/>
        <v>578</v>
      </c>
      <c r="B579">
        <f t="shared" ca="1" si="100"/>
        <v>46140</v>
      </c>
      <c r="C579">
        <f t="shared" ca="1" si="101"/>
        <v>46157</v>
      </c>
      <c r="D579">
        <f t="shared" ca="1" si="102"/>
        <v>1</v>
      </c>
      <c r="E579">
        <f t="shared" ca="1" si="103"/>
        <v>0.48065034660756778</v>
      </c>
      <c r="F579">
        <f t="shared" ca="1" si="104"/>
        <v>297.76</v>
      </c>
      <c r="G579" t="str">
        <f t="shared" ca="1" si="105"/>
        <v>personal</v>
      </c>
      <c r="H57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79" t="str">
        <f t="shared" ca="1" si="106"/>
        <v>No</v>
      </c>
      <c r="J57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11999.594415666115</v>
      </c>
      <c r="K579" t="str">
        <f ca="1">IF(Tabla2[[#This Row],[¿cliente deuda abierta?]]="Sí", Tabla2[[#This Row],[Deuda actual]]*Tabla2[[#This Row],[diferencia de días]], "0")</f>
        <v>0</v>
      </c>
      <c r="L57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7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579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579">
        <f t="shared" ca="1" si="107"/>
        <v>1793.68</v>
      </c>
      <c r="P579">
        <f t="shared" ca="1" si="108"/>
        <v>275281.24</v>
      </c>
      <c r="Q579">
        <f t="shared" ca="1" si="109"/>
        <v>2</v>
      </c>
      <c r="R579">
        <f ca="1">((Tabla2[[#This Row],[Fantasma Comunicación]]+1)/(Tabla2[[#This Row],[Fantasma Comunicación]]+RANDBETWEEN(0,5)+2))-0.5</f>
        <v>-0.125</v>
      </c>
      <c r="S579">
        <f ca="1">1+MAX(0,Tabla2[[#This Row],[Deuda actual]]/Tabla2[[#This Row],[Liquidez]]+Tabla2[[#This Row],[Liquidez]]/(Tabla2[[#This Row],[Activos]]+Tabla2[[#This Row],[Liquidez]])+Tabla2[[#This Row],[Comunicación]])</f>
        <v>1.047478712662586</v>
      </c>
      <c r="T579">
        <f ca="1">Tabla2[[#This Row],[Deuda actual]]*EXP(Tabla2[[#This Row],[Ki]]*Tabla2[[#This Row],[diferencia de días]])*(1+Tabla2[[#This Row],[Hg]])</f>
        <v>268.03760216003735</v>
      </c>
    </row>
    <row r="580" spans="1:20" ht="14.5" x14ac:dyDescent="0.35">
      <c r="A580">
        <f t="shared" si="99"/>
        <v>579</v>
      </c>
      <c r="B580">
        <f t="shared" ca="1" si="100"/>
        <v>46102</v>
      </c>
      <c r="C580">
        <f t="shared" ca="1" si="101"/>
        <v>46157</v>
      </c>
      <c r="D580">
        <f t="shared" ca="1" si="102"/>
        <v>12</v>
      </c>
      <c r="E580">
        <f t="shared" ca="1" si="103"/>
        <v>0.64116389330557355</v>
      </c>
      <c r="F580">
        <f t="shared" ca="1" si="104"/>
        <v>273.08</v>
      </c>
      <c r="G580" t="str">
        <f t="shared" ca="1" si="105"/>
        <v>hipotecario</v>
      </c>
      <c r="H58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80" t="str">
        <f t="shared" ca="1" si="106"/>
        <v>No</v>
      </c>
      <c r="J58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165001.11613440723</v>
      </c>
      <c r="K580" t="str">
        <f ca="1">IF(Tabla2[[#This Row],[¿cliente deuda abierta?]]="Sí", Tabla2[[#This Row],[Deuda actual]]*Tabla2[[#This Row],[diferencia de días]], "0")</f>
        <v>0</v>
      </c>
      <c r="L58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8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8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80">
        <f t="shared" ca="1" si="107"/>
        <v>1381.5</v>
      </c>
      <c r="P580">
        <f t="shared" ca="1" si="108"/>
        <v>101013.78</v>
      </c>
      <c r="Q580">
        <f t="shared" ca="1" si="109"/>
        <v>4</v>
      </c>
      <c r="R580">
        <f ca="1">((Tabla2[[#This Row],[Fantasma Comunicación]]+1)/(Tabla2[[#This Row],[Fantasma Comunicación]]+RANDBETWEEN(0,5)+2))-0.5</f>
        <v>0</v>
      </c>
      <c r="S580">
        <f ca="1">1+MAX(0,Tabla2[[#This Row],[Deuda actual]]/Tabla2[[#This Row],[Liquidez]]+Tabla2[[#This Row],[Liquidez]]/(Tabla2[[#This Row],[Activos]]+Tabla2[[#This Row],[Liquidez]])+Tabla2[[#This Row],[Comunicación]])</f>
        <v>1.2111610329714395</v>
      </c>
      <c r="T580">
        <f ca="1">Tabla2[[#This Row],[Deuda actual]]*EXP(Tabla2[[#This Row],[Ki]]*Tabla2[[#This Row],[diferencia de días]])*(1+Tabla2[[#This Row],[Hg]])</f>
        <v>218.98894327996319</v>
      </c>
    </row>
    <row r="581" spans="1:20" ht="14.5" x14ac:dyDescent="0.35">
      <c r="A581">
        <f t="shared" si="99"/>
        <v>580</v>
      </c>
      <c r="B581">
        <f t="shared" ca="1" si="100"/>
        <v>46143</v>
      </c>
      <c r="C581">
        <f t="shared" ca="1" si="101"/>
        <v>46157</v>
      </c>
      <c r="D581">
        <f t="shared" ca="1" si="102"/>
        <v>18</v>
      </c>
      <c r="E581">
        <f t="shared" ca="1" si="103"/>
        <v>0.39749122030622974</v>
      </c>
      <c r="F581">
        <f t="shared" ca="1" si="104"/>
        <v>1099.31</v>
      </c>
      <c r="G581" t="str">
        <f t="shared" ca="1" si="105"/>
        <v>hipotecario</v>
      </c>
      <c r="H58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81" t="str">
        <f t="shared" ca="1" si="106"/>
        <v>Sí</v>
      </c>
      <c r="J58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81">
        <f ca="1">IF(Tabla2[[#This Row],[¿cliente deuda abierta?]]="Sí", Tabla2[[#This Row],[Deuda actual]]*Tabla2[[#This Row],[diferencia de días]], "0")</f>
        <v>19787.579999999998</v>
      </c>
      <c r="L58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8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8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81">
        <f t="shared" ca="1" si="107"/>
        <v>2232.0700000000002</v>
      </c>
      <c r="P581">
        <f t="shared" ca="1" si="108"/>
        <v>383805.08</v>
      </c>
      <c r="Q581">
        <f t="shared" ca="1" si="109"/>
        <v>0</v>
      </c>
      <c r="R581">
        <f ca="1">((Tabla2[[#This Row],[Fantasma Comunicación]]+1)/(Tabla2[[#This Row],[Fantasma Comunicación]]+RANDBETWEEN(0,5)+2))-0.5</f>
        <v>-0.25</v>
      </c>
      <c r="S581">
        <f ca="1">1+MAX(0,Tabla2[[#This Row],[Deuda actual]]/Tabla2[[#This Row],[Liquidez]]+Tabla2[[#This Row],[Liquidez]]/(Tabla2[[#This Row],[Activos]]+Tabla2[[#This Row],[Liquidez]])+Tabla2[[#This Row],[Comunicación]])</f>
        <v>1.2482889637130152</v>
      </c>
      <c r="T581">
        <f ca="1">Tabla2[[#This Row],[Deuda actual]]*EXP(Tabla2[[#This Row],[Ki]]*Tabla2[[#This Row],[diferencia de días]])*(1+Tabla2[[#This Row],[Hg]])</f>
        <v>1162.616274355566</v>
      </c>
    </row>
    <row r="582" spans="1:20" ht="14.5" x14ac:dyDescent="0.35">
      <c r="A582">
        <f t="shared" si="99"/>
        <v>581</v>
      </c>
      <c r="B582">
        <f t="shared" ca="1" si="100"/>
        <v>46123</v>
      </c>
      <c r="C582">
        <f t="shared" ca="1" si="101"/>
        <v>46157</v>
      </c>
      <c r="D582">
        <f t="shared" ca="1" si="102"/>
        <v>13</v>
      </c>
      <c r="E582">
        <f t="shared" ca="1" si="103"/>
        <v>0.36108727491708359</v>
      </c>
      <c r="F582">
        <f t="shared" ca="1" si="104"/>
        <v>263.94</v>
      </c>
      <c r="G582" t="str">
        <f t="shared" ca="1" si="105"/>
        <v>hipotecario</v>
      </c>
      <c r="H58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82" t="str">
        <f t="shared" ca="1" si="106"/>
        <v>Sí</v>
      </c>
      <c r="J58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82">
        <f ca="1">IF(Tabla2[[#This Row],[¿cliente deuda abierta?]]="Sí", Tabla2[[#This Row],[Deuda actual]]*Tabla2[[#This Row],[diferencia de días]], "0")</f>
        <v>3431.22</v>
      </c>
      <c r="L58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8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8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82">
        <f t="shared" ca="1" si="107"/>
        <v>1409.94</v>
      </c>
      <c r="P582">
        <f t="shared" ca="1" si="108"/>
        <v>178053.65</v>
      </c>
      <c r="Q582">
        <f t="shared" ca="1" si="109"/>
        <v>2</v>
      </c>
      <c r="R582">
        <f ca="1">((Tabla2[[#This Row],[Fantasma Comunicación]]+1)/(Tabla2[[#This Row],[Fantasma Comunicación]]+RANDBETWEEN(0,5)+2))-0.5</f>
        <v>-0.16666666666666669</v>
      </c>
      <c r="S582">
        <f ca="1">1+MAX(0,Tabla2[[#This Row],[Deuda actual]]/Tabla2[[#This Row],[Liquidez]]+Tabla2[[#This Row],[Liquidez]]/(Tabla2[[#This Row],[Activos]]+Tabla2[[#This Row],[Liquidez]])+Tabla2[[#This Row],[Comunicación]])</f>
        <v>1.0283892011751574</v>
      </c>
      <c r="T582">
        <f ca="1">Tabla2[[#This Row],[Deuda actual]]*EXP(Tabla2[[#This Row],[Ki]]*Tabla2[[#This Row],[diferencia de días]])*(1+Tabla2[[#This Row],[Hg]])</f>
        <v>277.85849373541458</v>
      </c>
    </row>
    <row r="583" spans="1:20" ht="14.5" x14ac:dyDescent="0.35">
      <c r="A583">
        <f t="shared" si="99"/>
        <v>582</v>
      </c>
      <c r="B583">
        <f t="shared" ca="1" si="100"/>
        <v>46086</v>
      </c>
      <c r="C583">
        <f t="shared" ca="1" si="101"/>
        <v>46157</v>
      </c>
      <c r="D583">
        <f t="shared" ca="1" si="102"/>
        <v>3</v>
      </c>
      <c r="E583">
        <f t="shared" ca="1" si="103"/>
        <v>0.24474406088666867</v>
      </c>
      <c r="F583">
        <f t="shared" ca="1" si="104"/>
        <v>7805.19</v>
      </c>
      <c r="G583" t="str">
        <f t="shared" ca="1" si="105"/>
        <v>hipotecario</v>
      </c>
      <c r="H58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83" t="str">
        <f t="shared" ca="1" si="106"/>
        <v>Sí</v>
      </c>
      <c r="J58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83">
        <f ca="1">IF(Tabla2[[#This Row],[¿cliente deuda abierta?]]="Sí", Tabla2[[#This Row],[Deuda actual]]*Tabla2[[#This Row],[diferencia de días]], "0")</f>
        <v>23415.57</v>
      </c>
      <c r="L58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8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8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83">
        <f t="shared" ca="1" si="107"/>
        <v>1523.53</v>
      </c>
      <c r="P583">
        <f t="shared" ca="1" si="108"/>
        <v>57019.24</v>
      </c>
      <c r="Q583">
        <f t="shared" ca="1" si="109"/>
        <v>4</v>
      </c>
      <c r="R583">
        <f ca="1">((Tabla2[[#This Row],[Fantasma Comunicación]]+1)/(Tabla2[[#This Row],[Fantasma Comunicación]]+RANDBETWEEN(0,5)+2))-0.5</f>
        <v>0.125</v>
      </c>
      <c r="S583">
        <f ca="1">1+MAX(0,Tabla2[[#This Row],[Deuda actual]]/Tabla2[[#This Row],[Liquidez]]+Tabla2[[#This Row],[Liquidez]]/(Tabla2[[#This Row],[Activos]]+Tabla2[[#This Row],[Liquidez]])+Tabla2[[#This Row],[Comunicación]])</f>
        <v>6.2741199266343761</v>
      </c>
      <c r="T583">
        <f ca="1">Tabla2[[#This Row],[Deuda actual]]*EXP(Tabla2[[#This Row],[Ki]]*Tabla2[[#This Row],[diferencia de días]])*(1+Tabla2[[#This Row],[Hg]])</f>
        <v>8200.3682451759905</v>
      </c>
    </row>
    <row r="584" spans="1:20" ht="14.5" x14ac:dyDescent="0.35">
      <c r="A584">
        <f t="shared" si="99"/>
        <v>583</v>
      </c>
      <c r="B584">
        <f t="shared" ca="1" si="100"/>
        <v>46102</v>
      </c>
      <c r="C584">
        <f t="shared" ca="1" si="101"/>
        <v>46157</v>
      </c>
      <c r="D584">
        <f t="shared" ca="1" si="102"/>
        <v>0</v>
      </c>
      <c r="E584">
        <f t="shared" ca="1" si="103"/>
        <v>0.10662328764161066</v>
      </c>
      <c r="F584">
        <f t="shared" ca="1" si="104"/>
        <v>230.19</v>
      </c>
      <c r="G584" t="str">
        <f t="shared" ca="1" si="105"/>
        <v>personal</v>
      </c>
      <c r="H58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84" t="str">
        <f t="shared" ca="1" si="106"/>
        <v>Sí</v>
      </c>
      <c r="J58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84">
        <f ca="1">IF(Tabla2[[#This Row],[¿cliente deuda abierta?]]="Sí", Tabla2[[#This Row],[Deuda actual]]*Tabla2[[#This Row],[diferencia de días]], "0")</f>
        <v>0</v>
      </c>
      <c r="L58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8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84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584">
        <f t="shared" ca="1" si="107"/>
        <v>1354.86</v>
      </c>
      <c r="P584">
        <f t="shared" ca="1" si="108"/>
        <v>327350.2</v>
      </c>
      <c r="Q584">
        <f t="shared" ca="1" si="109"/>
        <v>5</v>
      </c>
      <c r="R584">
        <f ca="1">((Tabla2[[#This Row],[Fantasma Comunicación]]+1)/(Tabla2[[#This Row],[Fantasma Comunicación]]+RANDBETWEEN(0,5)+2))-0.5</f>
        <v>4.5454545454545414E-2</v>
      </c>
      <c r="S584">
        <f ca="1">1+MAX(0,Tabla2[[#This Row],[Deuda actual]]/Tabla2[[#This Row],[Liquidez]]+Tabla2[[#This Row],[Liquidez]]/(Tabla2[[#This Row],[Activos]]+Tabla2[[#This Row],[Liquidez]])+Tabla2[[#This Row],[Comunicación]])</f>
        <v>1.2194758290610572</v>
      </c>
      <c r="T584">
        <f ca="1">Tabla2[[#This Row],[Deuda actual]]*EXP(Tabla2[[#This Row],[Ki]]*Tabla2[[#This Row],[diferencia de días]])*(1+Tabla2[[#This Row],[Hg]])</f>
        <v>230.19</v>
      </c>
    </row>
    <row r="585" spans="1:20" ht="14.5" x14ac:dyDescent="0.35">
      <c r="A585">
        <f t="shared" si="99"/>
        <v>584</v>
      </c>
      <c r="B585">
        <f t="shared" ca="1" si="100"/>
        <v>46139</v>
      </c>
      <c r="C585">
        <f t="shared" ca="1" si="101"/>
        <v>46157</v>
      </c>
      <c r="D585">
        <f t="shared" ca="1" si="102"/>
        <v>17</v>
      </c>
      <c r="E585">
        <f t="shared" ca="1" si="103"/>
        <v>0.72328657006162211</v>
      </c>
      <c r="F585">
        <f t="shared" ca="1" si="104"/>
        <v>274.48</v>
      </c>
      <c r="G585" t="str">
        <f t="shared" ca="1" si="105"/>
        <v>personal</v>
      </c>
      <c r="H58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85" t="str">
        <f t="shared" ca="1" si="106"/>
        <v>Sí</v>
      </c>
      <c r="J58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85">
        <f ca="1">IF(Tabla2[[#This Row],[¿cliente deuda abierta?]]="Sí", Tabla2[[#This Row],[Deuda actual]]*Tabla2[[#This Row],[diferencia de días]], "0")</f>
        <v>4666.16</v>
      </c>
      <c r="L58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8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8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85">
        <f t="shared" ca="1" si="107"/>
        <v>2682.07</v>
      </c>
      <c r="P585">
        <f t="shared" ca="1" si="108"/>
        <v>51374.09</v>
      </c>
      <c r="Q585">
        <f t="shared" ca="1" si="109"/>
        <v>0</v>
      </c>
      <c r="R585">
        <f ca="1">((Tabla2[[#This Row],[Fantasma Comunicación]]+1)/(Tabla2[[#This Row],[Fantasma Comunicación]]+RANDBETWEEN(0,5)+2))-0.5</f>
        <v>-0.25</v>
      </c>
      <c r="S585">
        <f ca="1">1+MAX(0,Tabla2[[#This Row],[Deuda actual]]/Tabla2[[#This Row],[Liquidez]]+Tabla2[[#This Row],[Liquidez]]/(Tabla2[[#This Row],[Activos]]+Tabla2[[#This Row],[Liquidez]])+Tabla2[[#This Row],[Comunicación]])</f>
        <v>1</v>
      </c>
      <c r="T585">
        <f ca="1">Tabla2[[#This Row],[Deuda actual]]*EXP(Tabla2[[#This Row],[Ki]]*Tabla2[[#This Row],[diferencia de días]])*(1+Tabla2[[#This Row],[Hg]])</f>
        <v>290.17046560561755</v>
      </c>
    </row>
    <row r="586" spans="1:20" ht="14.5" x14ac:dyDescent="0.35">
      <c r="A586">
        <f t="shared" si="99"/>
        <v>585</v>
      </c>
      <c r="B586">
        <f t="shared" ca="1" si="100"/>
        <v>46105</v>
      </c>
      <c r="C586">
        <f t="shared" ca="1" si="101"/>
        <v>46157</v>
      </c>
      <c r="D586">
        <f t="shared" ca="1" si="102"/>
        <v>11</v>
      </c>
      <c r="E586">
        <f t="shared" ca="1" si="103"/>
        <v>0.7553431049736824</v>
      </c>
      <c r="F586">
        <f t="shared" ca="1" si="104"/>
        <v>1924.05</v>
      </c>
      <c r="G586" t="str">
        <f t="shared" ca="1" si="105"/>
        <v>hipotecario</v>
      </c>
      <c r="H58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86" t="str">
        <f t="shared" ca="1" si="106"/>
        <v>Sí</v>
      </c>
      <c r="J58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86">
        <f ca="1">IF(Tabla2[[#This Row],[¿cliente deuda abierta?]]="Sí", Tabla2[[#This Row],[Deuda actual]]*Tabla2[[#This Row],[diferencia de días]], "0")</f>
        <v>21164.55</v>
      </c>
      <c r="L58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8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8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86">
        <f t="shared" ca="1" si="107"/>
        <v>1849.97</v>
      </c>
      <c r="P586">
        <f t="shared" ca="1" si="108"/>
        <v>459702.77</v>
      </c>
      <c r="Q586">
        <f t="shared" ca="1" si="109"/>
        <v>3</v>
      </c>
      <c r="R586">
        <f ca="1">((Tabla2[[#This Row],[Fantasma Comunicación]]+1)/(Tabla2[[#This Row],[Fantasma Comunicación]]+RANDBETWEEN(0,5)+2))-0.5</f>
        <v>0.16666666666666663</v>
      </c>
      <c r="S586">
        <f ca="1">1+MAX(0,Tabla2[[#This Row],[Deuda actual]]/Tabla2[[#This Row],[Liquidez]]+Tabla2[[#This Row],[Liquidez]]/(Tabla2[[#This Row],[Activos]]+Tabla2[[#This Row],[Liquidez]])+Tabla2[[#This Row],[Comunicación]])</f>
        <v>2.2107187036050386</v>
      </c>
      <c r="T586">
        <f ca="1">Tabla2[[#This Row],[Deuda actual]]*EXP(Tabla2[[#This Row],[Ki]]*Tabla2[[#This Row],[diferencia de días]])*(1+Tabla2[[#This Row],[Hg]])</f>
        <v>2024.7019480982974</v>
      </c>
    </row>
    <row r="587" spans="1:20" ht="14.5" x14ac:dyDescent="0.35">
      <c r="A587">
        <f t="shared" si="99"/>
        <v>586</v>
      </c>
      <c r="B587">
        <f t="shared" ca="1" si="100"/>
        <v>46105</v>
      </c>
      <c r="C587">
        <f t="shared" ca="1" si="101"/>
        <v>46157</v>
      </c>
      <c r="D587">
        <f t="shared" ca="1" si="102"/>
        <v>1</v>
      </c>
      <c r="E587">
        <f t="shared" ca="1" si="103"/>
        <v>0.60403219650815432</v>
      </c>
      <c r="F587">
        <f t="shared" ca="1" si="104"/>
        <v>8855.83</v>
      </c>
      <c r="G587" t="str">
        <f t="shared" ca="1" si="105"/>
        <v>personal</v>
      </c>
      <c r="H58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87" t="str">
        <f t="shared" ca="1" si="106"/>
        <v>Sí</v>
      </c>
      <c r="J58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87">
        <f ca="1">IF(Tabla2[[#This Row],[¿cliente deuda abierta?]]="Sí", Tabla2[[#This Row],[Deuda actual]]*Tabla2[[#This Row],[diferencia de días]], "0")</f>
        <v>8855.83</v>
      </c>
      <c r="L58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8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8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87">
        <f t="shared" ca="1" si="107"/>
        <v>2029.7</v>
      </c>
      <c r="P587">
        <f t="shared" ca="1" si="108"/>
        <v>165623.34</v>
      </c>
      <c r="Q587">
        <f t="shared" ca="1" si="109"/>
        <v>5</v>
      </c>
      <c r="R587">
        <f ca="1">((Tabla2[[#This Row],[Fantasma Comunicación]]+1)/(Tabla2[[#This Row],[Fantasma Comunicación]]+RANDBETWEEN(0,5)+2))-0.5</f>
        <v>0</v>
      </c>
      <c r="S587">
        <f ca="1">1+MAX(0,Tabla2[[#This Row],[Deuda actual]]/Tabla2[[#This Row],[Liquidez]]+Tabla2[[#This Row],[Liquidez]]/(Tabla2[[#This Row],[Activos]]+Tabla2[[#This Row],[Liquidez]])+Tabla2[[#This Row],[Comunicación]])</f>
        <v>5.3752291794883451</v>
      </c>
      <c r="T587">
        <f ca="1">Tabla2[[#This Row],[Deuda actual]]*EXP(Tabla2[[#This Row],[Ki]]*Tabla2[[#This Row],[diferencia de días]])*(1+Tabla2[[#This Row],[Hg]])</f>
        <v>9300.4814102848286</v>
      </c>
    </row>
    <row r="588" spans="1:20" ht="14.5" x14ac:dyDescent="0.35">
      <c r="A588">
        <f t="shared" si="99"/>
        <v>587</v>
      </c>
      <c r="B588">
        <f t="shared" ca="1" si="100"/>
        <v>46135</v>
      </c>
      <c r="C588">
        <f t="shared" ca="1" si="101"/>
        <v>46157</v>
      </c>
      <c r="D588">
        <f t="shared" ca="1" si="102"/>
        <v>3</v>
      </c>
      <c r="E588">
        <f t="shared" ca="1" si="103"/>
        <v>0.79754479680188328</v>
      </c>
      <c r="F588">
        <f t="shared" ca="1" si="104"/>
        <v>214.09</v>
      </c>
      <c r="G588" t="str">
        <f t="shared" ca="1" si="105"/>
        <v>hipotecario</v>
      </c>
      <c r="H58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88" t="str">
        <f t="shared" ca="1" si="106"/>
        <v>Sí</v>
      </c>
      <c r="J58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88">
        <f ca="1">IF(Tabla2[[#This Row],[¿cliente deuda abierta?]]="Sí", Tabla2[[#This Row],[Deuda actual]]*Tabla2[[#This Row],[diferencia de días]], "0")</f>
        <v>642.27</v>
      </c>
      <c r="L58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8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8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88">
        <f t="shared" ca="1" si="107"/>
        <v>2209.38</v>
      </c>
      <c r="P588">
        <f t="shared" ca="1" si="108"/>
        <v>315051.56</v>
      </c>
      <c r="Q588">
        <f t="shared" ca="1" si="109"/>
        <v>5</v>
      </c>
      <c r="R588">
        <f ca="1">((Tabla2[[#This Row],[Fantasma Comunicación]]+1)/(Tabla2[[#This Row],[Fantasma Comunicación]]+RANDBETWEEN(0,5)+2))-0.5</f>
        <v>9.9999999999999978E-2</v>
      </c>
      <c r="S588">
        <f ca="1">1+MAX(0,Tabla2[[#This Row],[Deuda actual]]/Tabla2[[#This Row],[Liquidez]]+Tabla2[[#This Row],[Liquidez]]/(Tabla2[[#This Row],[Activos]]+Tabla2[[#This Row],[Liquidez]])+Tabla2[[#This Row],[Comunicación]])</f>
        <v>1.2038644085334262</v>
      </c>
      <c r="T588">
        <f ca="1">Tabla2[[#This Row],[Deuda actual]]*EXP(Tabla2[[#This Row],[Ki]]*Tabla2[[#This Row],[diferencia de días]])*(1+Tabla2[[#This Row],[Hg]])</f>
        <v>224.92941717110381</v>
      </c>
    </row>
    <row r="589" spans="1:20" ht="14.5" x14ac:dyDescent="0.35">
      <c r="A589">
        <f t="shared" si="99"/>
        <v>588</v>
      </c>
      <c r="B589">
        <f t="shared" ca="1" si="100"/>
        <v>46104</v>
      </c>
      <c r="C589">
        <f t="shared" ca="1" si="101"/>
        <v>46157</v>
      </c>
      <c r="D589">
        <f t="shared" ca="1" si="102"/>
        <v>5</v>
      </c>
      <c r="E589">
        <f t="shared" ca="1" si="103"/>
        <v>0.69797166288074985</v>
      </c>
      <c r="F589">
        <f t="shared" ca="1" si="104"/>
        <v>10000</v>
      </c>
      <c r="G589" t="str">
        <f t="shared" ca="1" si="105"/>
        <v>personal</v>
      </c>
      <c r="H58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89" t="str">
        <f t="shared" ca="1" si="106"/>
        <v>Sí</v>
      </c>
      <c r="J58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89">
        <f ca="1">IF(Tabla2[[#This Row],[¿cliente deuda abierta?]]="Sí", Tabla2[[#This Row],[Deuda actual]]*Tabla2[[#This Row],[diferencia de días]], "0")</f>
        <v>50000</v>
      </c>
      <c r="L58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58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89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589">
        <f t="shared" ca="1" si="107"/>
        <v>1514.66</v>
      </c>
      <c r="P589">
        <f t="shared" ca="1" si="108"/>
        <v>232419.69</v>
      </c>
      <c r="Q589">
        <f t="shared" ca="1" si="109"/>
        <v>1</v>
      </c>
      <c r="R589">
        <f ca="1">((Tabla2[[#This Row],[Fantasma Comunicación]]+1)/(Tabla2[[#This Row],[Fantasma Comunicación]]+RANDBETWEEN(0,5)+2))-0.5</f>
        <v>-9.9999999999999978E-2</v>
      </c>
      <c r="S589">
        <f ca="1">1+MAX(0,Tabla2[[#This Row],[Deuda actual]]/Tabla2[[#This Row],[Liquidez]]+Tabla2[[#This Row],[Liquidez]]/(Tabla2[[#This Row],[Activos]]+Tabla2[[#This Row],[Liquidez]])+Tabla2[[#This Row],[Comunicación]])</f>
        <v>7.508616457281037</v>
      </c>
      <c r="T589">
        <f ca="1">Tabla2[[#This Row],[Deuda actual]]*EXP(Tabla2[[#This Row],[Ki]]*Tabla2[[#This Row],[diferencia de días]])*(1+Tabla2[[#This Row],[Hg]])</f>
        <v>11011.005501833792</v>
      </c>
    </row>
    <row r="590" spans="1:20" ht="14.5" x14ac:dyDescent="0.35">
      <c r="A590">
        <f t="shared" si="99"/>
        <v>589</v>
      </c>
      <c r="B590">
        <f t="shared" ca="1" si="100"/>
        <v>46094</v>
      </c>
      <c r="C590">
        <f t="shared" ca="1" si="101"/>
        <v>46157</v>
      </c>
      <c r="D590">
        <f t="shared" ca="1" si="102"/>
        <v>29</v>
      </c>
      <c r="E590">
        <f t="shared" ca="1" si="103"/>
        <v>0.72796137793601001</v>
      </c>
      <c r="F590">
        <f t="shared" ca="1" si="104"/>
        <v>3126.64</v>
      </c>
      <c r="G590" t="str">
        <f t="shared" ca="1" si="105"/>
        <v>personal</v>
      </c>
      <c r="H59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90" t="str">
        <f t="shared" ca="1" si="106"/>
        <v>Sí</v>
      </c>
      <c r="J59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90">
        <f ca="1">IF(Tabla2[[#This Row],[¿cliente deuda abierta?]]="Sí", Tabla2[[#This Row],[Deuda actual]]*Tabla2[[#This Row],[diferencia de días]], "0")</f>
        <v>90672.56</v>
      </c>
      <c r="L59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59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90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590">
        <f t="shared" ca="1" si="107"/>
        <v>1747.93</v>
      </c>
      <c r="P590">
        <f t="shared" ca="1" si="108"/>
        <v>543664.87</v>
      </c>
      <c r="Q590">
        <f t="shared" ca="1" si="109"/>
        <v>0</v>
      </c>
      <c r="R590">
        <f ca="1">((Tabla2[[#This Row],[Fantasma Comunicación]]+1)/(Tabla2[[#This Row],[Fantasma Comunicación]]+RANDBETWEEN(0,5)+2))-0.5</f>
        <v>-0.16666666666666669</v>
      </c>
      <c r="S590">
        <f ca="1">1+MAX(0,Tabla2[[#This Row],[Deuda actual]]/Tabla2[[#This Row],[Liquidez]]+Tabla2[[#This Row],[Liquidez]]/(Tabla2[[#This Row],[Activos]]+Tabla2[[#This Row],[Liquidez]])+Tabla2[[#This Row],[Comunicación]])</f>
        <v>2.6253054016705204</v>
      </c>
      <c r="T590">
        <f ca="1">Tabla2[[#This Row],[Deuda actual]]*EXP(Tabla2[[#This Row],[Ki]]*Tabla2[[#This Row],[diferencia de días]])*(1+Tabla2[[#This Row],[Hg]])</f>
        <v>3637.5882301113602</v>
      </c>
    </row>
    <row r="591" spans="1:20" ht="14.5" x14ac:dyDescent="0.35">
      <c r="A591">
        <f t="shared" si="99"/>
        <v>590</v>
      </c>
      <c r="B591">
        <f t="shared" ca="1" si="100"/>
        <v>46116</v>
      </c>
      <c r="C591">
        <f t="shared" ca="1" si="101"/>
        <v>46157</v>
      </c>
      <c r="D591">
        <f t="shared" ca="1" si="102"/>
        <v>30</v>
      </c>
      <c r="E591">
        <f t="shared" ca="1" si="103"/>
        <v>8.064104320015042E-2</v>
      </c>
      <c r="F591">
        <f t="shared" ca="1" si="104"/>
        <v>1397.46</v>
      </c>
      <c r="G591" t="str">
        <f t="shared" ca="1" si="105"/>
        <v>personal</v>
      </c>
      <c r="H59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591" t="str">
        <f t="shared" ca="1" si="106"/>
        <v>No</v>
      </c>
      <c r="J59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12001.20826322605</v>
      </c>
      <c r="K591" t="str">
        <f ca="1">IF(Tabla2[[#This Row],[¿cliente deuda abierta?]]="Sí", Tabla2[[#This Row],[Deuda actual]]*Tabla2[[#This Row],[diferencia de días]], "0")</f>
        <v>0</v>
      </c>
      <c r="L59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9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591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591">
        <f t="shared" ca="1" si="107"/>
        <v>963.9</v>
      </c>
      <c r="P591">
        <f t="shared" ca="1" si="108"/>
        <v>49601.04</v>
      </c>
      <c r="Q591">
        <f t="shared" ca="1" si="109"/>
        <v>3</v>
      </c>
      <c r="R591">
        <f ca="1">((Tabla2[[#This Row],[Fantasma Comunicación]]+1)/(Tabla2[[#This Row],[Fantasma Comunicación]]+RANDBETWEEN(0,5)+2))-0.5</f>
        <v>0.30000000000000004</v>
      </c>
      <c r="S591">
        <f ca="1">1+MAX(0,Tabla2[[#This Row],[Deuda actual]]/Tabla2[[#This Row],[Liquidez]]+Tabla2[[#This Row],[Liquidez]]/(Tabla2[[#This Row],[Activos]]+Tabla2[[#This Row],[Liquidez]])+Tabla2[[#This Row],[Comunicación]])</f>
        <v>2.7688603121785205</v>
      </c>
      <c r="T591">
        <f ca="1">Tabla2[[#This Row],[Deuda actual]]*EXP(Tabla2[[#This Row],[Ki]]*Tabla2[[#This Row],[diferencia de días]])*(1+Tabla2[[#This Row],[Hg]])</f>
        <v>1296.0170937168136</v>
      </c>
    </row>
    <row r="592" spans="1:20" ht="14.5" x14ac:dyDescent="0.35">
      <c r="A592">
        <f t="shared" si="99"/>
        <v>591</v>
      </c>
      <c r="B592">
        <f t="shared" ca="1" si="100"/>
        <v>46095</v>
      </c>
      <c r="C592">
        <f t="shared" ca="1" si="101"/>
        <v>46157</v>
      </c>
      <c r="D592">
        <f t="shared" ca="1" si="102"/>
        <v>3</v>
      </c>
      <c r="E592">
        <f t="shared" ca="1" si="103"/>
        <v>0.23033986305857757</v>
      </c>
      <c r="F592">
        <f t="shared" ca="1" si="104"/>
        <v>6494.2</v>
      </c>
      <c r="G592" t="str">
        <f t="shared" ca="1" si="105"/>
        <v>hipotecario</v>
      </c>
      <c r="H59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92" t="str">
        <f t="shared" ca="1" si="106"/>
        <v>Sí</v>
      </c>
      <c r="J59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92">
        <f ca="1">IF(Tabla2[[#This Row],[¿cliente deuda abierta?]]="Sí", Tabla2[[#This Row],[Deuda actual]]*Tabla2[[#This Row],[diferencia de días]], "0")</f>
        <v>19482.599999999999</v>
      </c>
      <c r="L59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9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9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92">
        <f t="shared" ca="1" si="107"/>
        <v>1519.38</v>
      </c>
      <c r="P592">
        <f t="shared" ca="1" si="108"/>
        <v>569975.17000000004</v>
      </c>
      <c r="Q592">
        <f t="shared" ca="1" si="109"/>
        <v>2</v>
      </c>
      <c r="R592">
        <f ca="1">((Tabla2[[#This Row],[Fantasma Comunicación]]+1)/(Tabla2[[#This Row],[Fantasma Comunicación]]+RANDBETWEEN(0,5)+2))-0.5</f>
        <v>0.25</v>
      </c>
      <c r="S592">
        <f ca="1">1+MAX(0,Tabla2[[#This Row],[Deuda actual]]/Tabla2[[#This Row],[Liquidez]]+Tabla2[[#This Row],[Liquidez]]/(Tabla2[[#This Row],[Activos]]+Tabla2[[#This Row],[Liquidez]])+Tabla2[[#This Row],[Comunicación]])</f>
        <v>5.5269020494342005</v>
      </c>
      <c r="T592">
        <f ca="1">Tabla2[[#This Row],[Deuda actual]]*EXP(Tabla2[[#This Row],[Ki]]*Tabla2[[#This Row],[diferencia de días]])*(1+Tabla2[[#This Row],[Hg]])</f>
        <v>6823.002573649318</v>
      </c>
    </row>
    <row r="593" spans="1:20" ht="14.5" x14ac:dyDescent="0.35">
      <c r="A593">
        <f t="shared" si="99"/>
        <v>592</v>
      </c>
      <c r="B593">
        <f t="shared" ca="1" si="100"/>
        <v>46137</v>
      </c>
      <c r="C593">
        <f t="shared" ca="1" si="101"/>
        <v>46157</v>
      </c>
      <c r="D593">
        <f t="shared" ca="1" si="102"/>
        <v>16</v>
      </c>
      <c r="E593">
        <f t="shared" ca="1" si="103"/>
        <v>0.47131330450301101</v>
      </c>
      <c r="F593">
        <f t="shared" ca="1" si="104"/>
        <v>1241.3800000000001</v>
      </c>
      <c r="G593" t="str">
        <f t="shared" ca="1" si="105"/>
        <v>personal</v>
      </c>
      <c r="H59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93" t="str">
        <f t="shared" ca="1" si="106"/>
        <v>Sí</v>
      </c>
      <c r="J59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93">
        <f ca="1">IF(Tabla2[[#This Row],[¿cliente deuda abierta?]]="Sí", Tabla2[[#This Row],[Deuda actual]]*Tabla2[[#This Row],[diferencia de días]], "0")</f>
        <v>19862.080000000002</v>
      </c>
      <c r="L59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9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9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93">
        <f t="shared" ca="1" si="107"/>
        <v>1635.89</v>
      </c>
      <c r="P593">
        <f t="shared" ca="1" si="108"/>
        <v>128438.61</v>
      </c>
      <c r="Q593">
        <f t="shared" ca="1" si="109"/>
        <v>5</v>
      </c>
      <c r="R593">
        <f ca="1">((Tabla2[[#This Row],[Fantasma Comunicación]]+1)/(Tabla2[[#This Row],[Fantasma Comunicación]]+RANDBETWEEN(0,5)+2))-0.5</f>
        <v>0.25</v>
      </c>
      <c r="S593">
        <f ca="1">1+MAX(0,Tabla2[[#This Row],[Deuda actual]]/Tabla2[[#This Row],[Liquidez]]+Tabla2[[#This Row],[Liquidez]]/(Tabla2[[#This Row],[Activos]]+Tabla2[[#This Row],[Liquidez]])+Tabla2[[#This Row],[Comunicación]])</f>
        <v>2.0214173152447632</v>
      </c>
      <c r="T593">
        <f ca="1">Tabla2[[#This Row],[Deuda actual]]*EXP(Tabla2[[#This Row],[Ki]]*Tabla2[[#This Row],[diferencia de días]])*(1+Tabla2[[#This Row],[Hg]])</f>
        <v>1311.8178252753105</v>
      </c>
    </row>
    <row r="594" spans="1:20" ht="14.5" x14ac:dyDescent="0.35">
      <c r="A594">
        <f t="shared" si="99"/>
        <v>593</v>
      </c>
      <c r="B594">
        <f t="shared" ca="1" si="100"/>
        <v>46097</v>
      </c>
      <c r="C594">
        <f t="shared" ca="1" si="101"/>
        <v>46157</v>
      </c>
      <c r="D594">
        <f t="shared" ca="1" si="102"/>
        <v>18</v>
      </c>
      <c r="E594">
        <f t="shared" ca="1" si="103"/>
        <v>0.13355632743236956</v>
      </c>
      <c r="F594">
        <f t="shared" ca="1" si="104"/>
        <v>7922.46</v>
      </c>
      <c r="G594" t="str">
        <f t="shared" ca="1" si="105"/>
        <v>hipotecario</v>
      </c>
      <c r="H59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94" t="str">
        <f t="shared" ca="1" si="106"/>
        <v>Sí</v>
      </c>
      <c r="J59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94">
        <f ca="1">IF(Tabla2[[#This Row],[¿cliente deuda abierta?]]="Sí", Tabla2[[#This Row],[Deuda actual]]*Tabla2[[#This Row],[diferencia de días]], "0")</f>
        <v>142604.28</v>
      </c>
      <c r="L59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59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94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594">
        <f t="shared" ca="1" si="107"/>
        <v>1665.25</v>
      </c>
      <c r="P594">
        <f t="shared" ca="1" si="108"/>
        <v>39316.269999999997</v>
      </c>
      <c r="Q594">
        <f t="shared" ca="1" si="109"/>
        <v>2</v>
      </c>
      <c r="R594">
        <f ca="1">((Tabla2[[#This Row],[Fantasma Comunicación]]+1)/(Tabla2[[#This Row],[Fantasma Comunicación]]+RANDBETWEEN(0,5)+2))-0.5</f>
        <v>9.9999999999999978E-2</v>
      </c>
      <c r="S594">
        <f ca="1">1+MAX(0,Tabla2[[#This Row],[Deuda actual]]/Tabla2[[#This Row],[Liquidez]]+Tabla2[[#This Row],[Liquidez]]/(Tabla2[[#This Row],[Activos]]+Tabla2[[#This Row],[Liquidez]])+Tabla2[[#This Row],[Comunicación]])</f>
        <v>5.8981540606749219</v>
      </c>
      <c r="T594">
        <f ca="1">Tabla2[[#This Row],[Deuda actual]]*EXP(Tabla2[[#This Row],[Ki]]*Tabla2[[#This Row],[diferencia de días]])*(1+Tabla2[[#This Row],[Hg]])</f>
        <v>9176.6636892757815</v>
      </c>
    </row>
    <row r="595" spans="1:20" ht="14.5" x14ac:dyDescent="0.35">
      <c r="A595">
        <f t="shared" si="99"/>
        <v>594</v>
      </c>
      <c r="B595">
        <f t="shared" ca="1" si="100"/>
        <v>46090</v>
      </c>
      <c r="C595">
        <f t="shared" ca="1" si="101"/>
        <v>46157</v>
      </c>
      <c r="D595">
        <f t="shared" ca="1" si="102"/>
        <v>8</v>
      </c>
      <c r="E595">
        <f t="shared" ca="1" si="103"/>
        <v>0.45512299363353592</v>
      </c>
      <c r="F595">
        <f t="shared" ca="1" si="104"/>
        <v>404.98</v>
      </c>
      <c r="G595" t="str">
        <f t="shared" ca="1" si="105"/>
        <v>hipotecario</v>
      </c>
      <c r="H59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95" t="str">
        <f t="shared" ca="1" si="106"/>
        <v>No</v>
      </c>
      <c r="J59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164999.04676251384</v>
      </c>
      <c r="K595" t="str">
        <f ca="1">IF(Tabla2[[#This Row],[¿cliente deuda abierta?]]="Sí", Tabla2[[#This Row],[Deuda actual]]*Tabla2[[#This Row],[diferencia de días]], "0")</f>
        <v>0</v>
      </c>
      <c r="L59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9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595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595">
        <f t="shared" ca="1" si="107"/>
        <v>1187.23</v>
      </c>
      <c r="P595">
        <f t="shared" ca="1" si="108"/>
        <v>132643.53</v>
      </c>
      <c r="Q595">
        <f t="shared" ca="1" si="109"/>
        <v>5</v>
      </c>
      <c r="R595">
        <f ca="1">((Tabla2[[#This Row],[Fantasma Comunicación]]+1)/(Tabla2[[#This Row],[Fantasma Comunicación]]+RANDBETWEEN(0,5)+2))-0.5</f>
        <v>4.5454545454545414E-2</v>
      </c>
      <c r="S595">
        <f ca="1">1+MAX(0,Tabla2[[#This Row],[Deuda actual]]/Tabla2[[#This Row],[Liquidez]]+Tabla2[[#This Row],[Liquidez]]/(Tabla2[[#This Row],[Activos]]+Tabla2[[#This Row],[Liquidez]])+Tabla2[[#This Row],[Comunicación]])</f>
        <v>1.3954390228087956</v>
      </c>
      <c r="T595">
        <f ca="1">Tabla2[[#This Row],[Deuda actual]]*EXP(Tabla2[[#This Row],[Ki]]*Tabla2[[#This Row],[diferencia de días]])*(1+Tabla2[[#This Row],[Hg]])</f>
        <v>324.50278932078163</v>
      </c>
    </row>
    <row r="596" spans="1:20" ht="14.5" x14ac:dyDescent="0.35">
      <c r="A596">
        <f t="shared" si="99"/>
        <v>595</v>
      </c>
      <c r="B596">
        <f t="shared" ca="1" si="100"/>
        <v>46128</v>
      </c>
      <c r="C596">
        <f t="shared" ca="1" si="101"/>
        <v>46157</v>
      </c>
      <c r="D596">
        <f t="shared" ca="1" si="102"/>
        <v>9</v>
      </c>
      <c r="E596">
        <f t="shared" ca="1" si="103"/>
        <v>0.56105359571818558</v>
      </c>
      <c r="F596">
        <f t="shared" ca="1" si="104"/>
        <v>1850.55</v>
      </c>
      <c r="G596" t="str">
        <f t="shared" ca="1" si="105"/>
        <v>hipotecario</v>
      </c>
      <c r="H59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96" t="str">
        <f t="shared" ca="1" si="106"/>
        <v>Sí</v>
      </c>
      <c r="J59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96">
        <f ca="1">IF(Tabla2[[#This Row],[¿cliente deuda abierta?]]="Sí", Tabla2[[#This Row],[Deuda actual]]*Tabla2[[#This Row],[diferencia de días]], "0")</f>
        <v>16654.95</v>
      </c>
      <c r="L59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9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9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96">
        <f t="shared" ca="1" si="107"/>
        <v>1222.54</v>
      </c>
      <c r="P596">
        <f t="shared" ca="1" si="108"/>
        <v>253864.47</v>
      </c>
      <c r="Q596">
        <f t="shared" ca="1" si="109"/>
        <v>0</v>
      </c>
      <c r="R596">
        <f ca="1">((Tabla2[[#This Row],[Fantasma Comunicación]]+1)/(Tabla2[[#This Row],[Fantasma Comunicación]]+RANDBETWEEN(0,5)+2))-0.5</f>
        <v>-0.3</v>
      </c>
      <c r="S596">
        <f ca="1">1+MAX(0,Tabla2[[#This Row],[Deuda actual]]/Tabla2[[#This Row],[Liquidez]]+Tabla2[[#This Row],[Liquidez]]/(Tabla2[[#This Row],[Activos]]+Tabla2[[#This Row],[Liquidez]])+Tabla2[[#This Row],[Comunicación]])</f>
        <v>2.2184854426935869</v>
      </c>
      <c r="T596">
        <f ca="1">Tabla2[[#This Row],[Deuda actual]]*EXP(Tabla2[[#This Row],[Ki]]*Tabla2[[#This Row],[diferencia de días]])*(1+Tabla2[[#This Row],[Hg]])</f>
        <v>1946.5781891750719</v>
      </c>
    </row>
    <row r="597" spans="1:20" ht="14.5" x14ac:dyDescent="0.35">
      <c r="A597">
        <f t="shared" si="99"/>
        <v>596</v>
      </c>
      <c r="B597">
        <f t="shared" ca="1" si="100"/>
        <v>46103</v>
      </c>
      <c r="C597">
        <f t="shared" ca="1" si="101"/>
        <v>46157</v>
      </c>
      <c r="D597">
        <f t="shared" ca="1" si="102"/>
        <v>11</v>
      </c>
      <c r="E597">
        <f t="shared" ca="1" si="103"/>
        <v>0.98338764153696612</v>
      </c>
      <c r="F597">
        <f t="shared" ca="1" si="104"/>
        <v>973.38</v>
      </c>
      <c r="G597" t="str">
        <f t="shared" ca="1" si="105"/>
        <v>personal</v>
      </c>
      <c r="H59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97" t="str">
        <f t="shared" ca="1" si="106"/>
        <v>Sí</v>
      </c>
      <c r="J59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97">
        <f ca="1">IF(Tabla2[[#This Row],[¿cliente deuda abierta?]]="Sí", Tabla2[[#This Row],[Deuda actual]]*Tabla2[[#This Row],[diferencia de días]], "0")</f>
        <v>10707.18</v>
      </c>
      <c r="L59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9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9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97">
        <f t="shared" ca="1" si="107"/>
        <v>1633.33</v>
      </c>
      <c r="P597">
        <f t="shared" ca="1" si="108"/>
        <v>72949.84</v>
      </c>
      <c r="Q597">
        <f t="shared" ca="1" si="109"/>
        <v>3</v>
      </c>
      <c r="R597">
        <f ca="1">((Tabla2[[#This Row],[Fantasma Comunicación]]+1)/(Tabla2[[#This Row],[Fantasma Comunicación]]+RANDBETWEEN(0,5)+2))-0.5</f>
        <v>0</v>
      </c>
      <c r="S597">
        <f ca="1">1+MAX(0,Tabla2[[#This Row],[Deuda actual]]/Tabla2[[#This Row],[Liquidez]]+Tabla2[[#This Row],[Liquidez]]/(Tabla2[[#This Row],[Activos]]+Tabla2[[#This Row],[Liquidez]])+Tabla2[[#This Row],[Comunicación]])</f>
        <v>1.6178475996028396</v>
      </c>
      <c r="T597">
        <f ca="1">Tabla2[[#This Row],[Deuda actual]]*EXP(Tabla2[[#This Row],[Ki]]*Tabla2[[#This Row],[diferencia de días]])*(1+Tabla2[[#This Row],[Hg]])</f>
        <v>1024.2999829733742</v>
      </c>
    </row>
    <row r="598" spans="1:20" ht="14.5" x14ac:dyDescent="0.35">
      <c r="A598">
        <f t="shared" si="99"/>
        <v>597</v>
      </c>
      <c r="B598">
        <f t="shared" ca="1" si="100"/>
        <v>46124</v>
      </c>
      <c r="C598">
        <f t="shared" ca="1" si="101"/>
        <v>46157</v>
      </c>
      <c r="D598">
        <f t="shared" ca="1" si="102"/>
        <v>17</v>
      </c>
      <c r="E598">
        <f t="shared" ca="1" si="103"/>
        <v>0.7313248181637404</v>
      </c>
      <c r="F598">
        <f t="shared" ca="1" si="104"/>
        <v>627.86</v>
      </c>
      <c r="G598" t="str">
        <f t="shared" ca="1" si="105"/>
        <v>hipotecario</v>
      </c>
      <c r="H59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598" t="str">
        <f t="shared" ca="1" si="106"/>
        <v>Sí</v>
      </c>
      <c r="J59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598">
        <f ca="1">IF(Tabla2[[#This Row],[¿cliente deuda abierta?]]="Sí", Tabla2[[#This Row],[Deuda actual]]*Tabla2[[#This Row],[diferencia de días]], "0")</f>
        <v>10673.62</v>
      </c>
      <c r="L59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59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59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598">
        <f t="shared" ca="1" si="107"/>
        <v>2254.65</v>
      </c>
      <c r="P598">
        <f t="shared" ca="1" si="108"/>
        <v>222627.48</v>
      </c>
      <c r="Q598">
        <f t="shared" ca="1" si="109"/>
        <v>1</v>
      </c>
      <c r="R598">
        <f ca="1">((Tabla2[[#This Row],[Fantasma Comunicación]]+1)/(Tabla2[[#This Row],[Fantasma Comunicación]]+RANDBETWEEN(0,5)+2))-0.5</f>
        <v>-0.25</v>
      </c>
      <c r="S598">
        <f ca="1">1+MAX(0,Tabla2[[#This Row],[Deuda actual]]/Tabla2[[#This Row],[Liquidez]]+Tabla2[[#This Row],[Liquidez]]/(Tabla2[[#This Row],[Activos]]+Tabla2[[#This Row],[Liquidez]])+Tabla2[[#This Row],[Comunicación]])</f>
        <v>1.0384992961539745</v>
      </c>
      <c r="T598">
        <f ca="1">Tabla2[[#This Row],[Deuda actual]]*EXP(Tabla2[[#This Row],[Ki]]*Tabla2[[#This Row],[diferencia de días]])*(1+Tabla2[[#This Row],[Hg]])</f>
        <v>663.75119693654551</v>
      </c>
    </row>
    <row r="599" spans="1:20" ht="14.5" x14ac:dyDescent="0.35">
      <c r="A599">
        <f t="shared" si="99"/>
        <v>598</v>
      </c>
      <c r="B599">
        <f t="shared" ca="1" si="100"/>
        <v>46095</v>
      </c>
      <c r="C599">
        <f t="shared" ca="1" si="101"/>
        <v>46157</v>
      </c>
      <c r="D599">
        <f t="shared" ca="1" si="102"/>
        <v>11</v>
      </c>
      <c r="E599">
        <f t="shared" ca="1" si="103"/>
        <v>0.32286921224711829</v>
      </c>
      <c r="F599">
        <f t="shared" ca="1" si="104"/>
        <v>430.21</v>
      </c>
      <c r="G599" t="str">
        <f t="shared" ca="1" si="105"/>
        <v>personal</v>
      </c>
      <c r="H59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599" t="str">
        <f t="shared" ca="1" si="106"/>
        <v>No</v>
      </c>
      <c r="J59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11998.871038695823</v>
      </c>
      <c r="K599" t="str">
        <f ca="1">IF(Tabla2[[#This Row],[¿cliente deuda abierta?]]="Sí", Tabla2[[#This Row],[Deuda actual]]*Tabla2[[#This Row],[diferencia de días]], "0")</f>
        <v>0</v>
      </c>
      <c r="L59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59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599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599">
        <f t="shared" ca="1" si="107"/>
        <v>2049.08</v>
      </c>
      <c r="P599">
        <f t="shared" ca="1" si="108"/>
        <v>515827.54</v>
      </c>
      <c r="Q599">
        <f t="shared" ca="1" si="109"/>
        <v>3</v>
      </c>
      <c r="R599">
        <f ca="1">((Tabla2[[#This Row],[Fantasma Comunicación]]+1)/(Tabla2[[#This Row],[Fantasma Comunicación]]+RANDBETWEEN(0,5)+2))-0.5</f>
        <v>0</v>
      </c>
      <c r="S599">
        <f ca="1">1+MAX(0,Tabla2[[#This Row],[Deuda actual]]/Tabla2[[#This Row],[Liquidez]]+Tabla2[[#This Row],[Liquidez]]/(Tabla2[[#This Row],[Activos]]+Tabla2[[#This Row],[Liquidez]])+Tabla2[[#This Row],[Comunicación]])</f>
        <v>1.2139094546096216</v>
      </c>
      <c r="T599">
        <f ca="1">Tabla2[[#This Row],[Deuda actual]]*EXP(Tabla2[[#This Row],[Ki]]*Tabla2[[#This Row],[diferencia de días]])*(1+Tabla2[[#This Row],[Hg]])</f>
        <v>388.04175348488951</v>
      </c>
    </row>
    <row r="600" spans="1:20" ht="14.5" x14ac:dyDescent="0.35">
      <c r="A600">
        <f t="shared" si="99"/>
        <v>599</v>
      </c>
      <c r="B600">
        <f t="shared" ca="1" si="100"/>
        <v>46097</v>
      </c>
      <c r="C600">
        <f t="shared" ca="1" si="101"/>
        <v>46157</v>
      </c>
      <c r="D600">
        <f t="shared" ca="1" si="102"/>
        <v>5</v>
      </c>
      <c r="E600">
        <f t="shared" ca="1" si="103"/>
        <v>0.72666990055366887</v>
      </c>
      <c r="F600">
        <f t="shared" ca="1" si="104"/>
        <v>3078.33</v>
      </c>
      <c r="G600" t="str">
        <f t="shared" ca="1" si="105"/>
        <v>hipotecario</v>
      </c>
      <c r="H60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00" t="str">
        <f t="shared" ca="1" si="106"/>
        <v>No</v>
      </c>
      <c r="J60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165002.00770727149</v>
      </c>
      <c r="K600" t="str">
        <f ca="1">IF(Tabla2[[#This Row],[¿cliente deuda abierta?]]="Sí", Tabla2[[#This Row],[Deuda actual]]*Tabla2[[#This Row],[diferencia de días]], "0")</f>
        <v>0</v>
      </c>
      <c r="L60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0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0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00">
        <f t="shared" ca="1" si="107"/>
        <v>930.39</v>
      </c>
      <c r="P600">
        <f t="shared" ca="1" si="108"/>
        <v>311996.74</v>
      </c>
      <c r="Q600">
        <f t="shared" ca="1" si="109"/>
        <v>5</v>
      </c>
      <c r="R600">
        <f ca="1">((Tabla2[[#This Row],[Fantasma Comunicación]]+1)/(Tabla2[[#This Row],[Fantasma Comunicación]]+RANDBETWEEN(0,5)+2))-0.5</f>
        <v>0</v>
      </c>
      <c r="S600">
        <f ca="1">1+MAX(0,Tabla2[[#This Row],[Deuda actual]]/Tabla2[[#This Row],[Liquidez]]+Tabla2[[#This Row],[Liquidez]]/(Tabla2[[#This Row],[Activos]]+Tabla2[[#This Row],[Liquidez]])+Tabla2[[#This Row],[Comunicación]])</f>
        <v>4.3116179460783117</v>
      </c>
      <c r="T600">
        <f ca="1">Tabla2[[#This Row],[Deuda actual]]*EXP(Tabla2[[#This Row],[Ki]]*Tabla2[[#This Row],[diferencia de días]])*(1+Tabla2[[#This Row],[Hg]])</f>
        <v>2465.127895742547</v>
      </c>
    </row>
    <row r="601" spans="1:20" ht="14.5" x14ac:dyDescent="0.35">
      <c r="A601">
        <f t="shared" si="99"/>
        <v>600</v>
      </c>
      <c r="B601">
        <f t="shared" ca="1" si="100"/>
        <v>46090</v>
      </c>
      <c r="C601">
        <f t="shared" ca="1" si="101"/>
        <v>46157</v>
      </c>
      <c r="D601">
        <f t="shared" ca="1" si="102"/>
        <v>17</v>
      </c>
      <c r="E601">
        <f t="shared" ca="1" si="103"/>
        <v>0.23898838860255001</v>
      </c>
      <c r="F601">
        <f t="shared" ca="1" si="104"/>
        <v>755.56</v>
      </c>
      <c r="G601" t="str">
        <f t="shared" ca="1" si="105"/>
        <v>hipotecario</v>
      </c>
      <c r="H60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01" t="str">
        <f t="shared" ca="1" si="106"/>
        <v>Sí</v>
      </c>
      <c r="J60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01">
        <f ca="1">IF(Tabla2[[#This Row],[¿cliente deuda abierta?]]="Sí", Tabla2[[#This Row],[Deuda actual]]*Tabla2[[#This Row],[diferencia de días]], "0")</f>
        <v>12844.519999999999</v>
      </c>
      <c r="L60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0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0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01">
        <f t="shared" ca="1" si="107"/>
        <v>1875.95</v>
      </c>
      <c r="P601">
        <f t="shared" ca="1" si="108"/>
        <v>103977.29</v>
      </c>
      <c r="Q601">
        <f t="shared" ca="1" si="109"/>
        <v>2</v>
      </c>
      <c r="R601">
        <f ca="1">((Tabla2[[#This Row],[Fantasma Comunicación]]+1)/(Tabla2[[#This Row],[Fantasma Comunicación]]+RANDBETWEEN(0,5)+2))-0.5</f>
        <v>-0.16666666666666669</v>
      </c>
      <c r="S601">
        <f ca="1">1+MAX(0,Tabla2[[#This Row],[Deuda actual]]/Tabla2[[#This Row],[Liquidez]]+Tabla2[[#This Row],[Liquidez]]/(Tabla2[[#This Row],[Activos]]+Tabla2[[#This Row],[Liquidez]])+Tabla2[[#This Row],[Comunicación]])</f>
        <v>1.253816779324691</v>
      </c>
      <c r="T601">
        <f ca="1">Tabla2[[#This Row],[Deuda actual]]*EXP(Tabla2[[#This Row],[Ki]]*Tabla2[[#This Row],[diferencia de días]])*(1+Tabla2[[#This Row],[Hg]])</f>
        <v>798.75108202047636</v>
      </c>
    </row>
    <row r="602" spans="1:20" ht="14.5" x14ac:dyDescent="0.35">
      <c r="A602">
        <f t="shared" si="99"/>
        <v>601</v>
      </c>
      <c r="B602">
        <f t="shared" ca="1" si="100"/>
        <v>46090</v>
      </c>
      <c r="C602">
        <f t="shared" ca="1" si="101"/>
        <v>46157</v>
      </c>
      <c r="D602">
        <f t="shared" ca="1" si="102"/>
        <v>5</v>
      </c>
      <c r="E602">
        <f t="shared" ca="1" si="103"/>
        <v>0.10512055884312632</v>
      </c>
      <c r="F602">
        <f t="shared" ca="1" si="104"/>
        <v>479.5</v>
      </c>
      <c r="G602" t="str">
        <f t="shared" ca="1" si="105"/>
        <v>hipotecario</v>
      </c>
      <c r="H60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02" t="str">
        <f t="shared" ca="1" si="106"/>
        <v>No</v>
      </c>
      <c r="J60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164999.03543307481</v>
      </c>
      <c r="K602" t="str">
        <f ca="1">IF(Tabla2[[#This Row],[¿cliente deuda abierta?]]="Sí", Tabla2[[#This Row],[Deuda actual]]*Tabla2[[#This Row],[diferencia de días]], "0")</f>
        <v>0</v>
      </c>
      <c r="L60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0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0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02">
        <f t="shared" ca="1" si="107"/>
        <v>1762.21</v>
      </c>
      <c r="P602">
        <f t="shared" ca="1" si="108"/>
        <v>111173.17</v>
      </c>
      <c r="Q602">
        <f t="shared" ca="1" si="109"/>
        <v>2</v>
      </c>
      <c r="R602">
        <f ca="1">((Tabla2[[#This Row],[Fantasma Comunicación]]+1)/(Tabla2[[#This Row],[Fantasma Comunicación]]+RANDBETWEEN(0,5)+2))-0.5</f>
        <v>0.25</v>
      </c>
      <c r="S602">
        <f ca="1">1+MAX(0,Tabla2[[#This Row],[Deuda actual]]/Tabla2[[#This Row],[Liquidez]]+Tabla2[[#This Row],[Liquidez]]/(Tabla2[[#This Row],[Activos]]+Tabla2[[#This Row],[Liquidez]])+Tabla2[[#This Row],[Comunicación]])</f>
        <v>1.5377052107699127</v>
      </c>
      <c r="T602">
        <f ca="1">Tabla2[[#This Row],[Deuda actual]]*EXP(Tabla2[[#This Row],[Ki]]*Tabla2[[#This Row],[diferencia de días]])*(1+Tabla2[[#This Row],[Hg]])</f>
        <v>383.98379186394936</v>
      </c>
    </row>
    <row r="603" spans="1:20" ht="14.5" x14ac:dyDescent="0.35">
      <c r="A603">
        <f t="shared" si="99"/>
        <v>602</v>
      </c>
      <c r="B603">
        <f t="shared" ca="1" si="100"/>
        <v>46125</v>
      </c>
      <c r="C603">
        <f t="shared" ca="1" si="101"/>
        <v>46157</v>
      </c>
      <c r="D603">
        <f t="shared" ca="1" si="102"/>
        <v>26</v>
      </c>
      <c r="E603">
        <f t="shared" ca="1" si="103"/>
        <v>9.7543222761823589E-2</v>
      </c>
      <c r="F603">
        <f t="shared" ca="1" si="104"/>
        <v>307.91000000000003</v>
      </c>
      <c r="G603" t="str">
        <f t="shared" ca="1" si="105"/>
        <v>personal</v>
      </c>
      <c r="H60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03" t="str">
        <f t="shared" ca="1" si="106"/>
        <v>Sí</v>
      </c>
      <c r="J60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03">
        <f ca="1">IF(Tabla2[[#This Row],[¿cliente deuda abierta?]]="Sí", Tabla2[[#This Row],[Deuda actual]]*Tabla2[[#This Row],[diferencia de días]], "0")</f>
        <v>8005.6600000000008</v>
      </c>
      <c r="L60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0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0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03">
        <f t="shared" ca="1" si="107"/>
        <v>1671.57</v>
      </c>
      <c r="P603">
        <f t="shared" ca="1" si="108"/>
        <v>197381.85</v>
      </c>
      <c r="Q603">
        <f t="shared" ca="1" si="109"/>
        <v>5</v>
      </c>
      <c r="R603">
        <f ca="1">((Tabla2[[#This Row],[Fantasma Comunicación]]+1)/(Tabla2[[#This Row],[Fantasma Comunicación]]+RANDBETWEEN(0,5)+2))-0.5</f>
        <v>9.9999999999999978E-2</v>
      </c>
      <c r="S603">
        <f ca="1">1+MAX(0,Tabla2[[#This Row],[Deuda actual]]/Tabla2[[#This Row],[Liquidez]]+Tabla2[[#This Row],[Liquidez]]/(Tabla2[[#This Row],[Activos]]+Tabla2[[#This Row],[Liquidez]])+Tabla2[[#This Row],[Comunicación]])</f>
        <v>1.292601666598558</v>
      </c>
      <c r="T603">
        <f ca="1">Tabla2[[#This Row],[Deuda actual]]*EXP(Tabla2[[#This Row],[Ki]]*Tabla2[[#This Row],[diferencia de días]])*(1+Tabla2[[#This Row],[Hg]])</f>
        <v>326.6854223318137</v>
      </c>
    </row>
    <row r="604" spans="1:20" ht="14.5" x14ac:dyDescent="0.35">
      <c r="A604">
        <f t="shared" si="99"/>
        <v>603</v>
      </c>
      <c r="B604">
        <f t="shared" ca="1" si="100"/>
        <v>46120</v>
      </c>
      <c r="C604">
        <f t="shared" ca="1" si="101"/>
        <v>46157</v>
      </c>
      <c r="D604">
        <f t="shared" ca="1" si="102"/>
        <v>2</v>
      </c>
      <c r="E604">
        <f t="shared" ca="1" si="103"/>
        <v>0.64717685240202472</v>
      </c>
      <c r="F604">
        <f t="shared" ca="1" si="104"/>
        <v>1490.99</v>
      </c>
      <c r="G604" t="str">
        <f t="shared" ca="1" si="105"/>
        <v>hipotecario</v>
      </c>
      <c r="H60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04" t="str">
        <f t="shared" ca="1" si="106"/>
        <v>Sí</v>
      </c>
      <c r="J60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04">
        <f ca="1">IF(Tabla2[[#This Row],[¿cliente deuda abierta?]]="Sí", Tabla2[[#This Row],[Deuda actual]]*Tabla2[[#This Row],[diferencia de días]], "0")</f>
        <v>2981.98</v>
      </c>
      <c r="L60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0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0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04">
        <f t="shared" ca="1" si="107"/>
        <v>1860.44</v>
      </c>
      <c r="P604">
        <f t="shared" ca="1" si="108"/>
        <v>230047.57</v>
      </c>
      <c r="Q604">
        <f t="shared" ca="1" si="109"/>
        <v>3</v>
      </c>
      <c r="R604">
        <f ca="1">((Tabla2[[#This Row],[Fantasma Comunicación]]+1)/(Tabla2[[#This Row],[Fantasma Comunicación]]+RANDBETWEEN(0,5)+2))-0.5</f>
        <v>7.1428571428571397E-2</v>
      </c>
      <c r="S604">
        <f ca="1">1+MAX(0,Tabla2[[#This Row],[Deuda actual]]/Tabla2[[#This Row],[Liquidez]]+Tabla2[[#This Row],[Liquidez]]/(Tabla2[[#This Row],[Activos]]+Tabla2[[#This Row],[Liquidez]])+Tabla2[[#This Row],[Comunicación]])</f>
        <v>1.8808688344204336</v>
      </c>
      <c r="T604">
        <f ca="1">Tabla2[[#This Row],[Deuda actual]]*EXP(Tabla2[[#This Row],[Ki]]*Tabla2[[#This Row],[diferencia de días]])*(1+Tabla2[[#This Row],[Hg]])</f>
        <v>1566.1658410598609</v>
      </c>
    </row>
    <row r="605" spans="1:20" ht="14.5" x14ac:dyDescent="0.35">
      <c r="A605">
        <f t="shared" si="99"/>
        <v>604</v>
      </c>
      <c r="B605">
        <f t="shared" ca="1" si="100"/>
        <v>46116</v>
      </c>
      <c r="C605">
        <f t="shared" ca="1" si="101"/>
        <v>46157</v>
      </c>
      <c r="D605">
        <f t="shared" ca="1" si="102"/>
        <v>33</v>
      </c>
      <c r="E605">
        <f t="shared" ca="1" si="103"/>
        <v>0.87691631912646573</v>
      </c>
      <c r="F605">
        <f t="shared" ca="1" si="104"/>
        <v>778.46</v>
      </c>
      <c r="G605" t="str">
        <f t="shared" ca="1" si="105"/>
        <v>hipotecario</v>
      </c>
      <c r="H60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605" t="str">
        <f t="shared" ca="1" si="106"/>
        <v>Sí</v>
      </c>
      <c r="J60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05">
        <f ca="1">IF(Tabla2[[#This Row],[¿cliente deuda abierta?]]="Sí", Tabla2[[#This Row],[Deuda actual]]*Tabla2[[#This Row],[diferencia de días]], "0")</f>
        <v>25689.18</v>
      </c>
      <c r="L60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0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0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05">
        <f t="shared" ca="1" si="107"/>
        <v>1521.83</v>
      </c>
      <c r="P605">
        <f t="shared" ca="1" si="108"/>
        <v>32560.28</v>
      </c>
      <c r="Q605">
        <f t="shared" ca="1" si="109"/>
        <v>1</v>
      </c>
      <c r="R605">
        <f ca="1">((Tabla2[[#This Row],[Fantasma Comunicación]]+1)/(Tabla2[[#This Row],[Fantasma Comunicación]]+RANDBETWEEN(0,5)+2))-0.5</f>
        <v>-0.25</v>
      </c>
      <c r="S605">
        <f ca="1">1+MAX(0,Tabla2[[#This Row],[Deuda actual]]/Tabla2[[#This Row],[Liquidez]]+Tabla2[[#This Row],[Liquidez]]/(Tabla2[[#This Row],[Activos]]+Tabla2[[#This Row],[Liquidez]])+Tabla2[[#This Row],[Comunicación]])</f>
        <v>1.3061807546019677</v>
      </c>
      <c r="T605">
        <f ca="1">Tabla2[[#This Row],[Deuda actual]]*EXP(Tabla2[[#This Row],[Ki]]*Tabla2[[#This Row],[diferencia de días]])*(1+Tabla2[[#This Row],[Hg]])</f>
        <v>844.80664041667626</v>
      </c>
    </row>
    <row r="606" spans="1:20" ht="14.5" x14ac:dyDescent="0.35">
      <c r="A606">
        <f t="shared" si="99"/>
        <v>605</v>
      </c>
      <c r="B606">
        <f t="shared" ca="1" si="100"/>
        <v>46114</v>
      </c>
      <c r="C606">
        <f t="shared" ca="1" si="101"/>
        <v>46157</v>
      </c>
      <c r="D606">
        <f t="shared" ca="1" si="102"/>
        <v>14</v>
      </c>
      <c r="E606">
        <f t="shared" ca="1" si="103"/>
        <v>0.55666662597716721</v>
      </c>
      <c r="F606">
        <f t="shared" ca="1" si="104"/>
        <v>426.71</v>
      </c>
      <c r="G606" t="str">
        <f t="shared" ca="1" si="105"/>
        <v>hipotecario</v>
      </c>
      <c r="H60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06" t="str">
        <f t="shared" ca="1" si="106"/>
        <v>Sí</v>
      </c>
      <c r="J60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06">
        <f ca="1">IF(Tabla2[[#This Row],[¿cliente deuda abierta?]]="Sí", Tabla2[[#This Row],[Deuda actual]]*Tabla2[[#This Row],[diferencia de días]], "0")</f>
        <v>5973.94</v>
      </c>
      <c r="L60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0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0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06">
        <f t="shared" ca="1" si="107"/>
        <v>1330.87</v>
      </c>
      <c r="P606">
        <f t="shared" ca="1" si="108"/>
        <v>98415.38</v>
      </c>
      <c r="Q606">
        <f t="shared" ca="1" si="109"/>
        <v>4</v>
      </c>
      <c r="R606">
        <f ca="1">((Tabla2[[#This Row],[Fantasma Comunicación]]+1)/(Tabla2[[#This Row],[Fantasma Comunicación]]+RANDBETWEEN(0,5)+2))-0.5</f>
        <v>5.555555555555558E-2</v>
      </c>
      <c r="S606">
        <f ca="1">1+MAX(0,Tabla2[[#This Row],[Deuda actual]]/Tabla2[[#This Row],[Liquidez]]+Tabla2[[#This Row],[Liquidez]]/(Tabla2[[#This Row],[Activos]]+Tabla2[[#This Row],[Liquidez]])+Tabla2[[#This Row],[Comunicación]])</f>
        <v>1.3895229667118159</v>
      </c>
      <c r="T606">
        <f ca="1">Tabla2[[#This Row],[Deuda actual]]*EXP(Tabla2[[#This Row],[Ki]]*Tabla2[[#This Row],[diferencia de días]])*(1+Tabla2[[#This Row],[Hg]])</f>
        <v>449.30178537875724</v>
      </c>
    </row>
    <row r="607" spans="1:20" ht="14.5" x14ac:dyDescent="0.35">
      <c r="A607">
        <f t="shared" si="99"/>
        <v>606</v>
      </c>
      <c r="B607">
        <f t="shared" ca="1" si="100"/>
        <v>46123</v>
      </c>
      <c r="C607">
        <f t="shared" ca="1" si="101"/>
        <v>46157</v>
      </c>
      <c r="D607">
        <f t="shared" ca="1" si="102"/>
        <v>18</v>
      </c>
      <c r="E607">
        <f t="shared" ca="1" si="103"/>
        <v>0.24340764866850795</v>
      </c>
      <c r="F607">
        <f t="shared" ca="1" si="104"/>
        <v>650.57000000000005</v>
      </c>
      <c r="G607" t="str">
        <f t="shared" ca="1" si="105"/>
        <v>personal</v>
      </c>
      <c r="H60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07" t="str">
        <f t="shared" ca="1" si="106"/>
        <v>Sí</v>
      </c>
      <c r="J60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07">
        <f ca="1">IF(Tabla2[[#This Row],[¿cliente deuda abierta?]]="Sí", Tabla2[[#This Row],[Deuda actual]]*Tabla2[[#This Row],[diferencia de días]], "0")</f>
        <v>11710.26</v>
      </c>
      <c r="L60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0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0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07">
        <f t="shared" ca="1" si="107"/>
        <v>1524.54</v>
      </c>
      <c r="P607">
        <f t="shared" ca="1" si="108"/>
        <v>32443.759999999998</v>
      </c>
      <c r="Q607">
        <f t="shared" ca="1" si="109"/>
        <v>5</v>
      </c>
      <c r="R607">
        <f ca="1">((Tabla2[[#This Row],[Fantasma Comunicación]]+1)/(Tabla2[[#This Row],[Fantasma Comunicación]]+RANDBETWEEN(0,5)+2))-0.5</f>
        <v>0.3571428571428571</v>
      </c>
      <c r="S607">
        <f ca="1">1+MAX(0,Tabla2[[#This Row],[Deuda actual]]/Tabla2[[#This Row],[Liquidez]]+Tabla2[[#This Row],[Liquidez]]/(Tabla2[[#This Row],[Activos]]+Tabla2[[#This Row],[Liquidez]])+Tabla2[[#This Row],[Comunicación]])</f>
        <v>1.8287561119280029</v>
      </c>
      <c r="T607">
        <f ca="1">Tabla2[[#This Row],[Deuda actual]]*EXP(Tabla2[[#This Row],[Ki]]*Tabla2[[#This Row],[diferencia de días]])*(1+Tabla2[[#This Row],[Hg]])</f>
        <v>688.03455768391143</v>
      </c>
    </row>
    <row r="608" spans="1:20" ht="14.5" x14ac:dyDescent="0.35">
      <c r="A608">
        <f t="shared" si="99"/>
        <v>607</v>
      </c>
      <c r="B608">
        <f t="shared" ca="1" si="100"/>
        <v>46104</v>
      </c>
      <c r="C608">
        <f t="shared" ca="1" si="101"/>
        <v>46157</v>
      </c>
      <c r="D608">
        <f t="shared" ca="1" si="102"/>
        <v>18</v>
      </c>
      <c r="E608">
        <f t="shared" ca="1" si="103"/>
        <v>0.64332896037206688</v>
      </c>
      <c r="F608">
        <f t="shared" ca="1" si="104"/>
        <v>5619.17</v>
      </c>
      <c r="G608" t="str">
        <f t="shared" ca="1" si="105"/>
        <v>personal</v>
      </c>
      <c r="H60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08" t="str">
        <f t="shared" ca="1" si="106"/>
        <v>Sí</v>
      </c>
      <c r="J60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08">
        <f ca="1">IF(Tabla2[[#This Row],[¿cliente deuda abierta?]]="Sí", Tabla2[[#This Row],[Deuda actual]]*Tabla2[[#This Row],[diferencia de días]], "0")</f>
        <v>101145.06</v>
      </c>
      <c r="L60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60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08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608">
        <f t="shared" ca="1" si="107"/>
        <v>1408.69</v>
      </c>
      <c r="P608">
        <f t="shared" ca="1" si="108"/>
        <v>81801.929999999993</v>
      </c>
      <c r="Q608">
        <f t="shared" ca="1" si="109"/>
        <v>4</v>
      </c>
      <c r="R608">
        <f ca="1">((Tabla2[[#This Row],[Fantasma Comunicación]]+1)/(Tabla2[[#This Row],[Fantasma Comunicación]]+RANDBETWEEN(0,5)+2))-0.5</f>
        <v>5.555555555555558E-2</v>
      </c>
      <c r="S608">
        <f ca="1">1+MAX(0,Tabla2[[#This Row],[Deuda actual]]/Tabla2[[#This Row],[Liquidez]]+Tabla2[[#This Row],[Liquidez]]/(Tabla2[[#This Row],[Activos]]+Tabla2[[#This Row],[Liquidez]])+Tabla2[[#This Row],[Comunicación]])</f>
        <v>5.0614177451186171</v>
      </c>
      <c r="T608">
        <f ca="1">Tabla2[[#This Row],[Deuda actual]]*EXP(Tabla2[[#This Row],[Ki]]*Tabla2[[#This Row],[diferencia de días]])*(1+Tabla2[[#This Row],[Hg]])</f>
        <v>6508.7401265349135</v>
      </c>
    </row>
    <row r="609" spans="1:20" ht="14.5" x14ac:dyDescent="0.35">
      <c r="A609">
        <f t="shared" si="99"/>
        <v>608</v>
      </c>
      <c r="B609">
        <f t="shared" ca="1" si="100"/>
        <v>46121</v>
      </c>
      <c r="C609">
        <f t="shared" ca="1" si="101"/>
        <v>46157</v>
      </c>
      <c r="D609">
        <f t="shared" ca="1" si="102"/>
        <v>39</v>
      </c>
      <c r="E609">
        <f t="shared" ca="1" si="103"/>
        <v>0.35751104127730537</v>
      </c>
      <c r="F609">
        <f t="shared" ca="1" si="104"/>
        <v>2011.95</v>
      </c>
      <c r="G609" t="str">
        <f t="shared" ca="1" si="105"/>
        <v>hipotecario</v>
      </c>
      <c r="H60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609" t="str">
        <f t="shared" ca="1" si="106"/>
        <v>Sí</v>
      </c>
      <c r="J60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09">
        <f ca="1">IF(Tabla2[[#This Row],[¿cliente deuda abierta?]]="Sí", Tabla2[[#This Row],[Deuda actual]]*Tabla2[[#This Row],[diferencia de días]], "0")</f>
        <v>78466.05</v>
      </c>
      <c r="L60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60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09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609">
        <f t="shared" ca="1" si="107"/>
        <v>1287.32</v>
      </c>
      <c r="P609">
        <f t="shared" ca="1" si="108"/>
        <v>43328.87</v>
      </c>
      <c r="Q609">
        <f t="shared" ca="1" si="109"/>
        <v>3</v>
      </c>
      <c r="R609">
        <f ca="1">((Tabla2[[#This Row],[Fantasma Comunicación]]+1)/(Tabla2[[#This Row],[Fantasma Comunicación]]+RANDBETWEEN(0,5)+2))-0.5</f>
        <v>7.1428571428571397E-2</v>
      </c>
      <c r="S609">
        <f ca="1">1+MAX(0,Tabla2[[#This Row],[Deuda actual]]/Tabla2[[#This Row],[Liquidez]]+Tabla2[[#This Row],[Liquidez]]/(Tabla2[[#This Row],[Activos]]+Tabla2[[#This Row],[Liquidez]])+Tabla2[[#This Row],[Comunicación]])</f>
        <v>2.6631798886275071</v>
      </c>
      <c r="T609">
        <f ca="1">Tabla2[[#This Row],[Deuda actual]]*EXP(Tabla2[[#This Row],[Ki]]*Tabla2[[#This Row],[diferencia de días]])*(1+Tabla2[[#This Row],[Hg]])</f>
        <v>2405.7611582669251</v>
      </c>
    </row>
    <row r="610" spans="1:20" ht="14.5" x14ac:dyDescent="0.35">
      <c r="A610">
        <f t="shared" si="99"/>
        <v>609</v>
      </c>
      <c r="B610">
        <f t="shared" ca="1" si="100"/>
        <v>46141</v>
      </c>
      <c r="C610">
        <f t="shared" ca="1" si="101"/>
        <v>46157</v>
      </c>
      <c r="D610">
        <f t="shared" ca="1" si="102"/>
        <v>4</v>
      </c>
      <c r="E610">
        <f t="shared" ca="1" si="103"/>
        <v>0.692010024925648</v>
      </c>
      <c r="F610">
        <f t="shared" ca="1" si="104"/>
        <v>1925.77</v>
      </c>
      <c r="G610" t="str">
        <f t="shared" ca="1" si="105"/>
        <v>hipotecario</v>
      </c>
      <c r="H61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10" t="str">
        <f t="shared" ca="1" si="106"/>
        <v>No</v>
      </c>
      <c r="J61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165001.20526579069</v>
      </c>
      <c r="K610" t="str">
        <f ca="1">IF(Tabla2[[#This Row],[¿cliente deuda abierta?]]="Sí", Tabla2[[#This Row],[Deuda actual]]*Tabla2[[#This Row],[diferencia de días]], "0")</f>
        <v>0</v>
      </c>
      <c r="L61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1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1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10">
        <f t="shared" ca="1" si="107"/>
        <v>1469.33</v>
      </c>
      <c r="P610">
        <f t="shared" ca="1" si="108"/>
        <v>120863.67</v>
      </c>
      <c r="Q610">
        <f t="shared" ca="1" si="109"/>
        <v>2</v>
      </c>
      <c r="R610">
        <f ca="1">((Tabla2[[#This Row],[Fantasma Comunicación]]+1)/(Tabla2[[#This Row],[Fantasma Comunicación]]+RANDBETWEEN(0,5)+2))-0.5</f>
        <v>-7.1428571428571452E-2</v>
      </c>
      <c r="S610">
        <f ca="1">1+MAX(0,Tabla2[[#This Row],[Deuda actual]]/Tabla2[[#This Row],[Liquidez]]+Tabla2[[#This Row],[Liquidez]]/(Tabla2[[#This Row],[Activos]]+Tabla2[[#This Row],[Liquidez]])+Tabla2[[#This Row],[Comunicación]])</f>
        <v>2.2512273210849001</v>
      </c>
      <c r="T610">
        <f ca="1">Tabla2[[#This Row],[Deuda actual]]*EXP(Tabla2[[#This Row],[Ki]]*Tabla2[[#This Row],[diferencia de días]])*(1+Tabla2[[#This Row],[Hg]])</f>
        <v>1541.8489859286121</v>
      </c>
    </row>
    <row r="611" spans="1:20" ht="14.5" x14ac:dyDescent="0.35">
      <c r="A611">
        <f t="shared" si="99"/>
        <v>610</v>
      </c>
      <c r="B611">
        <f t="shared" ca="1" si="100"/>
        <v>46113</v>
      </c>
      <c r="C611">
        <f t="shared" ca="1" si="101"/>
        <v>46157</v>
      </c>
      <c r="D611">
        <f t="shared" ca="1" si="102"/>
        <v>75</v>
      </c>
      <c r="E611">
        <f t="shared" ca="1" si="103"/>
        <v>0.20208736508056169</v>
      </c>
      <c r="F611">
        <f t="shared" ca="1" si="104"/>
        <v>283.26</v>
      </c>
      <c r="G611" t="str">
        <f t="shared" ca="1" si="105"/>
        <v>personal</v>
      </c>
      <c r="H61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611" t="str">
        <f t="shared" ca="1" si="106"/>
        <v>No</v>
      </c>
      <c r="J61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11999.378526537077</v>
      </c>
      <c r="K611" t="str">
        <f ca="1">IF(Tabla2[[#This Row],[¿cliente deuda abierta?]]="Sí", Tabla2[[#This Row],[Deuda actual]]*Tabla2[[#This Row],[diferencia de días]], "0")</f>
        <v>0</v>
      </c>
      <c r="L61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1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611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611">
        <f t="shared" ca="1" si="107"/>
        <v>1301.45</v>
      </c>
      <c r="P611">
        <f t="shared" ca="1" si="108"/>
        <v>108321.25</v>
      </c>
      <c r="Q611">
        <f t="shared" ca="1" si="109"/>
        <v>4</v>
      </c>
      <c r="R611">
        <f ca="1">((Tabla2[[#This Row],[Fantasma Comunicación]]+1)/(Tabla2[[#This Row],[Fantasma Comunicación]]+RANDBETWEEN(0,5)+2))-0.5</f>
        <v>-4.545454545454547E-2</v>
      </c>
      <c r="S611">
        <f ca="1">1+MAX(0,Tabla2[[#This Row],[Deuda actual]]/Tabla2[[#This Row],[Liquidez]]+Tabla2[[#This Row],[Liquidez]]/(Tabla2[[#This Row],[Activos]]+Tabla2[[#This Row],[Liquidez]])+Tabla2[[#This Row],[Comunicación]])</f>
        <v>1.1840670841715433</v>
      </c>
      <c r="T611">
        <f ca="1">Tabla2[[#This Row],[Deuda actual]]*EXP(Tabla2[[#This Row],[Ki]]*Tabla2[[#This Row],[diferencia de días]])*(1+Tabla2[[#This Row],[Hg]])</f>
        <v>274.78931812162267</v>
      </c>
    </row>
    <row r="612" spans="1:20" ht="14.5" x14ac:dyDescent="0.35">
      <c r="A612">
        <f t="shared" si="99"/>
        <v>611</v>
      </c>
      <c r="B612">
        <f t="shared" ca="1" si="100"/>
        <v>46124</v>
      </c>
      <c r="C612">
        <f t="shared" ca="1" si="101"/>
        <v>46157</v>
      </c>
      <c r="D612">
        <f t="shared" ca="1" si="102"/>
        <v>13</v>
      </c>
      <c r="E612">
        <f t="shared" ca="1" si="103"/>
        <v>1.4365899637359902E-2</v>
      </c>
      <c r="F612">
        <f t="shared" ca="1" si="104"/>
        <v>1878.56</v>
      </c>
      <c r="G612" t="str">
        <f t="shared" ca="1" si="105"/>
        <v>personal</v>
      </c>
      <c r="H61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12" t="str">
        <f t="shared" ca="1" si="106"/>
        <v>No</v>
      </c>
      <c r="J61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11998.779983577173</v>
      </c>
      <c r="K612" t="str">
        <f ca="1">IF(Tabla2[[#This Row],[¿cliente deuda abierta?]]="Sí", Tabla2[[#This Row],[Deuda actual]]*Tabla2[[#This Row],[diferencia de días]], "0")</f>
        <v>0</v>
      </c>
      <c r="L61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1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612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612">
        <f t="shared" ca="1" si="107"/>
        <v>1809.84</v>
      </c>
      <c r="P612">
        <f t="shared" ca="1" si="108"/>
        <v>107259.5</v>
      </c>
      <c r="Q612">
        <f t="shared" ca="1" si="109"/>
        <v>5</v>
      </c>
      <c r="R612">
        <f ca="1">((Tabla2[[#This Row],[Fantasma Comunicación]]+1)/(Tabla2[[#This Row],[Fantasma Comunicación]]+RANDBETWEEN(0,5)+2))-0.5</f>
        <v>0</v>
      </c>
      <c r="S612">
        <f ca="1">1+MAX(0,Tabla2[[#This Row],[Deuda actual]]/Tabla2[[#This Row],[Liquidez]]+Tabla2[[#This Row],[Liquidez]]/(Tabla2[[#This Row],[Activos]]+Tabla2[[#This Row],[Liquidez]])+Tabla2[[#This Row],[Comunicación]])</f>
        <v>2.0545636881188574</v>
      </c>
      <c r="T612">
        <f ca="1">Tabla2[[#This Row],[Deuda actual]]*EXP(Tabla2[[#This Row],[Ki]]*Tabla2[[#This Row],[diferencia de días]])*(1+Tabla2[[#This Row],[Hg]])</f>
        <v>1695.1055499353765</v>
      </c>
    </row>
    <row r="613" spans="1:20" ht="14.5" x14ac:dyDescent="0.35">
      <c r="A613">
        <f t="shared" si="99"/>
        <v>612</v>
      </c>
      <c r="B613">
        <f t="shared" ca="1" si="100"/>
        <v>46127</v>
      </c>
      <c r="C613">
        <f t="shared" ca="1" si="101"/>
        <v>46157</v>
      </c>
      <c r="D613">
        <f t="shared" ca="1" si="102"/>
        <v>17</v>
      </c>
      <c r="E613">
        <f t="shared" ca="1" si="103"/>
        <v>6.6343955943911959E-2</v>
      </c>
      <c r="F613">
        <f t="shared" ca="1" si="104"/>
        <v>707.18</v>
      </c>
      <c r="G613" t="str">
        <f t="shared" ca="1" si="105"/>
        <v>personal</v>
      </c>
      <c r="H61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13" t="str">
        <f t="shared" ca="1" si="106"/>
        <v>Sí</v>
      </c>
      <c r="J61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13">
        <f ca="1">IF(Tabla2[[#This Row],[¿cliente deuda abierta?]]="Sí", Tabla2[[#This Row],[Deuda actual]]*Tabla2[[#This Row],[diferencia de días]], "0")</f>
        <v>12022.06</v>
      </c>
      <c r="L61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1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1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13">
        <f t="shared" ca="1" si="107"/>
        <v>1765.79</v>
      </c>
      <c r="P613">
        <f t="shared" ca="1" si="108"/>
        <v>73616.009999999995</v>
      </c>
      <c r="Q613">
        <f t="shared" ca="1" si="109"/>
        <v>4</v>
      </c>
      <c r="R613">
        <f ca="1">((Tabla2[[#This Row],[Fantasma Comunicación]]+1)/(Tabla2[[#This Row],[Fantasma Comunicación]]+RANDBETWEEN(0,5)+2))-0.5</f>
        <v>5.555555555555558E-2</v>
      </c>
      <c r="S613">
        <f ca="1">1+MAX(0,Tabla2[[#This Row],[Deuda actual]]/Tabla2[[#This Row],[Liquidez]]+Tabla2[[#This Row],[Liquidez]]/(Tabla2[[#This Row],[Activos]]+Tabla2[[#This Row],[Liquidez]])+Tabla2[[#This Row],[Comunicación]])</f>
        <v>1.4794694746984181</v>
      </c>
      <c r="T613">
        <f ca="1">Tabla2[[#This Row],[Deuda actual]]*EXP(Tabla2[[#This Row],[Ki]]*Tabla2[[#This Row],[diferencia de días]])*(1+Tabla2[[#This Row],[Hg]])</f>
        <v>747.60547168092603</v>
      </c>
    </row>
    <row r="614" spans="1:20" ht="14.5" x14ac:dyDescent="0.35">
      <c r="A614">
        <f t="shared" si="99"/>
        <v>613</v>
      </c>
      <c r="B614">
        <f t="shared" ca="1" si="100"/>
        <v>46141</v>
      </c>
      <c r="C614">
        <f t="shared" ca="1" si="101"/>
        <v>46157</v>
      </c>
      <c r="D614">
        <f t="shared" ca="1" si="102"/>
        <v>11</v>
      </c>
      <c r="E614">
        <f t="shared" ca="1" si="103"/>
        <v>0.72340747447519049</v>
      </c>
      <c r="F614">
        <f t="shared" ca="1" si="104"/>
        <v>2604.14</v>
      </c>
      <c r="G614" t="str">
        <f t="shared" ca="1" si="105"/>
        <v>personal</v>
      </c>
      <c r="H61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14" t="str">
        <f t="shared" ca="1" si="106"/>
        <v>No</v>
      </c>
      <c r="J61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12001.004221504343</v>
      </c>
      <c r="K614" t="str">
        <f ca="1">IF(Tabla2[[#This Row],[¿cliente deuda abierta?]]="Sí", Tabla2[[#This Row],[Deuda actual]]*Tabla2[[#This Row],[diferencia de días]], "0")</f>
        <v>0</v>
      </c>
      <c r="L61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1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61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614">
        <f t="shared" ca="1" si="107"/>
        <v>1162.9100000000001</v>
      </c>
      <c r="P614">
        <f t="shared" ca="1" si="108"/>
        <v>151331.31</v>
      </c>
      <c r="Q614">
        <f t="shared" ca="1" si="109"/>
        <v>2</v>
      </c>
      <c r="R614">
        <f ca="1">((Tabla2[[#This Row],[Fantasma Comunicación]]+1)/(Tabla2[[#This Row],[Fantasma Comunicación]]+RANDBETWEEN(0,5)+2))-0.5</f>
        <v>9.9999999999999978E-2</v>
      </c>
      <c r="S614">
        <f ca="1">1+MAX(0,Tabla2[[#This Row],[Deuda actual]]/Tabla2[[#This Row],[Liquidez]]+Tabla2[[#This Row],[Liquidez]]/(Tabla2[[#This Row],[Activos]]+Tabla2[[#This Row],[Liquidez]])+Tabla2[[#This Row],[Comunicación]])</f>
        <v>3.3469565730553055</v>
      </c>
      <c r="T614">
        <f ca="1">Tabla2[[#This Row],[Deuda actual]]*EXP(Tabla2[[#This Row],[Ki]]*Tabla2[[#This Row],[diferencia de días]])*(1+Tabla2[[#This Row],[Hg]])</f>
        <v>2348.8878731785408</v>
      </c>
    </row>
    <row r="615" spans="1:20" ht="14.5" x14ac:dyDescent="0.35">
      <c r="A615">
        <f t="shared" si="99"/>
        <v>614</v>
      </c>
      <c r="B615">
        <f t="shared" ca="1" si="100"/>
        <v>46103</v>
      </c>
      <c r="C615">
        <f t="shared" ca="1" si="101"/>
        <v>46157</v>
      </c>
      <c r="D615">
        <f t="shared" ca="1" si="102"/>
        <v>29</v>
      </c>
      <c r="E615">
        <f t="shared" ca="1" si="103"/>
        <v>0.923435381458385</v>
      </c>
      <c r="F615">
        <f t="shared" ca="1" si="104"/>
        <v>140.72</v>
      </c>
      <c r="G615" t="str">
        <f t="shared" ca="1" si="105"/>
        <v>hipotecario</v>
      </c>
      <c r="H61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15" t="str">
        <f t="shared" ca="1" si="106"/>
        <v>Sí</v>
      </c>
      <c r="J61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15">
        <f ca="1">IF(Tabla2[[#This Row],[¿cliente deuda abierta?]]="Sí", Tabla2[[#This Row],[Deuda actual]]*Tabla2[[#This Row],[diferencia de días]], "0")</f>
        <v>4080.88</v>
      </c>
      <c r="L61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1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1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15">
        <f t="shared" ca="1" si="107"/>
        <v>1371.05</v>
      </c>
      <c r="P615">
        <f t="shared" ca="1" si="108"/>
        <v>79290.33</v>
      </c>
      <c r="Q615">
        <f t="shared" ca="1" si="109"/>
        <v>3</v>
      </c>
      <c r="R615">
        <f ca="1">((Tabla2[[#This Row],[Fantasma Comunicación]]+1)/(Tabla2[[#This Row],[Fantasma Comunicación]]+RANDBETWEEN(0,5)+2))-0.5</f>
        <v>0.30000000000000004</v>
      </c>
      <c r="S615">
        <f ca="1">1+MAX(0,Tabla2[[#This Row],[Deuda actual]]/Tabla2[[#This Row],[Liquidez]]+Tabla2[[#This Row],[Liquidez]]/(Tabla2[[#This Row],[Activos]]+Tabla2[[#This Row],[Liquidez]])+Tabla2[[#This Row],[Comunicación]])</f>
        <v>1.4196342669078434</v>
      </c>
      <c r="T615">
        <f ca="1">Tabla2[[#This Row],[Deuda actual]]*EXP(Tabla2[[#This Row],[Ki]]*Tabla2[[#This Row],[diferencia de días]])*(1+Tabla2[[#This Row],[Hg]])</f>
        <v>149.47994917403599</v>
      </c>
    </row>
    <row r="616" spans="1:20" ht="14.5" x14ac:dyDescent="0.35">
      <c r="A616">
        <f t="shared" si="99"/>
        <v>615</v>
      </c>
      <c r="B616">
        <f t="shared" ca="1" si="100"/>
        <v>46133</v>
      </c>
      <c r="C616">
        <f t="shared" ca="1" si="101"/>
        <v>46157</v>
      </c>
      <c r="D616">
        <f t="shared" ca="1" si="102"/>
        <v>31</v>
      </c>
      <c r="E616">
        <f t="shared" ca="1" si="103"/>
        <v>0.58153787786448996</v>
      </c>
      <c r="F616">
        <f t="shared" ca="1" si="104"/>
        <v>35.1</v>
      </c>
      <c r="G616" t="str">
        <f t="shared" ca="1" si="105"/>
        <v>personal</v>
      </c>
      <c r="H61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616" t="str">
        <f t="shared" ca="1" si="106"/>
        <v>Sí</v>
      </c>
      <c r="J61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16">
        <f ca="1">IF(Tabla2[[#This Row],[¿cliente deuda abierta?]]="Sí", Tabla2[[#This Row],[Deuda actual]]*Tabla2[[#This Row],[diferencia de días]], "0")</f>
        <v>1088.1000000000001</v>
      </c>
      <c r="L61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1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1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16">
        <f t="shared" ca="1" si="107"/>
        <v>1569.11</v>
      </c>
      <c r="P616">
        <f t="shared" ca="1" si="108"/>
        <v>229590.14</v>
      </c>
      <c r="Q616">
        <f t="shared" ca="1" si="109"/>
        <v>1</v>
      </c>
      <c r="R616">
        <f ca="1">((Tabla2[[#This Row],[Fantasma Comunicación]]+1)/(Tabla2[[#This Row],[Fantasma Comunicación]]+RANDBETWEEN(0,5)+2))-0.5</f>
        <v>0</v>
      </c>
      <c r="S616">
        <f ca="1">1+MAX(0,Tabla2[[#This Row],[Deuda actual]]/Tabla2[[#This Row],[Liquidez]]+Tabla2[[#This Row],[Liquidez]]/(Tabla2[[#This Row],[Activos]]+Tabla2[[#This Row],[Liquidez]])+Tabla2[[#This Row],[Comunicación]])</f>
        <v>1.0291573729965855</v>
      </c>
      <c r="T616">
        <f ca="1">Tabla2[[#This Row],[Deuda actual]]*EXP(Tabla2[[#This Row],[Ki]]*Tabla2[[#This Row],[diferencia de días]])*(1+Tabla2[[#This Row],[Hg]])</f>
        <v>38.015398245737792</v>
      </c>
    </row>
    <row r="617" spans="1:20" ht="14.5" x14ac:dyDescent="0.35">
      <c r="A617">
        <f t="shared" si="99"/>
        <v>616</v>
      </c>
      <c r="B617">
        <f t="shared" ca="1" si="100"/>
        <v>46105</v>
      </c>
      <c r="C617">
        <f t="shared" ca="1" si="101"/>
        <v>46157</v>
      </c>
      <c r="D617">
        <f t="shared" ca="1" si="102"/>
        <v>6</v>
      </c>
      <c r="E617">
        <f t="shared" ca="1" si="103"/>
        <v>0.88752970783376806</v>
      </c>
      <c r="F617">
        <f t="shared" ca="1" si="104"/>
        <v>609.16999999999996</v>
      </c>
      <c r="G617" t="str">
        <f t="shared" ca="1" si="105"/>
        <v>personal</v>
      </c>
      <c r="H61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17" t="str">
        <f t="shared" ca="1" si="106"/>
        <v>Sí</v>
      </c>
      <c r="J61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17">
        <f ca="1">IF(Tabla2[[#This Row],[¿cliente deuda abierta?]]="Sí", Tabla2[[#This Row],[Deuda actual]]*Tabla2[[#This Row],[diferencia de días]], "0")</f>
        <v>3655.0199999999995</v>
      </c>
      <c r="L61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1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1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17">
        <f t="shared" ca="1" si="107"/>
        <v>1855.07</v>
      </c>
      <c r="P617">
        <f t="shared" ca="1" si="108"/>
        <v>120585.69</v>
      </c>
      <c r="Q617">
        <f t="shared" ca="1" si="109"/>
        <v>2</v>
      </c>
      <c r="R617">
        <f ca="1">((Tabla2[[#This Row],[Fantasma Comunicación]]+1)/(Tabla2[[#This Row],[Fantasma Comunicación]]+RANDBETWEEN(0,5)+2))-0.5</f>
        <v>9.9999999999999978E-2</v>
      </c>
      <c r="S617">
        <f ca="1">1+MAX(0,Tabla2[[#This Row],[Deuda actual]]/Tabla2[[#This Row],[Liquidez]]+Tabla2[[#This Row],[Liquidez]]/(Tabla2[[#This Row],[Activos]]+Tabla2[[#This Row],[Liquidez]])+Tabla2[[#This Row],[Comunicación]])</f>
        <v>1.4435318946092381</v>
      </c>
      <c r="T617">
        <f ca="1">Tabla2[[#This Row],[Deuda actual]]*EXP(Tabla2[[#This Row],[Ki]]*Tabla2[[#This Row],[diferencia de días]])*(1+Tabla2[[#This Row],[Hg]])</f>
        <v>640.39651491678819</v>
      </c>
    </row>
    <row r="618" spans="1:20" ht="14.5" x14ac:dyDescent="0.35">
      <c r="A618">
        <f t="shared" si="99"/>
        <v>617</v>
      </c>
      <c r="B618">
        <f t="shared" ca="1" si="100"/>
        <v>46140</v>
      </c>
      <c r="C618">
        <f t="shared" ca="1" si="101"/>
        <v>46157</v>
      </c>
      <c r="D618">
        <f t="shared" ca="1" si="102"/>
        <v>12</v>
      </c>
      <c r="E618">
        <f t="shared" ca="1" si="103"/>
        <v>0.16983490148969349</v>
      </c>
      <c r="F618">
        <f t="shared" ca="1" si="104"/>
        <v>1556.15</v>
      </c>
      <c r="G618" t="str">
        <f t="shared" ca="1" si="105"/>
        <v>hipotecario</v>
      </c>
      <c r="H61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18" t="str">
        <f t="shared" ca="1" si="106"/>
        <v>Sí</v>
      </c>
      <c r="J61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18">
        <f ca="1">IF(Tabla2[[#This Row],[¿cliente deuda abierta?]]="Sí", Tabla2[[#This Row],[Deuda actual]]*Tabla2[[#This Row],[diferencia de días]], "0")</f>
        <v>18673.800000000003</v>
      </c>
      <c r="L61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1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1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18">
        <f t="shared" ca="1" si="107"/>
        <v>1664.79</v>
      </c>
      <c r="P618">
        <f t="shared" ca="1" si="108"/>
        <v>57060.77</v>
      </c>
      <c r="Q618">
        <f t="shared" ca="1" si="109"/>
        <v>4</v>
      </c>
      <c r="R618">
        <f ca="1">((Tabla2[[#This Row],[Fantasma Comunicación]]+1)/(Tabla2[[#This Row],[Fantasma Comunicación]]+RANDBETWEEN(0,5)+2))-0.5</f>
        <v>-4.545454545454547E-2</v>
      </c>
      <c r="S618">
        <f ca="1">1+MAX(0,Tabla2[[#This Row],[Deuda actual]]/Tabla2[[#This Row],[Liquidez]]+Tabla2[[#This Row],[Liquidez]]/(Tabla2[[#This Row],[Activos]]+Tabla2[[#This Row],[Liquidez]])+Tabla2[[#This Row],[Comunicación]])</f>
        <v>1.9176366187228373</v>
      </c>
      <c r="T618">
        <f ca="1">Tabla2[[#This Row],[Deuda actual]]*EXP(Tabla2[[#This Row],[Ki]]*Tabla2[[#This Row],[diferencia de días]])*(1+Tabla2[[#This Row],[Hg]])</f>
        <v>1637.8837075644981</v>
      </c>
    </row>
    <row r="619" spans="1:20" ht="14.5" x14ac:dyDescent="0.35">
      <c r="A619">
        <f t="shared" si="99"/>
        <v>618</v>
      </c>
      <c r="B619">
        <f t="shared" ca="1" si="100"/>
        <v>46115</v>
      </c>
      <c r="C619">
        <f t="shared" ca="1" si="101"/>
        <v>46157</v>
      </c>
      <c r="D619">
        <f t="shared" ca="1" si="102"/>
        <v>53</v>
      </c>
      <c r="E619">
        <f t="shared" ca="1" si="103"/>
        <v>0.1150992893647258</v>
      </c>
      <c r="F619">
        <f t="shared" ca="1" si="104"/>
        <v>531.95000000000005</v>
      </c>
      <c r="G619" t="str">
        <f t="shared" ca="1" si="105"/>
        <v>hipotecario</v>
      </c>
      <c r="H61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619" t="str">
        <f t="shared" ca="1" si="106"/>
        <v>No</v>
      </c>
      <c r="J61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164999.38713248065</v>
      </c>
      <c r="K619" t="str">
        <f ca="1">IF(Tabla2[[#This Row],[¿cliente deuda abierta?]]="Sí", Tabla2[[#This Row],[Deuda actual]]*Tabla2[[#This Row],[diferencia de días]], "0")</f>
        <v>0</v>
      </c>
      <c r="L61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1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19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19">
        <f t="shared" ca="1" si="107"/>
        <v>2212.91</v>
      </c>
      <c r="P619">
        <f t="shared" ca="1" si="108"/>
        <v>80235.740000000005</v>
      </c>
      <c r="Q619">
        <f t="shared" ca="1" si="109"/>
        <v>0</v>
      </c>
      <c r="R619">
        <f ca="1">((Tabla2[[#This Row],[Fantasma Comunicación]]+1)/(Tabla2[[#This Row],[Fantasma Comunicación]]+RANDBETWEEN(0,5)+2))-0.5</f>
        <v>-0.16666666666666669</v>
      </c>
      <c r="S619">
        <f ca="1">1+MAX(0,Tabla2[[#This Row],[Deuda actual]]/Tabla2[[#This Row],[Liquidez]]+Tabla2[[#This Row],[Liquidez]]/(Tabla2[[#This Row],[Activos]]+Tabla2[[#This Row],[Liquidez]])+Tabla2[[#This Row],[Comunicación]])</f>
        <v>1.1005580232675101</v>
      </c>
      <c r="T619">
        <f ca="1">Tabla2[[#This Row],[Deuda actual]]*EXP(Tabla2[[#This Row],[Ki]]*Tabla2[[#This Row],[diferencia de días]])*(1+Tabla2[[#This Row],[Hg]])</f>
        <v>460.77320031334807</v>
      </c>
    </row>
    <row r="620" spans="1:20" ht="14.5" x14ac:dyDescent="0.35">
      <c r="A620">
        <f t="shared" si="99"/>
        <v>619</v>
      </c>
      <c r="B620">
        <f t="shared" ca="1" si="100"/>
        <v>46135</v>
      </c>
      <c r="C620">
        <f t="shared" ca="1" si="101"/>
        <v>46157</v>
      </c>
      <c r="D620">
        <f t="shared" ca="1" si="102"/>
        <v>17</v>
      </c>
      <c r="E620">
        <f t="shared" ca="1" si="103"/>
        <v>0.58708140085339988</v>
      </c>
      <c r="F620">
        <f t="shared" ca="1" si="104"/>
        <v>9330.0400000000009</v>
      </c>
      <c r="G620" t="str">
        <f t="shared" ca="1" si="105"/>
        <v>hipotecario</v>
      </c>
      <c r="H62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20" t="str">
        <f t="shared" ca="1" si="106"/>
        <v>Sí</v>
      </c>
      <c r="J62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20">
        <f ca="1">IF(Tabla2[[#This Row],[¿cliente deuda abierta?]]="Sí", Tabla2[[#This Row],[Deuda actual]]*Tabla2[[#This Row],[diferencia de días]], "0")</f>
        <v>158610.68000000002</v>
      </c>
      <c r="L62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62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20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620">
        <f t="shared" ca="1" si="107"/>
        <v>1749.04</v>
      </c>
      <c r="P620">
        <f t="shared" ca="1" si="108"/>
        <v>125625.62</v>
      </c>
      <c r="Q620">
        <f t="shared" ca="1" si="109"/>
        <v>1</v>
      </c>
      <c r="R620">
        <f ca="1">((Tabla2[[#This Row],[Fantasma Comunicación]]+1)/(Tabla2[[#This Row],[Fantasma Comunicación]]+RANDBETWEEN(0,5)+2))-0.5</f>
        <v>-9.9999999999999978E-2</v>
      </c>
      <c r="S620">
        <f ca="1">1+MAX(0,Tabla2[[#This Row],[Deuda actual]]/Tabla2[[#This Row],[Liquidez]]+Tabla2[[#This Row],[Liquidez]]/(Tabla2[[#This Row],[Activos]]+Tabla2[[#This Row],[Liquidez]])+Tabla2[[#This Row],[Comunicación]])</f>
        <v>6.2481091753923623</v>
      </c>
      <c r="T620">
        <f ca="1">Tabla2[[#This Row],[Deuda actual]]*EXP(Tabla2[[#This Row],[Ki]]*Tabla2[[#This Row],[diferencia de días]])*(1+Tabla2[[#This Row],[Hg]])</f>
        <v>10802.755543146142</v>
      </c>
    </row>
    <row r="621" spans="1:20" ht="14.5" x14ac:dyDescent="0.35">
      <c r="A621">
        <f t="shared" si="99"/>
        <v>620</v>
      </c>
      <c r="B621">
        <f t="shared" ca="1" si="100"/>
        <v>46119</v>
      </c>
      <c r="C621">
        <f t="shared" ca="1" si="101"/>
        <v>46157</v>
      </c>
      <c r="D621">
        <f t="shared" ca="1" si="102"/>
        <v>3</v>
      </c>
      <c r="E621">
        <f t="shared" ca="1" si="103"/>
        <v>0.83855311591391879</v>
      </c>
      <c r="F621">
        <f t="shared" ca="1" si="104"/>
        <v>89.64</v>
      </c>
      <c r="G621" t="str">
        <f t="shared" ca="1" si="105"/>
        <v>personal</v>
      </c>
      <c r="H62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21" t="str">
        <f t="shared" ca="1" si="106"/>
        <v>Sí</v>
      </c>
      <c r="J62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21">
        <f ca="1">IF(Tabla2[[#This Row],[¿cliente deuda abierta?]]="Sí", Tabla2[[#This Row],[Deuda actual]]*Tabla2[[#This Row],[diferencia de días]], "0")</f>
        <v>268.92</v>
      </c>
      <c r="L62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2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2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21">
        <f t="shared" ca="1" si="107"/>
        <v>1590.19</v>
      </c>
      <c r="P621">
        <f t="shared" ca="1" si="108"/>
        <v>227100.82</v>
      </c>
      <c r="Q621">
        <f t="shared" ca="1" si="109"/>
        <v>4</v>
      </c>
      <c r="R621">
        <f ca="1">((Tabla2[[#This Row],[Fantasma Comunicación]]+1)/(Tabla2[[#This Row],[Fantasma Comunicación]]+RANDBETWEEN(0,5)+2))-0.5</f>
        <v>-4.545454545454547E-2</v>
      </c>
      <c r="S621">
        <f ca="1">1+MAX(0,Tabla2[[#This Row],[Deuda actual]]/Tabla2[[#This Row],[Liquidez]]+Tabla2[[#This Row],[Liquidez]]/(Tabla2[[#This Row],[Activos]]+Tabla2[[#This Row],[Liquidez]])+Tabla2[[#This Row],[Comunicación]])</f>
        <v>1.0178695203496073</v>
      </c>
      <c r="T621">
        <f ca="1">Tabla2[[#This Row],[Deuda actual]]*EXP(Tabla2[[#This Row],[Ki]]*Tabla2[[#This Row],[diferencia de días]])*(1+Tabla2[[#This Row],[Hg]])</f>
        <v>94.178490145348903</v>
      </c>
    </row>
    <row r="622" spans="1:20" ht="14.5" x14ac:dyDescent="0.35">
      <c r="A622">
        <f t="shared" si="99"/>
        <v>621</v>
      </c>
      <c r="B622">
        <f t="shared" ca="1" si="100"/>
        <v>46109</v>
      </c>
      <c r="C622">
        <f t="shared" ca="1" si="101"/>
        <v>46157</v>
      </c>
      <c r="D622">
        <f t="shared" ca="1" si="102"/>
        <v>5</v>
      </c>
      <c r="E622">
        <f t="shared" ca="1" si="103"/>
        <v>0.36185726480811176</v>
      </c>
      <c r="F622">
        <f t="shared" ca="1" si="104"/>
        <v>311.39999999999998</v>
      </c>
      <c r="G622" t="str">
        <f t="shared" ca="1" si="105"/>
        <v>personal</v>
      </c>
      <c r="H62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22" t="str">
        <f t="shared" ca="1" si="106"/>
        <v>Sí</v>
      </c>
      <c r="J62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22">
        <f ca="1">IF(Tabla2[[#This Row],[¿cliente deuda abierta?]]="Sí", Tabla2[[#This Row],[Deuda actual]]*Tabla2[[#This Row],[diferencia de días]], "0")</f>
        <v>1557</v>
      </c>
      <c r="L62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2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2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22">
        <f t="shared" ca="1" si="107"/>
        <v>1671.22</v>
      </c>
      <c r="P622">
        <f t="shared" ca="1" si="108"/>
        <v>105839.73</v>
      </c>
      <c r="Q622">
        <f t="shared" ca="1" si="109"/>
        <v>5</v>
      </c>
      <c r="R622">
        <f ca="1">((Tabla2[[#This Row],[Fantasma Comunicación]]+1)/(Tabla2[[#This Row],[Fantasma Comunicación]]+RANDBETWEEN(0,5)+2))-0.5</f>
        <v>0.3571428571428571</v>
      </c>
      <c r="S622">
        <f ca="1">1+MAX(0,Tabla2[[#This Row],[Deuda actual]]/Tabla2[[#This Row],[Liquidez]]+Tabla2[[#This Row],[Liquidez]]/(Tabla2[[#This Row],[Activos]]+Tabla2[[#This Row],[Liquidez]])+Tabla2[[#This Row],[Comunicación]])</f>
        <v>1.5590184501771724</v>
      </c>
      <c r="T622">
        <f ca="1">Tabla2[[#This Row],[Deuda actual]]*EXP(Tabla2[[#This Row],[Ki]]*Tabla2[[#This Row],[diferencia de días]])*(1+Tabla2[[#This Row],[Hg]])</f>
        <v>327.29713353950859</v>
      </c>
    </row>
    <row r="623" spans="1:20" ht="14.5" x14ac:dyDescent="0.35">
      <c r="A623">
        <f t="shared" si="99"/>
        <v>622</v>
      </c>
      <c r="B623">
        <f t="shared" ca="1" si="100"/>
        <v>46111</v>
      </c>
      <c r="C623">
        <f t="shared" ca="1" si="101"/>
        <v>46157</v>
      </c>
      <c r="D623">
        <f t="shared" ca="1" si="102"/>
        <v>18</v>
      </c>
      <c r="E623">
        <f t="shared" ca="1" si="103"/>
        <v>0.64268919365985189</v>
      </c>
      <c r="F623">
        <f t="shared" ca="1" si="104"/>
        <v>766.15</v>
      </c>
      <c r="G623" t="str">
        <f t="shared" ca="1" si="105"/>
        <v>hipotecario</v>
      </c>
      <c r="H62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23" t="str">
        <f t="shared" ca="1" si="106"/>
        <v>Sí</v>
      </c>
      <c r="J62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23">
        <f ca="1">IF(Tabla2[[#This Row],[¿cliente deuda abierta?]]="Sí", Tabla2[[#This Row],[Deuda actual]]*Tabla2[[#This Row],[diferencia de días]], "0")</f>
        <v>13790.699999999999</v>
      </c>
      <c r="L62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2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2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23">
        <f t="shared" ca="1" si="107"/>
        <v>1589.27</v>
      </c>
      <c r="P623">
        <f t="shared" ca="1" si="108"/>
        <v>245052.86</v>
      </c>
      <c r="Q623">
        <f t="shared" ca="1" si="109"/>
        <v>5</v>
      </c>
      <c r="R623">
        <f ca="1">((Tabla2[[#This Row],[Fantasma Comunicación]]+1)/(Tabla2[[#This Row],[Fantasma Comunicación]]+RANDBETWEEN(0,5)+2))-0.5</f>
        <v>9.9999999999999978E-2</v>
      </c>
      <c r="S623">
        <f ca="1">1+MAX(0,Tabla2[[#This Row],[Deuda actual]]/Tabla2[[#This Row],[Liquidez]]+Tabla2[[#This Row],[Liquidez]]/(Tabla2[[#This Row],[Activos]]+Tabla2[[#This Row],[Liquidez]])+Tabla2[[#This Row],[Comunicación]])</f>
        <v>1.5885203041664739</v>
      </c>
      <c r="T623">
        <f ca="1">Tabla2[[#This Row],[Deuda actual]]*EXP(Tabla2[[#This Row],[Ki]]*Tabla2[[#This Row],[diferencia de días]])*(1+Tabla2[[#This Row],[Hg]])</f>
        <v>810.27049567230074</v>
      </c>
    </row>
    <row r="624" spans="1:20" ht="14.5" x14ac:dyDescent="0.35">
      <c r="A624">
        <f t="shared" si="99"/>
        <v>623</v>
      </c>
      <c r="B624">
        <f t="shared" ca="1" si="100"/>
        <v>46103</v>
      </c>
      <c r="C624">
        <f t="shared" ca="1" si="101"/>
        <v>46157</v>
      </c>
      <c r="D624">
        <f t="shared" ca="1" si="102"/>
        <v>9</v>
      </c>
      <c r="E624">
        <f t="shared" ca="1" si="103"/>
        <v>0.94195913747018889</v>
      </c>
      <c r="F624">
        <f t="shared" ca="1" si="104"/>
        <v>2669.54</v>
      </c>
      <c r="G624" t="str">
        <f t="shared" ca="1" si="105"/>
        <v>personal</v>
      </c>
      <c r="H62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24" t="str">
        <f t="shared" ca="1" si="106"/>
        <v>Sí</v>
      </c>
      <c r="J62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24">
        <f ca="1">IF(Tabla2[[#This Row],[¿cliente deuda abierta?]]="Sí", Tabla2[[#This Row],[Deuda actual]]*Tabla2[[#This Row],[diferencia de días]], "0")</f>
        <v>24025.86</v>
      </c>
      <c r="L62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2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2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24">
        <f t="shared" ca="1" si="107"/>
        <v>1410.74</v>
      </c>
      <c r="P624">
        <f t="shared" ca="1" si="108"/>
        <v>69947.63</v>
      </c>
      <c r="Q624">
        <f t="shared" ca="1" si="109"/>
        <v>0</v>
      </c>
      <c r="R624">
        <f ca="1">((Tabla2[[#This Row],[Fantasma Comunicación]]+1)/(Tabla2[[#This Row],[Fantasma Comunicación]]+RANDBETWEEN(0,5)+2))-0.5</f>
        <v>-0.35714285714285715</v>
      </c>
      <c r="S624">
        <f ca="1">1+MAX(0,Tabla2[[#This Row],[Deuda actual]]/Tabla2[[#This Row],[Liquidez]]+Tabla2[[#This Row],[Liquidez]]/(Tabla2[[#This Row],[Activos]]+Tabla2[[#This Row],[Liquidez]])+Tabla2[[#This Row],[Comunicación]])</f>
        <v>2.5549245923867296</v>
      </c>
      <c r="T624">
        <f ca="1">Tabla2[[#This Row],[Deuda actual]]*EXP(Tabla2[[#This Row],[Ki]]*Tabla2[[#This Row],[diferencia de días]])*(1+Tabla2[[#This Row],[Hg]])</f>
        <v>2808.0669742132995</v>
      </c>
    </row>
    <row r="625" spans="1:20" ht="14.5" x14ac:dyDescent="0.35">
      <c r="A625">
        <f t="shared" si="99"/>
        <v>624</v>
      </c>
      <c r="B625">
        <f t="shared" ca="1" si="100"/>
        <v>46143</v>
      </c>
      <c r="C625">
        <f t="shared" ca="1" si="101"/>
        <v>46157</v>
      </c>
      <c r="D625">
        <f t="shared" ca="1" si="102"/>
        <v>0</v>
      </c>
      <c r="E625">
        <f t="shared" ca="1" si="103"/>
        <v>0.69056098443715108</v>
      </c>
      <c r="F625">
        <f t="shared" ca="1" si="104"/>
        <v>3008.95</v>
      </c>
      <c r="G625" t="str">
        <f t="shared" ca="1" si="105"/>
        <v>hipotecario</v>
      </c>
      <c r="H62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25" t="str">
        <f t="shared" ca="1" si="106"/>
        <v>No</v>
      </c>
      <c r="J62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165000.7822895929</v>
      </c>
      <c r="K625" t="str">
        <f ca="1">IF(Tabla2[[#This Row],[¿cliente deuda abierta?]]="Sí", Tabla2[[#This Row],[Deuda actual]]*Tabla2[[#This Row],[diferencia de días]], "0")</f>
        <v>0</v>
      </c>
      <c r="L62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2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25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25">
        <f t="shared" ca="1" si="107"/>
        <v>1269.1199999999999</v>
      </c>
      <c r="P625">
        <f t="shared" ca="1" si="108"/>
        <v>38382.129999999997</v>
      </c>
      <c r="Q625">
        <f t="shared" ca="1" si="109"/>
        <v>3</v>
      </c>
      <c r="R625">
        <f ca="1">((Tabla2[[#This Row],[Fantasma Comunicación]]+1)/(Tabla2[[#This Row],[Fantasma Comunicación]]+RANDBETWEEN(0,5)+2))-0.5</f>
        <v>0.16666666666666663</v>
      </c>
      <c r="S625">
        <f ca="1">1+MAX(0,Tabla2[[#This Row],[Deuda actual]]/Tabla2[[#This Row],[Liquidez]]+Tabla2[[#This Row],[Liquidez]]/(Tabla2[[#This Row],[Activos]]+Tabla2[[#This Row],[Liquidez]])+Tabla2[[#This Row],[Comunicación]])</f>
        <v>3.5695685214772745</v>
      </c>
      <c r="T625">
        <f ca="1">Tabla2[[#This Row],[Deuda actual]]*EXP(Tabla2[[#This Row],[Ki]]*Tabla2[[#This Row],[diferencia de días]])*(1+Tabla2[[#This Row],[Hg]])</f>
        <v>2407.16</v>
      </c>
    </row>
    <row r="626" spans="1:20" ht="14.5" x14ac:dyDescent="0.35">
      <c r="A626">
        <f t="shared" si="99"/>
        <v>625</v>
      </c>
      <c r="B626">
        <f t="shared" ca="1" si="100"/>
        <v>46138</v>
      </c>
      <c r="C626">
        <f t="shared" ca="1" si="101"/>
        <v>46157</v>
      </c>
      <c r="D626">
        <f t="shared" ca="1" si="102"/>
        <v>12</v>
      </c>
      <c r="E626">
        <f t="shared" ca="1" si="103"/>
        <v>0.79359459172152613</v>
      </c>
      <c r="F626">
        <f t="shared" ca="1" si="104"/>
        <v>3193.25</v>
      </c>
      <c r="G626" t="str">
        <f t="shared" ca="1" si="105"/>
        <v>personal</v>
      </c>
      <c r="H62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26" t="str">
        <f t="shared" ca="1" si="106"/>
        <v>Sí</v>
      </c>
      <c r="J62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26">
        <f ca="1">IF(Tabla2[[#This Row],[¿cliente deuda abierta?]]="Sí", Tabla2[[#This Row],[Deuda actual]]*Tabla2[[#This Row],[diferencia de días]], "0")</f>
        <v>38319</v>
      </c>
      <c r="L62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62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26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626">
        <f t="shared" ca="1" si="107"/>
        <v>1029.72</v>
      </c>
      <c r="P626">
        <f t="shared" ca="1" si="108"/>
        <v>195220.17</v>
      </c>
      <c r="Q626">
        <f t="shared" ca="1" si="109"/>
        <v>5</v>
      </c>
      <c r="R626">
        <f ca="1">((Tabla2[[#This Row],[Fantasma Comunicación]]+1)/(Tabla2[[#This Row],[Fantasma Comunicación]]+RANDBETWEEN(0,5)+2))-0.5</f>
        <v>4.5454545454545414E-2</v>
      </c>
      <c r="S626">
        <f ca="1">1+MAX(0,Tabla2[[#This Row],[Deuda actual]]/Tabla2[[#This Row],[Liquidez]]+Tabla2[[#This Row],[Liquidez]]/(Tabla2[[#This Row],[Activos]]+Tabla2[[#This Row],[Liquidez]])+Tabla2[[#This Row],[Comunicación]])</f>
        <v>4.1517872613309121</v>
      </c>
      <c r="T626">
        <f ca="1">Tabla2[[#This Row],[Deuda actual]]*EXP(Tabla2[[#This Row],[Ki]]*Tabla2[[#This Row],[diferencia de días]])*(1+Tabla2[[#This Row],[Hg]])</f>
        <v>3521.0153043138307</v>
      </c>
    </row>
    <row r="627" spans="1:20" ht="14.5" x14ac:dyDescent="0.35">
      <c r="A627">
        <f t="shared" si="99"/>
        <v>626</v>
      </c>
      <c r="B627">
        <f t="shared" ca="1" si="100"/>
        <v>46104</v>
      </c>
      <c r="C627">
        <f t="shared" ca="1" si="101"/>
        <v>46157</v>
      </c>
      <c r="D627">
        <f t="shared" ca="1" si="102"/>
        <v>2</v>
      </c>
      <c r="E627">
        <f t="shared" ca="1" si="103"/>
        <v>0.75625906194687542</v>
      </c>
      <c r="F627">
        <f t="shared" ca="1" si="104"/>
        <v>664.75</v>
      </c>
      <c r="G627" t="str">
        <f t="shared" ca="1" si="105"/>
        <v>personal</v>
      </c>
      <c r="H62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27" t="str">
        <f t="shared" ca="1" si="106"/>
        <v>Sí</v>
      </c>
      <c r="J62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27">
        <f ca="1">IF(Tabla2[[#This Row],[¿cliente deuda abierta?]]="Sí", Tabla2[[#This Row],[Deuda actual]]*Tabla2[[#This Row],[diferencia de días]], "0")</f>
        <v>1329.5</v>
      </c>
      <c r="L62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2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2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27">
        <f t="shared" ca="1" si="107"/>
        <v>1842.77</v>
      </c>
      <c r="P627">
        <f t="shared" ca="1" si="108"/>
        <v>192609.62</v>
      </c>
      <c r="Q627">
        <f t="shared" ca="1" si="109"/>
        <v>2</v>
      </c>
      <c r="R627">
        <f ca="1">((Tabla2[[#This Row],[Fantasma Comunicación]]+1)/(Tabla2[[#This Row],[Fantasma Comunicación]]+RANDBETWEEN(0,5)+2))-0.5</f>
        <v>-0.16666666666666669</v>
      </c>
      <c r="S627">
        <f ca="1">1+MAX(0,Tabla2[[#This Row],[Deuda actual]]/Tabla2[[#This Row],[Liquidez]]+Tabla2[[#This Row],[Liquidez]]/(Tabla2[[#This Row],[Activos]]+Tabla2[[#This Row],[Liquidez]])+Tabla2[[#This Row],[Comunicación]])</f>
        <v>1.203544161178014</v>
      </c>
      <c r="T627">
        <f ca="1">Tabla2[[#This Row],[Deuda actual]]*EXP(Tabla2[[#This Row],[Ki]]*Tabla2[[#This Row],[diferencia de días]])*(1+Tabla2[[#This Row],[Hg]])</f>
        <v>698.26675084644603</v>
      </c>
    </row>
    <row r="628" spans="1:20" ht="14.5" x14ac:dyDescent="0.35">
      <c r="A628">
        <f t="shared" si="99"/>
        <v>627</v>
      </c>
      <c r="B628">
        <f t="shared" ca="1" si="100"/>
        <v>46117</v>
      </c>
      <c r="C628">
        <f t="shared" ca="1" si="101"/>
        <v>46157</v>
      </c>
      <c r="D628">
        <f t="shared" ca="1" si="102"/>
        <v>20</v>
      </c>
      <c r="E628">
        <f t="shared" ca="1" si="103"/>
        <v>0.75139908570106595</v>
      </c>
      <c r="F628">
        <f t="shared" ca="1" si="104"/>
        <v>2729.16</v>
      </c>
      <c r="G628" t="str">
        <f t="shared" ca="1" si="105"/>
        <v>personal</v>
      </c>
      <c r="H62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28" t="str">
        <f t="shared" ca="1" si="106"/>
        <v>Sí</v>
      </c>
      <c r="J62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28">
        <f ca="1">IF(Tabla2[[#This Row],[¿cliente deuda abierta?]]="Sí", Tabla2[[#This Row],[Deuda actual]]*Tabla2[[#This Row],[diferencia de días]], "0")</f>
        <v>54583.199999999997</v>
      </c>
      <c r="L62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62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28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628">
        <f t="shared" ca="1" si="107"/>
        <v>1586.98</v>
      </c>
      <c r="P628">
        <f t="shared" ca="1" si="108"/>
        <v>189180.69</v>
      </c>
      <c r="Q628">
        <f t="shared" ca="1" si="109"/>
        <v>5</v>
      </c>
      <c r="R628">
        <f ca="1">((Tabla2[[#This Row],[Fantasma Comunicación]]+1)/(Tabla2[[#This Row],[Fantasma Comunicación]]+RANDBETWEEN(0,5)+2))-0.5</f>
        <v>0.25</v>
      </c>
      <c r="S628">
        <f ca="1">1+MAX(0,Tabla2[[#This Row],[Deuda actual]]/Tabla2[[#This Row],[Liquidez]]+Tabla2[[#This Row],[Liquidez]]/(Tabla2[[#This Row],[Activos]]+Tabla2[[#This Row],[Liquidez]])+Tabla2[[#This Row],[Comunicación]])</f>
        <v>2.9780381299479748</v>
      </c>
      <c r="T628">
        <f ca="1">Tabla2[[#This Row],[Deuda actual]]*EXP(Tabla2[[#This Row],[Ki]]*Tabla2[[#This Row],[diferencia de días]])*(1+Tabla2[[#This Row],[Hg]])</f>
        <v>3026.1889311223276</v>
      </c>
    </row>
    <row r="629" spans="1:20" ht="14.5" x14ac:dyDescent="0.35">
      <c r="A629">
        <f t="shared" si="99"/>
        <v>628</v>
      </c>
      <c r="B629">
        <f t="shared" ca="1" si="100"/>
        <v>46136</v>
      </c>
      <c r="C629">
        <f t="shared" ca="1" si="101"/>
        <v>46157</v>
      </c>
      <c r="D629">
        <f t="shared" ca="1" si="102"/>
        <v>55</v>
      </c>
      <c r="E629">
        <f t="shared" ca="1" si="103"/>
        <v>0.9343657251440507</v>
      </c>
      <c r="F629">
        <f t="shared" ca="1" si="104"/>
        <v>179.49</v>
      </c>
      <c r="G629" t="str">
        <f t="shared" ca="1" si="105"/>
        <v>personal</v>
      </c>
      <c r="H62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629" t="str">
        <f t="shared" ca="1" si="106"/>
        <v>Sí</v>
      </c>
      <c r="J62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29">
        <f ca="1">IF(Tabla2[[#This Row],[¿cliente deuda abierta?]]="Sí", Tabla2[[#This Row],[Deuda actual]]*Tabla2[[#This Row],[diferencia de días]], "0")</f>
        <v>9871.9500000000007</v>
      </c>
      <c r="L62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2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2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29">
        <f t="shared" ca="1" si="107"/>
        <v>1935.16</v>
      </c>
      <c r="P629">
        <f t="shared" ca="1" si="108"/>
        <v>160856.41</v>
      </c>
      <c r="Q629">
        <f t="shared" ca="1" si="109"/>
        <v>5</v>
      </c>
      <c r="R629">
        <f ca="1">((Tabla2[[#This Row],[Fantasma Comunicación]]+1)/(Tabla2[[#This Row],[Fantasma Comunicación]]+RANDBETWEEN(0,5)+2))-0.5</f>
        <v>9.9999999999999978E-2</v>
      </c>
      <c r="S629">
        <f ca="1">1+MAX(0,Tabla2[[#This Row],[Deuda actual]]/Tabla2[[#This Row],[Liquidez]]+Tabla2[[#This Row],[Liquidez]]/(Tabla2[[#This Row],[Activos]]+Tabla2[[#This Row],[Liquidez]])+Tabla2[[#This Row],[Comunicación]])</f>
        <v>1.2046393682341341</v>
      </c>
      <c r="T629">
        <f ca="1">Tabla2[[#This Row],[Deuda actual]]*EXP(Tabla2[[#This Row],[Ki]]*Tabla2[[#This Row],[diferencia de días]])*(1+Tabla2[[#This Row],[Hg]])</f>
        <v>204.67219699035508</v>
      </c>
    </row>
    <row r="630" spans="1:20" ht="14.5" x14ac:dyDescent="0.35">
      <c r="A630">
        <f t="shared" si="99"/>
        <v>629</v>
      </c>
      <c r="B630">
        <f t="shared" ca="1" si="100"/>
        <v>46089</v>
      </c>
      <c r="C630">
        <f t="shared" ca="1" si="101"/>
        <v>46157</v>
      </c>
      <c r="D630">
        <f t="shared" ca="1" si="102"/>
        <v>6</v>
      </c>
      <c r="E630">
        <f t="shared" ca="1" si="103"/>
        <v>0.30258883346811105</v>
      </c>
      <c r="F630">
        <f t="shared" ca="1" si="104"/>
        <v>2073.5700000000002</v>
      </c>
      <c r="G630" t="str">
        <f t="shared" ca="1" si="105"/>
        <v>hipotecario</v>
      </c>
      <c r="H63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30" t="str">
        <f t="shared" ca="1" si="106"/>
        <v>Sí</v>
      </c>
      <c r="J63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30">
        <f ca="1">IF(Tabla2[[#This Row],[¿cliente deuda abierta?]]="Sí", Tabla2[[#This Row],[Deuda actual]]*Tabla2[[#This Row],[diferencia de días]], "0")</f>
        <v>12441.420000000002</v>
      </c>
      <c r="L63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3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3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30">
        <f t="shared" ca="1" si="107"/>
        <v>1442.84</v>
      </c>
      <c r="P630">
        <f t="shared" ca="1" si="108"/>
        <v>234216.57</v>
      </c>
      <c r="Q630">
        <f t="shared" ca="1" si="109"/>
        <v>2</v>
      </c>
      <c r="R630">
        <f ca="1">((Tabla2[[#This Row],[Fantasma Comunicación]]+1)/(Tabla2[[#This Row],[Fantasma Comunicación]]+RANDBETWEEN(0,5)+2))-0.5</f>
        <v>0</v>
      </c>
      <c r="S630">
        <f ca="1">1+MAX(0,Tabla2[[#This Row],[Deuda actual]]/Tabla2[[#This Row],[Liquidez]]+Tabla2[[#This Row],[Liquidez]]/(Tabla2[[#This Row],[Activos]]+Tabla2[[#This Row],[Liquidez]])+Tabla2[[#This Row],[Comunicación]])</f>
        <v>2.4432673625240966</v>
      </c>
      <c r="T630">
        <f ca="1">Tabla2[[#This Row],[Deuda actual]]*EXP(Tabla2[[#This Row],[Ki]]*Tabla2[[#This Row],[diferencia de días]])*(1+Tabla2[[#This Row],[Hg]])</f>
        <v>2179.862766446156</v>
      </c>
    </row>
    <row r="631" spans="1:20" ht="14.5" x14ac:dyDescent="0.35">
      <c r="A631">
        <f t="shared" si="99"/>
        <v>630</v>
      </c>
      <c r="B631">
        <f t="shared" ca="1" si="100"/>
        <v>46094</v>
      </c>
      <c r="C631">
        <f t="shared" ca="1" si="101"/>
        <v>46157</v>
      </c>
      <c r="D631">
        <f t="shared" ca="1" si="102"/>
        <v>5</v>
      </c>
      <c r="E631">
        <f t="shared" ca="1" si="103"/>
        <v>0.27418920666079016</v>
      </c>
      <c r="F631">
        <f t="shared" ca="1" si="104"/>
        <v>3987.44</v>
      </c>
      <c r="G631" t="str">
        <f t="shared" ca="1" si="105"/>
        <v>hipotecario</v>
      </c>
      <c r="H63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31" t="str">
        <f t="shared" ca="1" si="106"/>
        <v>Sí</v>
      </c>
      <c r="J63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31">
        <f ca="1">IF(Tabla2[[#This Row],[¿cliente deuda abierta?]]="Sí", Tabla2[[#This Row],[Deuda actual]]*Tabla2[[#This Row],[diferencia de días]], "0")</f>
        <v>19937.2</v>
      </c>
      <c r="L63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3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3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31">
        <f t="shared" ca="1" si="107"/>
        <v>1744.79</v>
      </c>
      <c r="P631">
        <f t="shared" ca="1" si="108"/>
        <v>228409.25</v>
      </c>
      <c r="Q631">
        <f t="shared" ca="1" si="109"/>
        <v>3</v>
      </c>
      <c r="R631">
        <f ca="1">((Tabla2[[#This Row],[Fantasma Comunicación]]+1)/(Tabla2[[#This Row],[Fantasma Comunicación]]+RANDBETWEEN(0,5)+2))-0.5</f>
        <v>-5.555555555555558E-2</v>
      </c>
      <c r="S631">
        <f ca="1">1+MAX(0,Tabla2[[#This Row],[Deuda actual]]/Tabla2[[#This Row],[Liquidez]]+Tabla2[[#This Row],[Liquidez]]/(Tabla2[[#This Row],[Activos]]+Tabla2[[#This Row],[Liquidez]])+Tabla2[[#This Row],[Comunicación]])</f>
        <v>3.2373663399338772</v>
      </c>
      <c r="T631">
        <f ca="1">Tabla2[[#This Row],[Deuda actual]]*EXP(Tabla2[[#This Row],[Ki]]*Tabla2[[#This Row],[diferencia de días]])*(1+Tabla2[[#This Row],[Hg]])</f>
        <v>4191.0009061039764</v>
      </c>
    </row>
    <row r="632" spans="1:20" ht="14.5" x14ac:dyDescent="0.35">
      <c r="A632">
        <f t="shared" si="99"/>
        <v>631</v>
      </c>
      <c r="B632">
        <f t="shared" ca="1" si="100"/>
        <v>46084</v>
      </c>
      <c r="C632">
        <f t="shared" ca="1" si="101"/>
        <v>46157</v>
      </c>
      <c r="D632">
        <f t="shared" ca="1" si="102"/>
        <v>11</v>
      </c>
      <c r="E632">
        <f t="shared" ca="1" si="103"/>
        <v>0.18287430513482994</v>
      </c>
      <c r="F632">
        <f t="shared" ca="1" si="104"/>
        <v>1769.54</v>
      </c>
      <c r="G632" t="str">
        <f t="shared" ca="1" si="105"/>
        <v>hipotecario</v>
      </c>
      <c r="H63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32" t="str">
        <f t="shared" ca="1" si="106"/>
        <v>Sí</v>
      </c>
      <c r="J63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32">
        <f ca="1">IF(Tabla2[[#This Row],[¿cliente deuda abierta?]]="Sí", Tabla2[[#This Row],[Deuda actual]]*Tabla2[[#This Row],[diferencia de días]], "0")</f>
        <v>19464.939999999999</v>
      </c>
      <c r="L63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3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3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32">
        <f t="shared" ca="1" si="107"/>
        <v>1822.22</v>
      </c>
      <c r="P632">
        <f t="shared" ca="1" si="108"/>
        <v>218871.16</v>
      </c>
      <c r="Q632">
        <f t="shared" ca="1" si="109"/>
        <v>5</v>
      </c>
      <c r="R632">
        <f ca="1">((Tabla2[[#This Row],[Fantasma Comunicación]]+1)/(Tabla2[[#This Row],[Fantasma Comunicación]]+RANDBETWEEN(0,5)+2))-0.5</f>
        <v>9.9999999999999978E-2</v>
      </c>
      <c r="S632">
        <f ca="1">1+MAX(0,Tabla2[[#This Row],[Deuda actual]]/Tabla2[[#This Row],[Liquidez]]+Tabla2[[#This Row],[Liquidez]]/(Tabla2[[#This Row],[Activos]]+Tabla2[[#This Row],[Liquidez]])+Tabla2[[#This Row],[Comunicación]])</f>
        <v>2.0793470036623773</v>
      </c>
      <c r="T632">
        <f ca="1">Tabla2[[#This Row],[Deuda actual]]*EXP(Tabla2[[#This Row],[Ki]]*Tabla2[[#This Row],[diferencia de días]])*(1+Tabla2[[#This Row],[Hg]])</f>
        <v>1862.1091371003151</v>
      </c>
    </row>
    <row r="633" spans="1:20" ht="14.5" x14ac:dyDescent="0.35">
      <c r="A633">
        <f t="shared" si="99"/>
        <v>632</v>
      </c>
      <c r="B633">
        <f t="shared" ca="1" si="100"/>
        <v>46129</v>
      </c>
      <c r="C633">
        <f t="shared" ca="1" si="101"/>
        <v>46157</v>
      </c>
      <c r="D633">
        <f t="shared" ca="1" si="102"/>
        <v>13</v>
      </c>
      <c r="E633">
        <f t="shared" ca="1" si="103"/>
        <v>6.2838497170972119E-2</v>
      </c>
      <c r="F633">
        <f t="shared" ca="1" si="104"/>
        <v>493.62</v>
      </c>
      <c r="G633" t="str">
        <f t="shared" ca="1" si="105"/>
        <v>hipotecario</v>
      </c>
      <c r="H63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33" t="str">
        <f t="shared" ca="1" si="106"/>
        <v>Sí</v>
      </c>
      <c r="J63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33">
        <f ca="1">IF(Tabla2[[#This Row],[¿cliente deuda abierta?]]="Sí", Tabla2[[#This Row],[Deuda actual]]*Tabla2[[#This Row],[diferencia de días]], "0")</f>
        <v>6417.06</v>
      </c>
      <c r="L63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3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3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33">
        <f t="shared" ca="1" si="107"/>
        <v>1555.87</v>
      </c>
      <c r="P633">
        <f t="shared" ca="1" si="108"/>
        <v>51715.49</v>
      </c>
      <c r="Q633">
        <f t="shared" ca="1" si="109"/>
        <v>1</v>
      </c>
      <c r="R633">
        <f ca="1">((Tabla2[[#This Row],[Fantasma Comunicación]]+1)/(Tabla2[[#This Row],[Fantasma Comunicación]]+RANDBETWEEN(0,5)+2))-0.5</f>
        <v>-0.16666666666666669</v>
      </c>
      <c r="S633">
        <f ca="1">1+MAX(0,Tabla2[[#This Row],[Deuda actual]]/Tabla2[[#This Row],[Liquidez]]+Tabla2[[#This Row],[Liquidez]]/(Tabla2[[#This Row],[Activos]]+Tabla2[[#This Row],[Liquidez]])+Tabla2[[#This Row],[Comunicación]])</f>
        <v>1.1798028441926141</v>
      </c>
      <c r="T633">
        <f ca="1">Tabla2[[#This Row],[Deuda actual]]*EXP(Tabla2[[#This Row],[Ki]]*Tabla2[[#This Row],[diferencia de días]])*(1+Tabla2[[#This Row],[Hg]])</f>
        <v>519.65033597664376</v>
      </c>
    </row>
    <row r="634" spans="1:20" ht="14.5" x14ac:dyDescent="0.35">
      <c r="A634">
        <f t="shared" si="99"/>
        <v>633</v>
      </c>
      <c r="B634">
        <f t="shared" ca="1" si="100"/>
        <v>46112</v>
      </c>
      <c r="C634">
        <f t="shared" ca="1" si="101"/>
        <v>46157</v>
      </c>
      <c r="D634">
        <f t="shared" ca="1" si="102"/>
        <v>6</v>
      </c>
      <c r="E634">
        <f t="shared" ca="1" si="103"/>
        <v>0.28894304058736608</v>
      </c>
      <c r="F634">
        <f t="shared" ca="1" si="104"/>
        <v>217.99</v>
      </c>
      <c r="G634" t="str">
        <f t="shared" ca="1" si="105"/>
        <v>personal</v>
      </c>
      <c r="H63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34" t="str">
        <f t="shared" ca="1" si="106"/>
        <v>Sí</v>
      </c>
      <c r="J63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34">
        <f ca="1">IF(Tabla2[[#This Row],[¿cliente deuda abierta?]]="Sí", Tabla2[[#This Row],[Deuda actual]]*Tabla2[[#This Row],[diferencia de días]], "0")</f>
        <v>1307.94</v>
      </c>
      <c r="L63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3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3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34">
        <f t="shared" ca="1" si="107"/>
        <v>2321.34</v>
      </c>
      <c r="P634">
        <f t="shared" ca="1" si="108"/>
        <v>219552.76</v>
      </c>
      <c r="Q634">
        <f t="shared" ca="1" si="109"/>
        <v>3</v>
      </c>
      <c r="R634">
        <f ca="1">((Tabla2[[#This Row],[Fantasma Comunicación]]+1)/(Tabla2[[#This Row],[Fantasma Comunicación]]+RANDBETWEEN(0,5)+2))-0.5</f>
        <v>0</v>
      </c>
      <c r="S634">
        <f ca="1">1+MAX(0,Tabla2[[#This Row],[Deuda actual]]/Tabla2[[#This Row],[Liquidez]]+Tabla2[[#This Row],[Liquidez]]/(Tabla2[[#This Row],[Activos]]+Tabla2[[#This Row],[Liquidez]])+Tabla2[[#This Row],[Comunicación]])</f>
        <v>1.104369387431277</v>
      </c>
      <c r="T634">
        <f ca="1">Tabla2[[#This Row],[Deuda actual]]*EXP(Tabla2[[#This Row],[Ki]]*Tabla2[[#This Row],[diferencia de días]])*(1+Tabla2[[#This Row],[Hg]])</f>
        <v>229.16433226637997</v>
      </c>
    </row>
    <row r="635" spans="1:20" ht="14.5" x14ac:dyDescent="0.35">
      <c r="A635">
        <f t="shared" si="99"/>
        <v>634</v>
      </c>
      <c r="B635">
        <f t="shared" ca="1" si="100"/>
        <v>46097</v>
      </c>
      <c r="C635">
        <f t="shared" ca="1" si="101"/>
        <v>46157</v>
      </c>
      <c r="D635">
        <f t="shared" ca="1" si="102"/>
        <v>13</v>
      </c>
      <c r="E635">
        <f t="shared" ca="1" si="103"/>
        <v>0.79180117740869116</v>
      </c>
      <c r="F635">
        <f t="shared" ca="1" si="104"/>
        <v>406.06</v>
      </c>
      <c r="G635" t="str">
        <f t="shared" ca="1" si="105"/>
        <v>hipotecario</v>
      </c>
      <c r="H63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35" t="str">
        <f t="shared" ca="1" si="106"/>
        <v>No</v>
      </c>
      <c r="J63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164999.69922015915</v>
      </c>
      <c r="K635" t="str">
        <f ca="1">IF(Tabla2[[#This Row],[¿cliente deuda abierta?]]="Sí", Tabla2[[#This Row],[Deuda actual]]*Tabla2[[#This Row],[diferencia de días]], "0")</f>
        <v>0</v>
      </c>
      <c r="L63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3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35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35">
        <f t="shared" ca="1" si="107"/>
        <v>1812.65</v>
      </c>
      <c r="P635">
        <f t="shared" ca="1" si="108"/>
        <v>152979.76999999999</v>
      </c>
      <c r="Q635">
        <f t="shared" ca="1" si="109"/>
        <v>4</v>
      </c>
      <c r="R635">
        <f ca="1">((Tabla2[[#This Row],[Fantasma Comunicación]]+1)/(Tabla2[[#This Row],[Fantasma Comunicación]]+RANDBETWEEN(0,5)+2))-0.5</f>
        <v>0.125</v>
      </c>
      <c r="S635">
        <f ca="1">1+MAX(0,Tabla2[[#This Row],[Deuda actual]]/Tabla2[[#This Row],[Liquidez]]+Tabla2[[#This Row],[Liquidez]]/(Tabla2[[#This Row],[Activos]]+Tabla2[[#This Row],[Liquidez]])+Tabla2[[#This Row],[Comunicación]])</f>
        <v>1.3607247630412882</v>
      </c>
      <c r="T635">
        <f ca="1">Tabla2[[#This Row],[Deuda actual]]*EXP(Tabla2[[#This Row],[Ki]]*Tabla2[[#This Row],[diferencia de días]])*(1+Tabla2[[#This Row],[Hg]])</f>
        <v>325.69370373844697</v>
      </c>
    </row>
    <row r="636" spans="1:20" ht="14.5" x14ac:dyDescent="0.35">
      <c r="A636">
        <f t="shared" si="99"/>
        <v>635</v>
      </c>
      <c r="B636">
        <f t="shared" ca="1" si="100"/>
        <v>46133</v>
      </c>
      <c r="C636">
        <f t="shared" ca="1" si="101"/>
        <v>46157</v>
      </c>
      <c r="D636">
        <f t="shared" ca="1" si="102"/>
        <v>48</v>
      </c>
      <c r="E636">
        <f t="shared" ca="1" si="103"/>
        <v>0.11986197004419252</v>
      </c>
      <c r="F636">
        <f t="shared" ca="1" si="104"/>
        <v>338.5</v>
      </c>
      <c r="G636" t="str">
        <f t="shared" ca="1" si="105"/>
        <v>personal</v>
      </c>
      <c r="H63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636" t="str">
        <f t="shared" ca="1" si="106"/>
        <v>Sí</v>
      </c>
      <c r="J63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36">
        <f ca="1">IF(Tabla2[[#This Row],[¿cliente deuda abierta?]]="Sí", Tabla2[[#This Row],[Deuda actual]]*Tabla2[[#This Row],[diferencia de días]], "0")</f>
        <v>16248</v>
      </c>
      <c r="L63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3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3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36">
        <f t="shared" ca="1" si="107"/>
        <v>2552.7800000000002</v>
      </c>
      <c r="P636">
        <f t="shared" ca="1" si="108"/>
        <v>62929.67</v>
      </c>
      <c r="Q636">
        <f t="shared" ca="1" si="109"/>
        <v>1</v>
      </c>
      <c r="R636">
        <f ca="1">((Tabla2[[#This Row],[Fantasma Comunicación]]+1)/(Tabla2[[#This Row],[Fantasma Comunicación]]+RANDBETWEEN(0,5)+2))-0.5</f>
        <v>-0.25</v>
      </c>
      <c r="S636">
        <f ca="1">1+MAX(0,Tabla2[[#This Row],[Deuda actual]]/Tabla2[[#This Row],[Liquidez]]+Tabla2[[#This Row],[Liquidez]]/(Tabla2[[#This Row],[Activos]]+Tabla2[[#This Row],[Liquidez]])+Tabla2[[#This Row],[Comunicación]])</f>
        <v>1</v>
      </c>
      <c r="T636">
        <f ca="1">Tabla2[[#This Row],[Deuda actual]]*EXP(Tabla2[[#This Row],[Ki]]*Tabla2[[#This Row],[diferencia de días]])*(1+Tabla2[[#This Row],[Hg]])</f>
        <v>372.9014801687</v>
      </c>
    </row>
    <row r="637" spans="1:20" ht="14.5" x14ac:dyDescent="0.35">
      <c r="A637">
        <f t="shared" si="99"/>
        <v>636</v>
      </c>
      <c r="B637">
        <f t="shared" ca="1" si="100"/>
        <v>46096</v>
      </c>
      <c r="C637">
        <f t="shared" ca="1" si="101"/>
        <v>46157</v>
      </c>
      <c r="D637">
        <f t="shared" ca="1" si="102"/>
        <v>12</v>
      </c>
      <c r="E637">
        <f t="shared" ca="1" si="103"/>
        <v>7.4638643274823169E-2</v>
      </c>
      <c r="F637">
        <f t="shared" ca="1" si="104"/>
        <v>984.95</v>
      </c>
      <c r="G637" t="str">
        <f t="shared" ca="1" si="105"/>
        <v>hipotecario</v>
      </c>
      <c r="H63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37" t="str">
        <f t="shared" ca="1" si="106"/>
        <v>No</v>
      </c>
      <c r="J63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164999.43851202217</v>
      </c>
      <c r="K637" t="str">
        <f ca="1">IF(Tabla2[[#This Row],[¿cliente deuda abierta?]]="Sí", Tabla2[[#This Row],[Deuda actual]]*Tabla2[[#This Row],[diferencia de días]], "0")</f>
        <v>0</v>
      </c>
      <c r="L63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3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3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37">
        <f t="shared" ca="1" si="107"/>
        <v>1421.56</v>
      </c>
      <c r="P637">
        <f t="shared" ca="1" si="108"/>
        <v>120322.49</v>
      </c>
      <c r="Q637">
        <f t="shared" ca="1" si="109"/>
        <v>4</v>
      </c>
      <c r="R637">
        <f ca="1">((Tabla2[[#This Row],[Fantasma Comunicación]]+1)/(Tabla2[[#This Row],[Fantasma Comunicación]]+RANDBETWEEN(0,5)+2))-0.5</f>
        <v>0.125</v>
      </c>
      <c r="S637">
        <f ca="1">1+MAX(0,Tabla2[[#This Row],[Deuda actual]]/Tabla2[[#This Row],[Liquidez]]+Tabla2[[#This Row],[Liquidez]]/(Tabla2[[#This Row],[Activos]]+Tabla2[[#This Row],[Liquidez]])+Tabla2[[#This Row],[Comunicación]])</f>
        <v>1.8295422124268004</v>
      </c>
      <c r="T637">
        <f ca="1">Tabla2[[#This Row],[Deuda actual]]*EXP(Tabla2[[#This Row],[Ki]]*Tabla2[[#This Row],[diferencia de días]])*(1+Tabla2[[#This Row],[Hg]])</f>
        <v>789.85337514134972</v>
      </c>
    </row>
    <row r="638" spans="1:20" ht="14.5" x14ac:dyDescent="0.35">
      <c r="A638">
        <f t="shared" si="99"/>
        <v>637</v>
      </c>
      <c r="B638">
        <f t="shared" ca="1" si="100"/>
        <v>46141</v>
      </c>
      <c r="C638">
        <f t="shared" ca="1" si="101"/>
        <v>46157</v>
      </c>
      <c r="D638">
        <f t="shared" ca="1" si="102"/>
        <v>27</v>
      </c>
      <c r="E638">
        <f t="shared" ca="1" si="103"/>
        <v>0.89846854725766445</v>
      </c>
      <c r="F638">
        <f t="shared" ca="1" si="104"/>
        <v>1482.25</v>
      </c>
      <c r="G638" t="str">
        <f t="shared" ca="1" si="105"/>
        <v>hipotecario</v>
      </c>
      <c r="H63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38" t="str">
        <f t="shared" ca="1" si="106"/>
        <v>Sí</v>
      </c>
      <c r="J63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38">
        <f ca="1">IF(Tabla2[[#This Row],[¿cliente deuda abierta?]]="Sí", Tabla2[[#This Row],[Deuda actual]]*Tabla2[[#This Row],[diferencia de días]], "0")</f>
        <v>40020.75</v>
      </c>
      <c r="L63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63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38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638">
        <f t="shared" ca="1" si="107"/>
        <v>1202.28</v>
      </c>
      <c r="P638">
        <f t="shared" ca="1" si="108"/>
        <v>135370.85</v>
      </c>
      <c r="Q638">
        <f t="shared" ca="1" si="109"/>
        <v>2</v>
      </c>
      <c r="R638">
        <f ca="1">((Tabla2[[#This Row],[Fantasma Comunicación]]+1)/(Tabla2[[#This Row],[Fantasma Comunicación]]+RANDBETWEEN(0,5)+2))-0.5</f>
        <v>-0.16666666666666669</v>
      </c>
      <c r="S638">
        <f ca="1">1+MAX(0,Tabla2[[#This Row],[Deuda actual]]/Tabla2[[#This Row],[Liquidez]]+Tabla2[[#This Row],[Liquidez]]/(Tabla2[[#This Row],[Activos]]+Tabla2[[#This Row],[Liquidez]])+Tabla2[[#This Row],[Comunicación]])</f>
        <v>2.0750024172469077</v>
      </c>
      <c r="T638">
        <f ca="1">Tabla2[[#This Row],[Deuda actual]]*EXP(Tabla2[[#This Row],[Ki]]*Tabla2[[#This Row],[diferencia de días]])*(1+Tabla2[[#This Row],[Hg]])</f>
        <v>1648.1795625497552</v>
      </c>
    </row>
    <row r="639" spans="1:20" ht="14.5" x14ac:dyDescent="0.35">
      <c r="A639">
        <f t="shared" si="99"/>
        <v>638</v>
      </c>
      <c r="B639">
        <f t="shared" ca="1" si="100"/>
        <v>46128</v>
      </c>
      <c r="C639">
        <f t="shared" ca="1" si="101"/>
        <v>46157</v>
      </c>
      <c r="D639">
        <f t="shared" ca="1" si="102"/>
        <v>7</v>
      </c>
      <c r="E639">
        <f t="shared" ca="1" si="103"/>
        <v>0.76263189457878999</v>
      </c>
      <c r="F639">
        <f t="shared" ca="1" si="104"/>
        <v>563.01</v>
      </c>
      <c r="G639" t="str">
        <f t="shared" ca="1" si="105"/>
        <v>hipotecario</v>
      </c>
      <c r="H63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39" t="str">
        <f t="shared" ca="1" si="106"/>
        <v>Sí</v>
      </c>
      <c r="J63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39">
        <f ca="1">IF(Tabla2[[#This Row],[¿cliente deuda abierta?]]="Sí", Tabla2[[#This Row],[Deuda actual]]*Tabla2[[#This Row],[diferencia de días]], "0")</f>
        <v>3941.0699999999997</v>
      </c>
      <c r="L63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3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3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39">
        <f t="shared" ca="1" si="107"/>
        <v>2068.7399999999998</v>
      </c>
      <c r="P639">
        <f t="shared" ca="1" si="108"/>
        <v>320746.98</v>
      </c>
      <c r="Q639">
        <f t="shared" ca="1" si="109"/>
        <v>5</v>
      </c>
      <c r="R639">
        <f ca="1">((Tabla2[[#This Row],[Fantasma Comunicación]]+1)/(Tabla2[[#This Row],[Fantasma Comunicación]]+RANDBETWEEN(0,5)+2))-0.5</f>
        <v>0</v>
      </c>
      <c r="S639">
        <f ca="1">1+MAX(0,Tabla2[[#This Row],[Deuda actual]]/Tabla2[[#This Row],[Liquidez]]+Tabla2[[#This Row],[Liquidez]]/(Tabla2[[#This Row],[Activos]]+Tabla2[[#This Row],[Liquidez]])+Tabla2[[#This Row],[Comunicación]])</f>
        <v>1.278559588453307</v>
      </c>
      <c r="T639">
        <f ca="1">Tabla2[[#This Row],[Deuda actual]]*EXP(Tabla2[[#This Row],[Ki]]*Tabla2[[#This Row],[diferencia de días]])*(1+Tabla2[[#This Row],[Hg]])</f>
        <v>591.98870430774207</v>
      </c>
    </row>
    <row r="640" spans="1:20" ht="14.5" x14ac:dyDescent="0.35">
      <c r="A640">
        <f t="shared" si="99"/>
        <v>639</v>
      </c>
      <c r="B640">
        <f t="shared" ca="1" si="100"/>
        <v>46099</v>
      </c>
      <c r="C640">
        <f t="shared" ca="1" si="101"/>
        <v>46157</v>
      </c>
      <c r="D640">
        <f t="shared" ca="1" si="102"/>
        <v>8</v>
      </c>
      <c r="E640">
        <f t="shared" ca="1" si="103"/>
        <v>0.20184880249326409</v>
      </c>
      <c r="F640">
        <f t="shared" ca="1" si="104"/>
        <v>1110.26</v>
      </c>
      <c r="G640" t="str">
        <f t="shared" ca="1" si="105"/>
        <v>hipotecario</v>
      </c>
      <c r="H64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40" t="str">
        <f t="shared" ca="1" si="106"/>
        <v>No</v>
      </c>
      <c r="J64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165000.2726151892</v>
      </c>
      <c r="K640" t="str">
        <f ca="1">IF(Tabla2[[#This Row],[¿cliente deuda abierta?]]="Sí", Tabla2[[#This Row],[Deuda actual]]*Tabla2[[#This Row],[diferencia de días]], "0")</f>
        <v>0</v>
      </c>
      <c r="L64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4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4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40">
        <f t="shared" ca="1" si="107"/>
        <v>1605.81</v>
      </c>
      <c r="P640">
        <f t="shared" ca="1" si="108"/>
        <v>78069.95</v>
      </c>
      <c r="Q640">
        <f t="shared" ca="1" si="109"/>
        <v>5</v>
      </c>
      <c r="R640">
        <f ca="1">((Tabla2[[#This Row],[Fantasma Comunicación]]+1)/(Tabla2[[#This Row],[Fantasma Comunicación]]+RANDBETWEEN(0,5)+2))-0.5</f>
        <v>0</v>
      </c>
      <c r="S640">
        <f ca="1">1+MAX(0,Tabla2[[#This Row],[Deuda actual]]/Tabla2[[#This Row],[Liquidez]]+Tabla2[[#This Row],[Liquidez]]/(Tabla2[[#This Row],[Activos]]+Tabla2[[#This Row],[Liquidez]])+Tabla2[[#This Row],[Comunicación]])</f>
        <v>1.7115561574630582</v>
      </c>
      <c r="T640">
        <f ca="1">Tabla2[[#This Row],[Deuda actual]]*EXP(Tabla2[[#This Row],[Ki]]*Tabla2[[#This Row],[diferencia de días]])*(1+Tabla2[[#This Row],[Hg]])</f>
        <v>889.63027031283264</v>
      </c>
    </row>
    <row r="641" spans="1:20" ht="14.5" x14ac:dyDescent="0.35">
      <c r="A641">
        <f t="shared" si="99"/>
        <v>640</v>
      </c>
      <c r="B641">
        <f t="shared" ca="1" si="100"/>
        <v>46139</v>
      </c>
      <c r="C641">
        <f t="shared" ca="1" si="101"/>
        <v>46157</v>
      </c>
      <c r="D641">
        <f t="shared" ca="1" si="102"/>
        <v>56</v>
      </c>
      <c r="E641">
        <f t="shared" ca="1" si="103"/>
        <v>0.52034117608624642</v>
      </c>
      <c r="F641">
        <f t="shared" ca="1" si="104"/>
        <v>3233.11</v>
      </c>
      <c r="G641" t="str">
        <f t="shared" ca="1" si="105"/>
        <v>hipotecario</v>
      </c>
      <c r="H64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641" t="str">
        <f t="shared" ca="1" si="106"/>
        <v>No</v>
      </c>
      <c r="J64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165000.1596193054</v>
      </c>
      <c r="K641" t="str">
        <f ca="1">IF(Tabla2[[#This Row],[¿cliente deuda abierta?]]="Sí", Tabla2[[#This Row],[Deuda actual]]*Tabla2[[#This Row],[diferencia de días]], "0")</f>
        <v>0</v>
      </c>
      <c r="L64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4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41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41">
        <f t="shared" ca="1" si="107"/>
        <v>1776.82</v>
      </c>
      <c r="P641">
        <f t="shared" ca="1" si="108"/>
        <v>677418.19</v>
      </c>
      <c r="Q641">
        <f t="shared" ca="1" si="109"/>
        <v>5</v>
      </c>
      <c r="R641">
        <f ca="1">((Tabla2[[#This Row],[Fantasma Comunicación]]+1)/(Tabla2[[#This Row],[Fantasma Comunicación]]+RANDBETWEEN(0,5)+2))-0.5</f>
        <v>0.3571428571428571</v>
      </c>
      <c r="S641">
        <f ca="1">1+MAX(0,Tabla2[[#This Row],[Deuda actual]]/Tabla2[[#This Row],[Liquidez]]+Tabla2[[#This Row],[Liquidez]]/(Tabla2[[#This Row],[Activos]]+Tabla2[[#This Row],[Liquidez]])+Tabla2[[#This Row],[Comunicación]])</f>
        <v>3.179363611680031</v>
      </c>
      <c r="T641">
        <f ca="1">Tabla2[[#This Row],[Deuda actual]]*EXP(Tabla2[[#This Row],[Ki]]*Tabla2[[#This Row],[diferencia de días]])*(1+Tabla2[[#This Row],[Hg]])</f>
        <v>2813.1390822898034</v>
      </c>
    </row>
    <row r="642" spans="1:20" ht="14.5" x14ac:dyDescent="0.35">
      <c r="A642">
        <f t="shared" ref="A642:A705" si="110">A641+1</f>
        <v>641</v>
      </c>
      <c r="B642">
        <f t="shared" ref="B642:B705" ca="1" si="111">RANDBETWEEN(DATE(2026,3,1), DATE(2026,5,1))</f>
        <v>46104</v>
      </c>
      <c r="C642">
        <f t="shared" ref="C642:C705" ca="1" si="112">TODAY()</f>
        <v>46157</v>
      </c>
      <c r="D642">
        <f t="shared" ref="D642:D705" ca="1" si="113">ROUND((-(15) * LN(RAND())),0)</f>
        <v>34</v>
      </c>
      <c r="E642">
        <f t="shared" ref="E642:E705" ca="1" si="114">RAND()</f>
        <v>0.19533725819544245</v>
      </c>
      <c r="F642">
        <f t="shared" ref="F642:F705" ca="1" si="115">ROUND(MIN(10000, _xlfn.LOGNORM.INV(RAND(), 69/10, 13/10)),2)</f>
        <v>1216.21</v>
      </c>
      <c r="G642" t="str">
        <f t="shared" ref="G642:G705" ca="1" si="116">IF(RAND()&lt;=0.5,"personal","hipotecario")</f>
        <v>personal</v>
      </c>
      <c r="H64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642" t="str">
        <f t="shared" ref="I642:I705" ca="1" si="117">IF(RAND()&lt;=0.65, "Sí", "No")</f>
        <v>Sí</v>
      </c>
      <c r="J64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42">
        <f ca="1">IF(Tabla2[[#This Row],[¿cliente deuda abierta?]]="Sí", Tabla2[[#This Row],[Deuda actual]]*Tabla2[[#This Row],[diferencia de días]], "0")</f>
        <v>41351.14</v>
      </c>
      <c r="L64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64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42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642">
        <f t="shared" ref="O642:O705" ca="1" si="118">ROUND(1000*(_xlfn.LOGNORM.INV(RAND(), 0.5, 0.2)),2)</f>
        <v>1948.07</v>
      </c>
      <c r="P642">
        <f t="shared" ref="P642:P705" ca="1" si="119">ROUND(50000*(_xlfn.LOGNORM.INV(RAND(), 1, 0.75)),2)</f>
        <v>89864.46</v>
      </c>
      <c r="Q642">
        <f t="shared" ref="Q642:Q705" ca="1" si="120">RANDBETWEEN(0,5)</f>
        <v>4</v>
      </c>
      <c r="R642">
        <f ca="1">((Tabla2[[#This Row],[Fantasma Comunicación]]+1)/(Tabla2[[#This Row],[Fantasma Comunicación]]+RANDBETWEEN(0,5)+2))-0.5</f>
        <v>-4.545454545454547E-2</v>
      </c>
      <c r="S642">
        <f ca="1">1+MAX(0,Tabla2[[#This Row],[Deuda actual]]/Tabla2[[#This Row],[Liquidez]]+Tabla2[[#This Row],[Liquidez]]/(Tabla2[[#This Row],[Activos]]+Tabla2[[#This Row],[Liquidez]])+Tabla2[[#This Row],[Comunicación]])</f>
        <v>1.6000787125738558</v>
      </c>
      <c r="T642">
        <f ca="1">Tabla2[[#This Row],[Deuda actual]]*EXP(Tabla2[[#This Row],[Ki]]*Tabla2[[#This Row],[diferencia de días]])*(1+Tabla2[[#This Row],[Hg]])</f>
        <v>1384.0993590036849</v>
      </c>
    </row>
    <row r="643" spans="1:20" ht="14.5" x14ac:dyDescent="0.35">
      <c r="A643">
        <f t="shared" si="110"/>
        <v>642</v>
      </c>
      <c r="B643">
        <f t="shared" ca="1" si="111"/>
        <v>46108</v>
      </c>
      <c r="C643">
        <f t="shared" ca="1" si="112"/>
        <v>46157</v>
      </c>
      <c r="D643">
        <f t="shared" ca="1" si="113"/>
        <v>24</v>
      </c>
      <c r="E643">
        <f t="shared" ca="1" si="114"/>
        <v>0.93674822415985637</v>
      </c>
      <c r="F643">
        <f t="shared" ca="1" si="115"/>
        <v>426.15</v>
      </c>
      <c r="G643" t="str">
        <f t="shared" ca="1" si="116"/>
        <v>hipotecario</v>
      </c>
      <c r="H64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43" t="str">
        <f t="shared" ca="1" si="117"/>
        <v>No</v>
      </c>
      <c r="J64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164999.61067084031</v>
      </c>
      <c r="K643" t="str">
        <f ca="1">IF(Tabla2[[#This Row],[¿cliente deuda abierta?]]="Sí", Tabla2[[#This Row],[Deuda actual]]*Tabla2[[#This Row],[diferencia de días]], "0")</f>
        <v>0</v>
      </c>
      <c r="L64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4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4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43">
        <f t="shared" ca="1" si="118"/>
        <v>1921.93</v>
      </c>
      <c r="P643">
        <f t="shared" ca="1" si="119"/>
        <v>133711.23000000001</v>
      </c>
      <c r="Q643">
        <f t="shared" ca="1" si="120"/>
        <v>3</v>
      </c>
      <c r="R643">
        <f ca="1">((Tabla2[[#This Row],[Fantasma Comunicación]]+1)/(Tabla2[[#This Row],[Fantasma Comunicación]]+RANDBETWEEN(0,5)+2))-0.5</f>
        <v>0.30000000000000004</v>
      </c>
      <c r="S643">
        <f ca="1">1+MAX(0,Tabla2[[#This Row],[Deuda actual]]/Tabla2[[#This Row],[Liquidez]]+Tabla2[[#This Row],[Liquidez]]/(Tabla2[[#This Row],[Activos]]+Tabla2[[#This Row],[Liquidez]])+Tabla2[[#This Row],[Comunicación]])</f>
        <v>1.5359002998030951</v>
      </c>
      <c r="T643">
        <f ca="1">Tabla2[[#This Row],[Deuda actual]]*EXP(Tabla2[[#This Row],[Ki]]*Tabla2[[#This Row],[diferencia de días]])*(1+Tabla2[[#This Row],[Hg]])</f>
        <v>344.20859198518122</v>
      </c>
    </row>
    <row r="644" spans="1:20" ht="14.5" x14ac:dyDescent="0.35">
      <c r="A644">
        <f t="shared" si="110"/>
        <v>643</v>
      </c>
      <c r="B644">
        <f t="shared" ca="1" si="111"/>
        <v>46126</v>
      </c>
      <c r="C644">
        <f t="shared" ca="1" si="112"/>
        <v>46157</v>
      </c>
      <c r="D644">
        <f t="shared" ca="1" si="113"/>
        <v>32</v>
      </c>
      <c r="E644">
        <f t="shared" ca="1" si="114"/>
        <v>0.85799813080464415</v>
      </c>
      <c r="F644">
        <f t="shared" ca="1" si="115"/>
        <v>406.72</v>
      </c>
      <c r="G644" t="str">
        <f t="shared" ca="1" si="116"/>
        <v>personal</v>
      </c>
      <c r="H64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644" t="str">
        <f t="shared" ca="1" si="117"/>
        <v>No</v>
      </c>
      <c r="J64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12000.100863180242</v>
      </c>
      <c r="K644" t="str">
        <f ca="1">IF(Tabla2[[#This Row],[¿cliente deuda abierta?]]="Sí", Tabla2[[#This Row],[Deuda actual]]*Tabla2[[#This Row],[diferencia de días]], "0")</f>
        <v>0</v>
      </c>
      <c r="L64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4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64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644">
        <f t="shared" ca="1" si="118"/>
        <v>1681.47</v>
      </c>
      <c r="P644">
        <f t="shared" ca="1" si="119"/>
        <v>118553</v>
      </c>
      <c r="Q644">
        <f t="shared" ca="1" si="120"/>
        <v>3</v>
      </c>
      <c r="R644">
        <f ca="1">((Tabla2[[#This Row],[Fantasma Comunicación]]+1)/(Tabla2[[#This Row],[Fantasma Comunicación]]+RANDBETWEEN(0,5)+2))-0.5</f>
        <v>0.16666666666666663</v>
      </c>
      <c r="S644">
        <f ca="1">1+MAX(0,Tabla2[[#This Row],[Deuda actual]]/Tabla2[[#This Row],[Liquidez]]+Tabla2[[#This Row],[Liquidez]]/(Tabla2[[#This Row],[Activos]]+Tabla2[[#This Row],[Liquidez]])+Tabla2[[#This Row],[Comunicación]])</f>
        <v>1.4225351812433926</v>
      </c>
      <c r="T644">
        <f ca="1">Tabla2[[#This Row],[Deuda actual]]*EXP(Tabla2[[#This Row],[Ki]]*Tabla2[[#This Row],[diferencia de días]])*(1+Tabla2[[#This Row],[Hg]])</f>
        <v>377.950967781928</v>
      </c>
    </row>
    <row r="645" spans="1:20" ht="14.5" x14ac:dyDescent="0.35">
      <c r="A645">
        <f t="shared" si="110"/>
        <v>644</v>
      </c>
      <c r="B645">
        <f t="shared" ca="1" si="111"/>
        <v>46141</v>
      </c>
      <c r="C645">
        <f t="shared" ca="1" si="112"/>
        <v>46157</v>
      </c>
      <c r="D645">
        <f t="shared" ca="1" si="113"/>
        <v>9</v>
      </c>
      <c r="E645">
        <f t="shared" ca="1" si="114"/>
        <v>3.5514616824508405E-2</v>
      </c>
      <c r="F645">
        <f t="shared" ca="1" si="115"/>
        <v>5265.28</v>
      </c>
      <c r="G645" t="str">
        <f t="shared" ca="1" si="116"/>
        <v>personal</v>
      </c>
      <c r="H64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45" t="str">
        <f t="shared" ca="1" si="117"/>
        <v>Sí</v>
      </c>
      <c r="J64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45">
        <f ca="1">IF(Tabla2[[#This Row],[¿cliente deuda abierta?]]="Sí", Tabla2[[#This Row],[Deuda actual]]*Tabla2[[#This Row],[diferencia de días]], "0")</f>
        <v>47387.519999999997</v>
      </c>
      <c r="L64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64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45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645">
        <f t="shared" ca="1" si="118"/>
        <v>1016.59</v>
      </c>
      <c r="P645">
        <f t="shared" ca="1" si="119"/>
        <v>80910.399999999994</v>
      </c>
      <c r="Q645">
        <f t="shared" ca="1" si="120"/>
        <v>1</v>
      </c>
      <c r="R645">
        <f ca="1">((Tabla2[[#This Row],[Fantasma Comunicación]]+1)/(Tabla2[[#This Row],[Fantasma Comunicación]]+RANDBETWEEN(0,5)+2))-0.5</f>
        <v>0.16666666666666663</v>
      </c>
      <c r="S645">
        <f ca="1">1+MAX(0,Tabla2[[#This Row],[Deuda actual]]/Tabla2[[#This Row],[Liquidez]]+Tabla2[[#This Row],[Liquidez]]/(Tabla2[[#This Row],[Activos]]+Tabla2[[#This Row],[Liquidez]])+Tabla2[[#This Row],[Comunicación]])</f>
        <v>6.3584296624849381</v>
      </c>
      <c r="T645">
        <f ca="1">Tabla2[[#This Row],[Deuda actual]]*EXP(Tabla2[[#This Row],[Ki]]*Tabla2[[#This Row],[diferencia de días]])*(1+Tabla2[[#This Row],[Hg]])</f>
        <v>5802.2426427611317</v>
      </c>
    </row>
    <row r="646" spans="1:20" ht="14.5" x14ac:dyDescent="0.35">
      <c r="A646">
        <f t="shared" si="110"/>
        <v>645</v>
      </c>
      <c r="B646">
        <f t="shared" ca="1" si="111"/>
        <v>46111</v>
      </c>
      <c r="C646">
        <f t="shared" ca="1" si="112"/>
        <v>46157</v>
      </c>
      <c r="D646">
        <f t="shared" ca="1" si="113"/>
        <v>4</v>
      </c>
      <c r="E646">
        <f t="shared" ca="1" si="114"/>
        <v>0.45079580000803432</v>
      </c>
      <c r="F646">
        <f t="shared" ca="1" si="115"/>
        <v>135.05000000000001</v>
      </c>
      <c r="G646" t="str">
        <f t="shared" ca="1" si="116"/>
        <v>personal</v>
      </c>
      <c r="H64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46" t="str">
        <f t="shared" ca="1" si="117"/>
        <v>No</v>
      </c>
      <c r="J64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11999.936239610483</v>
      </c>
      <c r="K646" t="str">
        <f ca="1">IF(Tabla2[[#This Row],[¿cliente deuda abierta?]]="Sí", Tabla2[[#This Row],[Deuda actual]]*Tabla2[[#This Row],[diferencia de días]], "0")</f>
        <v>0</v>
      </c>
      <c r="L64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4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646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646">
        <f t="shared" ca="1" si="118"/>
        <v>1986.6</v>
      </c>
      <c r="P646">
        <f t="shared" ca="1" si="119"/>
        <v>256446.48</v>
      </c>
      <c r="Q646">
        <f t="shared" ca="1" si="120"/>
        <v>2</v>
      </c>
      <c r="R646">
        <f ca="1">((Tabla2[[#This Row],[Fantasma Comunicación]]+1)/(Tabla2[[#This Row],[Fantasma Comunicación]]+RANDBETWEEN(0,5)+2))-0.5</f>
        <v>-0.125</v>
      </c>
      <c r="S646">
        <f ca="1">1+MAX(0,Tabla2[[#This Row],[Deuda actual]]/Tabla2[[#This Row],[Liquidez]]+Tabla2[[#This Row],[Liquidez]]/(Tabla2[[#This Row],[Activos]]+Tabla2[[#This Row],[Liquidez]])+Tabla2[[#This Row],[Comunicación]])</f>
        <v>1</v>
      </c>
      <c r="T646">
        <f ca="1">Tabla2[[#This Row],[Deuda actual]]*EXP(Tabla2[[#This Row],[Ki]]*Tabla2[[#This Row],[diferencia de días]])*(1+Tabla2[[#This Row],[Hg]])</f>
        <v>121.64227490477393</v>
      </c>
    </row>
    <row r="647" spans="1:20" ht="14.5" x14ac:dyDescent="0.35">
      <c r="A647">
        <f t="shared" si="110"/>
        <v>646</v>
      </c>
      <c r="B647">
        <f t="shared" ca="1" si="111"/>
        <v>46126</v>
      </c>
      <c r="C647">
        <f t="shared" ca="1" si="112"/>
        <v>46157</v>
      </c>
      <c r="D647">
        <f t="shared" ca="1" si="113"/>
        <v>3</v>
      </c>
      <c r="E647">
        <f t="shared" ca="1" si="114"/>
        <v>0.4405216716650695</v>
      </c>
      <c r="F647">
        <f t="shared" ca="1" si="115"/>
        <v>184.78</v>
      </c>
      <c r="G647" t="str">
        <f t="shared" ca="1" si="116"/>
        <v>personal</v>
      </c>
      <c r="H64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47" t="str">
        <f t="shared" ca="1" si="117"/>
        <v>Sí</v>
      </c>
      <c r="J64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47">
        <f ca="1">IF(Tabla2[[#This Row],[¿cliente deuda abierta?]]="Sí", Tabla2[[#This Row],[Deuda actual]]*Tabla2[[#This Row],[diferencia de días]], "0")</f>
        <v>554.34</v>
      </c>
      <c r="L64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4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4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47">
        <f t="shared" ca="1" si="118"/>
        <v>1614.99</v>
      </c>
      <c r="P647">
        <f t="shared" ca="1" si="119"/>
        <v>69311.72</v>
      </c>
      <c r="Q647">
        <f t="shared" ca="1" si="120"/>
        <v>1</v>
      </c>
      <c r="R647">
        <f ca="1">((Tabla2[[#This Row],[Fantasma Comunicación]]+1)/(Tabla2[[#This Row],[Fantasma Comunicación]]+RANDBETWEEN(0,5)+2))-0.5</f>
        <v>-0.2142857142857143</v>
      </c>
      <c r="S647">
        <f ca="1">1+MAX(0,Tabla2[[#This Row],[Deuda actual]]/Tabla2[[#This Row],[Liquidez]]+Tabla2[[#This Row],[Liquidez]]/(Tabla2[[#This Row],[Activos]]+Tabla2[[#This Row],[Liquidez]])+Tabla2[[#This Row],[Comunicación]])</f>
        <v>1</v>
      </c>
      <c r="T647">
        <f ca="1">Tabla2[[#This Row],[Deuda actual]]*EXP(Tabla2[[#This Row],[Ki]]*Tabla2[[#This Row],[diferencia de días]])*(1+Tabla2[[#This Row],[Hg]])</f>
        <v>194.13544633040573</v>
      </c>
    </row>
    <row r="648" spans="1:20" ht="14.5" x14ac:dyDescent="0.35">
      <c r="A648">
        <f t="shared" si="110"/>
        <v>647</v>
      </c>
      <c r="B648">
        <f t="shared" ca="1" si="111"/>
        <v>46122</v>
      </c>
      <c r="C648">
        <f t="shared" ca="1" si="112"/>
        <v>46157</v>
      </c>
      <c r="D648">
        <f t="shared" ca="1" si="113"/>
        <v>27</v>
      </c>
      <c r="E648">
        <f t="shared" ca="1" si="114"/>
        <v>0.98978463810200235</v>
      </c>
      <c r="F648">
        <f t="shared" ca="1" si="115"/>
        <v>185.35</v>
      </c>
      <c r="G648" t="str">
        <f t="shared" ca="1" si="116"/>
        <v>hipotecario</v>
      </c>
      <c r="H64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48" t="str">
        <f t="shared" ca="1" si="117"/>
        <v>Sí</v>
      </c>
      <c r="J64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48">
        <f ca="1">IF(Tabla2[[#This Row],[¿cliente deuda abierta?]]="Sí", Tabla2[[#This Row],[Deuda actual]]*Tabla2[[#This Row],[diferencia de días]], "0")</f>
        <v>5004.45</v>
      </c>
      <c r="L64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4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4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48">
        <f t="shared" ca="1" si="118"/>
        <v>1193.42</v>
      </c>
      <c r="P648">
        <f t="shared" ca="1" si="119"/>
        <v>181141.18</v>
      </c>
      <c r="Q648">
        <f t="shared" ca="1" si="120"/>
        <v>5</v>
      </c>
      <c r="R648">
        <f ca="1">((Tabla2[[#This Row],[Fantasma Comunicación]]+1)/(Tabla2[[#This Row],[Fantasma Comunicación]]+RANDBETWEEN(0,5)+2))-0.5</f>
        <v>0.3571428571428571</v>
      </c>
      <c r="S648">
        <f ca="1">1+MAX(0,Tabla2[[#This Row],[Deuda actual]]/Tabla2[[#This Row],[Liquidez]]+Tabla2[[#This Row],[Liquidez]]/(Tabla2[[#This Row],[Activos]]+Tabla2[[#This Row],[Liquidez]])+Tabla2[[#This Row],[Comunicación]])</f>
        <v>1.5189980263123271</v>
      </c>
      <c r="T648">
        <f ca="1">Tabla2[[#This Row],[Deuda actual]]*EXP(Tabla2[[#This Row],[Ki]]*Tabla2[[#This Row],[diferencia de días]])*(1+Tabla2[[#This Row],[Hg]])</f>
        <v>196.73076006349498</v>
      </c>
    </row>
    <row r="649" spans="1:20" ht="14.5" x14ac:dyDescent="0.35">
      <c r="A649">
        <f t="shared" si="110"/>
        <v>648</v>
      </c>
      <c r="B649">
        <f t="shared" ca="1" si="111"/>
        <v>46130</v>
      </c>
      <c r="C649">
        <f t="shared" ca="1" si="112"/>
        <v>46157</v>
      </c>
      <c r="D649">
        <f t="shared" ca="1" si="113"/>
        <v>71</v>
      </c>
      <c r="E649">
        <f t="shared" ca="1" si="114"/>
        <v>0.55863702352104583</v>
      </c>
      <c r="F649">
        <f t="shared" ca="1" si="115"/>
        <v>207.55</v>
      </c>
      <c r="G649" t="str">
        <f t="shared" ca="1" si="116"/>
        <v>personal</v>
      </c>
      <c r="H64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649" t="str">
        <f t="shared" ca="1" si="117"/>
        <v>Sí</v>
      </c>
      <c r="J64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49">
        <f ca="1">IF(Tabla2[[#This Row],[¿cliente deuda abierta?]]="Sí", Tabla2[[#This Row],[Deuda actual]]*Tabla2[[#This Row],[diferencia de días]], "0")</f>
        <v>14736.050000000001</v>
      </c>
      <c r="L64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4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4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49">
        <f t="shared" ca="1" si="118"/>
        <v>1667.83</v>
      </c>
      <c r="P649">
        <f t="shared" ca="1" si="119"/>
        <v>121205.7</v>
      </c>
      <c r="Q649">
        <f t="shared" ca="1" si="120"/>
        <v>1</v>
      </c>
      <c r="R649">
        <f ca="1">((Tabla2[[#This Row],[Fantasma Comunicación]]+1)/(Tabla2[[#This Row],[Fantasma Comunicación]]+RANDBETWEEN(0,5)+2))-0.5</f>
        <v>-0.25</v>
      </c>
      <c r="S649">
        <f ca="1">1+MAX(0,Tabla2[[#This Row],[Deuda actual]]/Tabla2[[#This Row],[Liquidez]]+Tabla2[[#This Row],[Liquidez]]/(Tabla2[[#This Row],[Activos]]+Tabla2[[#This Row],[Liquidez]])+Tabla2[[#This Row],[Comunicación]])</f>
        <v>1</v>
      </c>
      <c r="T649">
        <f ca="1">Tabla2[[#This Row],[Deuda actual]]*EXP(Tabla2[[#This Row],[Ki]]*Tabla2[[#This Row],[diferencia de días]])*(1+Tabla2[[#This Row],[Hg]])</f>
        <v>233.96287260042649</v>
      </c>
    </row>
    <row r="650" spans="1:20" ht="14.5" x14ac:dyDescent="0.35">
      <c r="A650">
        <f t="shared" si="110"/>
        <v>649</v>
      </c>
      <c r="B650">
        <f t="shared" ca="1" si="111"/>
        <v>46115</v>
      </c>
      <c r="C650">
        <f t="shared" ca="1" si="112"/>
        <v>46157</v>
      </c>
      <c r="D650">
        <f t="shared" ca="1" si="113"/>
        <v>1</v>
      </c>
      <c r="E650">
        <f t="shared" ca="1" si="114"/>
        <v>0.90439688939578911</v>
      </c>
      <c r="F650">
        <f t="shared" ca="1" si="115"/>
        <v>491.49</v>
      </c>
      <c r="G650" t="str">
        <f t="shared" ca="1" si="116"/>
        <v>personal</v>
      </c>
      <c r="H65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50" t="str">
        <f t="shared" ca="1" si="117"/>
        <v>Sí</v>
      </c>
      <c r="J65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50">
        <f ca="1">IF(Tabla2[[#This Row],[¿cliente deuda abierta?]]="Sí", Tabla2[[#This Row],[Deuda actual]]*Tabla2[[#This Row],[diferencia de días]], "0")</f>
        <v>491.49</v>
      </c>
      <c r="L65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5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5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50">
        <f t="shared" ca="1" si="118"/>
        <v>2319.83</v>
      </c>
      <c r="P650">
        <f t="shared" ca="1" si="119"/>
        <v>225985.28</v>
      </c>
      <c r="Q650">
        <f t="shared" ca="1" si="120"/>
        <v>2</v>
      </c>
      <c r="R650">
        <f ca="1">((Tabla2[[#This Row],[Fantasma Comunicación]]+1)/(Tabla2[[#This Row],[Fantasma Comunicación]]+RANDBETWEEN(0,5)+2))-0.5</f>
        <v>0.25</v>
      </c>
      <c r="S650">
        <f ca="1">1+MAX(0,Tabla2[[#This Row],[Deuda actual]]/Tabla2[[#This Row],[Liquidez]]+Tabla2[[#This Row],[Liquidez]]/(Tabla2[[#This Row],[Activos]]+Tabla2[[#This Row],[Liquidez]])+Tabla2[[#This Row],[Comunicación]])</f>
        <v>1.472025757883604</v>
      </c>
      <c r="T650">
        <f ca="1">Tabla2[[#This Row],[Deuda actual]]*EXP(Tabla2[[#This Row],[Ki]]*Tabla2[[#This Row],[diferencia de días]])*(1+Tabla2[[#This Row],[Hg]])</f>
        <v>516.16772322197824</v>
      </c>
    </row>
    <row r="651" spans="1:20" ht="14.5" x14ac:dyDescent="0.35">
      <c r="A651">
        <f t="shared" si="110"/>
        <v>650</v>
      </c>
      <c r="B651">
        <f t="shared" ca="1" si="111"/>
        <v>46140</v>
      </c>
      <c r="C651">
        <f t="shared" ca="1" si="112"/>
        <v>46157</v>
      </c>
      <c r="D651">
        <f t="shared" ca="1" si="113"/>
        <v>14</v>
      </c>
      <c r="E651">
        <f t="shared" ca="1" si="114"/>
        <v>0.48834754701436534</v>
      </c>
      <c r="F651">
        <f t="shared" ca="1" si="115"/>
        <v>528.49</v>
      </c>
      <c r="G651" t="str">
        <f t="shared" ca="1" si="116"/>
        <v>personal</v>
      </c>
      <c r="H65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51" t="str">
        <f t="shared" ca="1" si="117"/>
        <v>Sí</v>
      </c>
      <c r="J65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51">
        <f ca="1">IF(Tabla2[[#This Row],[¿cliente deuda abierta?]]="Sí", Tabla2[[#This Row],[Deuda actual]]*Tabla2[[#This Row],[diferencia de días]], "0")</f>
        <v>7398.8600000000006</v>
      </c>
      <c r="L65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5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5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51">
        <f t="shared" ca="1" si="118"/>
        <v>1718.24</v>
      </c>
      <c r="P651">
        <f t="shared" ca="1" si="119"/>
        <v>328065.32</v>
      </c>
      <c r="Q651">
        <f t="shared" ca="1" si="120"/>
        <v>5</v>
      </c>
      <c r="R651">
        <f ca="1">((Tabla2[[#This Row],[Fantasma Comunicación]]+1)/(Tabla2[[#This Row],[Fantasma Comunicación]]+RANDBETWEEN(0,5)+2))-0.5</f>
        <v>0.25</v>
      </c>
      <c r="S651">
        <f ca="1">1+MAX(0,Tabla2[[#This Row],[Deuda actual]]/Tabla2[[#This Row],[Liquidez]]+Tabla2[[#This Row],[Liquidez]]/(Tabla2[[#This Row],[Activos]]+Tabla2[[#This Row],[Liquidez]])+Tabla2[[#This Row],[Comunicación]])</f>
        <v>1.5627865623445401</v>
      </c>
      <c r="T651">
        <f ca="1">Tabla2[[#This Row],[Deuda actual]]*EXP(Tabla2[[#This Row],[Ki]]*Tabla2[[#This Row],[diferencia de días]])*(1+Tabla2[[#This Row],[Hg]])</f>
        <v>556.47043789650922</v>
      </c>
    </row>
    <row r="652" spans="1:20" ht="14.5" x14ac:dyDescent="0.35">
      <c r="A652">
        <f t="shared" si="110"/>
        <v>651</v>
      </c>
      <c r="B652">
        <f t="shared" ca="1" si="111"/>
        <v>46109</v>
      </c>
      <c r="C652">
        <f t="shared" ca="1" si="112"/>
        <v>46157</v>
      </c>
      <c r="D652">
        <f t="shared" ca="1" si="113"/>
        <v>31</v>
      </c>
      <c r="E652">
        <f t="shared" ca="1" si="114"/>
        <v>0.90322918731211166</v>
      </c>
      <c r="F652">
        <f t="shared" ca="1" si="115"/>
        <v>187.96</v>
      </c>
      <c r="G652" t="str">
        <f t="shared" ca="1" si="116"/>
        <v>hipotecario</v>
      </c>
      <c r="H65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652" t="str">
        <f t="shared" ca="1" si="117"/>
        <v>No</v>
      </c>
      <c r="J65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164999.67024512784</v>
      </c>
      <c r="K652" t="str">
        <f ca="1">IF(Tabla2[[#This Row],[¿cliente deuda abierta?]]="Sí", Tabla2[[#This Row],[Deuda actual]]*Tabla2[[#This Row],[diferencia de días]], "0")</f>
        <v>0</v>
      </c>
      <c r="L65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5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5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52">
        <f t="shared" ca="1" si="118"/>
        <v>1426.28</v>
      </c>
      <c r="P652">
        <f t="shared" ca="1" si="119"/>
        <v>123862.86</v>
      </c>
      <c r="Q652">
        <f t="shared" ca="1" si="120"/>
        <v>2</v>
      </c>
      <c r="R652">
        <f ca="1">((Tabla2[[#This Row],[Fantasma Comunicación]]+1)/(Tabla2[[#This Row],[Fantasma Comunicación]]+RANDBETWEEN(0,5)+2))-0.5</f>
        <v>-0.16666666666666669</v>
      </c>
      <c r="S652">
        <f ca="1">1+MAX(0,Tabla2[[#This Row],[Deuda actual]]/Tabla2[[#This Row],[Liquidez]]+Tabla2[[#This Row],[Liquidez]]/(Tabla2[[#This Row],[Activos]]+Tabla2[[#This Row],[Liquidez]])+Tabla2[[#This Row],[Comunicación]])</f>
        <v>1</v>
      </c>
      <c r="T652">
        <f ca="1">Tabla2[[#This Row],[Deuda actual]]*EXP(Tabla2[[#This Row],[Ki]]*Tabla2[[#This Row],[diferencia de días]])*(1+Tabla2[[#This Row],[Hg]])</f>
        <v>155.10241224840865</v>
      </c>
    </row>
    <row r="653" spans="1:20" ht="14.5" x14ac:dyDescent="0.35">
      <c r="A653">
        <f t="shared" si="110"/>
        <v>652</v>
      </c>
      <c r="B653">
        <f t="shared" ca="1" si="111"/>
        <v>46126</v>
      </c>
      <c r="C653">
        <f t="shared" ca="1" si="112"/>
        <v>46157</v>
      </c>
      <c r="D653">
        <f t="shared" ca="1" si="113"/>
        <v>6</v>
      </c>
      <c r="E653">
        <f t="shared" ca="1" si="114"/>
        <v>0.50412092390057306</v>
      </c>
      <c r="F653">
        <f t="shared" ca="1" si="115"/>
        <v>726.26</v>
      </c>
      <c r="G653" t="str">
        <f t="shared" ca="1" si="116"/>
        <v>hipotecario</v>
      </c>
      <c r="H65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53" t="str">
        <f t="shared" ca="1" si="117"/>
        <v>No</v>
      </c>
      <c r="J65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165000.98302968158</v>
      </c>
      <c r="K653" t="str">
        <f ca="1">IF(Tabla2[[#This Row],[¿cliente deuda abierta?]]="Sí", Tabla2[[#This Row],[Deuda actual]]*Tabla2[[#This Row],[diferencia de días]], "0")</f>
        <v>0</v>
      </c>
      <c r="L65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5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5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53">
        <f t="shared" ca="1" si="118"/>
        <v>2092.9299999999998</v>
      </c>
      <c r="P653">
        <f t="shared" ca="1" si="119"/>
        <v>189257.34</v>
      </c>
      <c r="Q653">
        <f t="shared" ca="1" si="120"/>
        <v>2</v>
      </c>
      <c r="R653">
        <f ca="1">((Tabla2[[#This Row],[Fantasma Comunicación]]+1)/(Tabla2[[#This Row],[Fantasma Comunicación]]+RANDBETWEEN(0,5)+2))-0.5</f>
        <v>0.25</v>
      </c>
      <c r="S653">
        <f ca="1">1+MAX(0,Tabla2[[#This Row],[Deuda actual]]/Tabla2[[#This Row],[Liquidez]]+Tabla2[[#This Row],[Liquidez]]/(Tabla2[[#This Row],[Activos]]+Tabla2[[#This Row],[Liquidez]])+Tabla2[[#This Row],[Comunicación]])</f>
        <v>1.607944040290975</v>
      </c>
      <c r="T653">
        <f ca="1">Tabla2[[#This Row],[Deuda actual]]*EXP(Tabla2[[#This Row],[Ki]]*Tabla2[[#This Row],[diferencia de días]])*(1+Tabla2[[#This Row],[Hg]])</f>
        <v>581.70562809314049</v>
      </c>
    </row>
    <row r="654" spans="1:20" ht="14.5" x14ac:dyDescent="0.35">
      <c r="A654">
        <f t="shared" si="110"/>
        <v>653</v>
      </c>
      <c r="B654">
        <f t="shared" ca="1" si="111"/>
        <v>46085</v>
      </c>
      <c r="C654">
        <f t="shared" ca="1" si="112"/>
        <v>46157</v>
      </c>
      <c r="D654">
        <f t="shared" ca="1" si="113"/>
        <v>3</v>
      </c>
      <c r="E654">
        <f t="shared" ca="1" si="114"/>
        <v>0.52753406481950282</v>
      </c>
      <c r="F654">
        <f t="shared" ca="1" si="115"/>
        <v>1959.46</v>
      </c>
      <c r="G654" t="str">
        <f t="shared" ca="1" si="116"/>
        <v>personal</v>
      </c>
      <c r="H65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54" t="str">
        <f t="shared" ca="1" si="117"/>
        <v>No</v>
      </c>
      <c r="J65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12000.700009837694</v>
      </c>
      <c r="K654" t="str">
        <f ca="1">IF(Tabla2[[#This Row],[¿cliente deuda abierta?]]="Sí", Tabla2[[#This Row],[Deuda actual]]*Tabla2[[#This Row],[diferencia de días]], "0")</f>
        <v>0</v>
      </c>
      <c r="L65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5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65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654">
        <f t="shared" ca="1" si="118"/>
        <v>1474.3</v>
      </c>
      <c r="P654">
        <f t="shared" ca="1" si="119"/>
        <v>429560.65</v>
      </c>
      <c r="Q654">
        <f t="shared" ca="1" si="120"/>
        <v>2</v>
      </c>
      <c r="R654">
        <f ca="1">((Tabla2[[#This Row],[Fantasma Comunicación]]+1)/(Tabla2[[#This Row],[Fantasma Comunicación]]+RANDBETWEEN(0,5)+2))-0.5</f>
        <v>9.9999999999999978E-2</v>
      </c>
      <c r="S654">
        <f ca="1">1+MAX(0,Tabla2[[#This Row],[Deuda actual]]/Tabla2[[#This Row],[Liquidez]]+Tabla2[[#This Row],[Liquidez]]/(Tabla2[[#This Row],[Activos]]+Tabla2[[#This Row],[Liquidez]])+Tabla2[[#This Row],[Comunicación]])</f>
        <v>2.4324985788988416</v>
      </c>
      <c r="T654">
        <f ca="1">Tabla2[[#This Row],[Deuda actual]]*EXP(Tabla2[[#This Row],[Ki]]*Tabla2[[#This Row],[diferencia de días]])*(1+Tabla2[[#This Row],[Hg]])</f>
        <v>1764.5724258960161</v>
      </c>
    </row>
    <row r="655" spans="1:20" ht="14.5" x14ac:dyDescent="0.35">
      <c r="A655">
        <f t="shared" si="110"/>
        <v>654</v>
      </c>
      <c r="B655">
        <f t="shared" ca="1" si="111"/>
        <v>46118</v>
      </c>
      <c r="C655">
        <f t="shared" ca="1" si="112"/>
        <v>46157</v>
      </c>
      <c r="D655">
        <f t="shared" ca="1" si="113"/>
        <v>17</v>
      </c>
      <c r="E655">
        <f t="shared" ca="1" si="114"/>
        <v>0.25157448343540156</v>
      </c>
      <c r="F655">
        <f t="shared" ca="1" si="115"/>
        <v>1581.8</v>
      </c>
      <c r="G655" t="str">
        <f t="shared" ca="1" si="116"/>
        <v>personal</v>
      </c>
      <c r="H65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55" t="str">
        <f t="shared" ca="1" si="117"/>
        <v>Sí</v>
      </c>
      <c r="J65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55">
        <f ca="1">IF(Tabla2[[#This Row],[¿cliente deuda abierta?]]="Sí", Tabla2[[#This Row],[Deuda actual]]*Tabla2[[#This Row],[diferencia de días]], "0")</f>
        <v>26890.6</v>
      </c>
      <c r="L65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5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5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55">
        <f t="shared" ca="1" si="118"/>
        <v>1880.24</v>
      </c>
      <c r="P655">
        <f t="shared" ca="1" si="119"/>
        <v>192070.36</v>
      </c>
      <c r="Q655">
        <f t="shared" ca="1" si="120"/>
        <v>3</v>
      </c>
      <c r="R655">
        <f ca="1">((Tabla2[[#This Row],[Fantasma Comunicación]]+1)/(Tabla2[[#This Row],[Fantasma Comunicación]]+RANDBETWEEN(0,5)+2))-0.5</f>
        <v>0.30000000000000004</v>
      </c>
      <c r="S655">
        <f ca="1">1+MAX(0,Tabla2[[#This Row],[Deuda actual]]/Tabla2[[#This Row],[Liquidez]]+Tabla2[[#This Row],[Liquidez]]/(Tabla2[[#This Row],[Activos]]+Tabla2[[#This Row],[Liquidez]])+Tabla2[[#This Row],[Comunicación]])</f>
        <v>2.1509700091844861</v>
      </c>
      <c r="T655">
        <f ca="1">Tabla2[[#This Row],[Deuda actual]]*EXP(Tabla2[[#This Row],[Ki]]*Tabla2[[#This Row],[diferencia de días]])*(1+Tabla2[[#This Row],[Hg]])</f>
        <v>1672.2225389644627</v>
      </c>
    </row>
    <row r="656" spans="1:20" ht="14.5" x14ac:dyDescent="0.35">
      <c r="A656">
        <f t="shared" si="110"/>
        <v>655</v>
      </c>
      <c r="B656">
        <f t="shared" ca="1" si="111"/>
        <v>46117</v>
      </c>
      <c r="C656">
        <f t="shared" ca="1" si="112"/>
        <v>46157</v>
      </c>
      <c r="D656">
        <f t="shared" ca="1" si="113"/>
        <v>4</v>
      </c>
      <c r="E656">
        <f t="shared" ca="1" si="114"/>
        <v>0.20237101026741644</v>
      </c>
      <c r="F656">
        <f t="shared" ca="1" si="115"/>
        <v>702.34</v>
      </c>
      <c r="G656" t="str">
        <f t="shared" ca="1" si="116"/>
        <v>hipotecario</v>
      </c>
      <c r="H65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56" t="str">
        <f t="shared" ca="1" si="117"/>
        <v>Sí</v>
      </c>
      <c r="J65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56">
        <f ca="1">IF(Tabla2[[#This Row],[¿cliente deuda abierta?]]="Sí", Tabla2[[#This Row],[Deuda actual]]*Tabla2[[#This Row],[diferencia de días]], "0")</f>
        <v>2809.36</v>
      </c>
      <c r="L65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5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5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56">
        <f t="shared" ca="1" si="118"/>
        <v>2306.1</v>
      </c>
      <c r="P656">
        <f t="shared" ca="1" si="119"/>
        <v>281857.3</v>
      </c>
      <c r="Q656">
        <f t="shared" ca="1" si="120"/>
        <v>4</v>
      </c>
      <c r="R656">
        <f ca="1">((Tabla2[[#This Row],[Fantasma Comunicación]]+1)/(Tabla2[[#This Row],[Fantasma Comunicación]]+RANDBETWEEN(0,5)+2))-0.5</f>
        <v>5.555555555555558E-2</v>
      </c>
      <c r="S656">
        <f ca="1">1+MAX(0,Tabla2[[#This Row],[Deuda actual]]/Tabla2[[#This Row],[Liquidez]]+Tabla2[[#This Row],[Liquidez]]/(Tabla2[[#This Row],[Activos]]+Tabla2[[#This Row],[Liquidez]])+Tabla2[[#This Row],[Comunicación]])</f>
        <v>1.3682284347580085</v>
      </c>
      <c r="T656">
        <f ca="1">Tabla2[[#This Row],[Deuda actual]]*EXP(Tabla2[[#This Row],[Ki]]*Tabla2[[#This Row],[diferencia de días]])*(1+Tabla2[[#This Row],[Hg]])</f>
        <v>738.04720164918228</v>
      </c>
    </row>
    <row r="657" spans="1:20" ht="14.5" x14ac:dyDescent="0.35">
      <c r="A657">
        <f t="shared" si="110"/>
        <v>656</v>
      </c>
      <c r="B657">
        <f t="shared" ca="1" si="111"/>
        <v>46114</v>
      </c>
      <c r="C657">
        <f t="shared" ca="1" si="112"/>
        <v>46157</v>
      </c>
      <c r="D657">
        <f t="shared" ca="1" si="113"/>
        <v>26</v>
      </c>
      <c r="E657">
        <f t="shared" ca="1" si="114"/>
        <v>0.6443077400773165</v>
      </c>
      <c r="F657">
        <f t="shared" ca="1" si="115"/>
        <v>1449.17</v>
      </c>
      <c r="G657" t="str">
        <f t="shared" ca="1" si="116"/>
        <v>hipotecario</v>
      </c>
      <c r="H65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57" t="str">
        <f t="shared" ca="1" si="117"/>
        <v>Sí</v>
      </c>
      <c r="J65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57">
        <f ca="1">IF(Tabla2[[#This Row],[¿cliente deuda abierta?]]="Sí", Tabla2[[#This Row],[Deuda actual]]*Tabla2[[#This Row],[diferencia de días]], "0")</f>
        <v>37678.42</v>
      </c>
      <c r="L65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65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57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657">
        <f t="shared" ca="1" si="118"/>
        <v>1587.19</v>
      </c>
      <c r="P657">
        <f t="shared" ca="1" si="119"/>
        <v>365561.22</v>
      </c>
      <c r="Q657">
        <f t="shared" ca="1" si="120"/>
        <v>2</v>
      </c>
      <c r="R657">
        <f ca="1">((Tabla2[[#This Row],[Fantasma Comunicación]]+1)/(Tabla2[[#This Row],[Fantasma Comunicación]]+RANDBETWEEN(0,5)+2))-0.5</f>
        <v>0.25</v>
      </c>
      <c r="S657">
        <f ca="1">1+MAX(0,Tabla2[[#This Row],[Deuda actual]]/Tabla2[[#This Row],[Liquidez]]+Tabla2[[#This Row],[Liquidez]]/(Tabla2[[#This Row],[Activos]]+Tabla2[[#This Row],[Liquidez]])+Tabla2[[#This Row],[Comunicación]])</f>
        <v>2.1673643070219968</v>
      </c>
      <c r="T657">
        <f ca="1">Tabla2[[#This Row],[Deuda actual]]*EXP(Tabla2[[#This Row],[Ki]]*Tabla2[[#This Row],[diferencia de días]])*(1+Tabla2[[#This Row],[Hg]])</f>
        <v>1610.7520126587824</v>
      </c>
    </row>
    <row r="658" spans="1:20" ht="14.5" x14ac:dyDescent="0.35">
      <c r="A658">
        <f t="shared" si="110"/>
        <v>657</v>
      </c>
      <c r="B658">
        <f t="shared" ca="1" si="111"/>
        <v>46130</v>
      </c>
      <c r="C658">
        <f t="shared" ca="1" si="112"/>
        <v>46157</v>
      </c>
      <c r="D658">
        <f t="shared" ca="1" si="113"/>
        <v>10</v>
      </c>
      <c r="E658">
        <f t="shared" ca="1" si="114"/>
        <v>0.91884314638237652</v>
      </c>
      <c r="F658">
        <f t="shared" ca="1" si="115"/>
        <v>4156.45</v>
      </c>
      <c r="G658" t="str">
        <f t="shared" ca="1" si="116"/>
        <v>hipotecario</v>
      </c>
      <c r="H65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58" t="str">
        <f t="shared" ca="1" si="117"/>
        <v>Sí</v>
      </c>
      <c r="J65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58">
        <f ca="1">IF(Tabla2[[#This Row],[¿cliente deuda abierta?]]="Sí", Tabla2[[#This Row],[Deuda actual]]*Tabla2[[#This Row],[diferencia de días]], "0")</f>
        <v>41564.5</v>
      </c>
      <c r="L65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65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58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658">
        <f t="shared" ca="1" si="118"/>
        <v>1592.6</v>
      </c>
      <c r="P658">
        <f t="shared" ca="1" si="119"/>
        <v>244466.04</v>
      </c>
      <c r="Q658">
        <f t="shared" ca="1" si="120"/>
        <v>1</v>
      </c>
      <c r="R658">
        <f ca="1">((Tabla2[[#This Row],[Fantasma Comunicación]]+1)/(Tabla2[[#This Row],[Fantasma Comunicación]]+RANDBETWEEN(0,5)+2))-0.5</f>
        <v>-0.16666666666666669</v>
      </c>
      <c r="S658">
        <f ca="1">1+MAX(0,Tabla2[[#This Row],[Deuda actual]]/Tabla2[[#This Row],[Liquidez]]+Tabla2[[#This Row],[Liquidez]]/(Tabla2[[#This Row],[Activos]]+Tabla2[[#This Row],[Liquidez]])+Tabla2[[#This Row],[Comunicación]])</f>
        <v>3.4496575888543766</v>
      </c>
      <c r="T658">
        <f ca="1">Tabla2[[#This Row],[Deuda actual]]*EXP(Tabla2[[#This Row],[Ki]]*Tabla2[[#This Row],[diferencia de días]])*(1+Tabla2[[#This Row],[Hg]])</f>
        <v>4581.2483402891767</v>
      </c>
    </row>
    <row r="659" spans="1:20" ht="14.5" x14ac:dyDescent="0.35">
      <c r="A659">
        <f t="shared" si="110"/>
        <v>658</v>
      </c>
      <c r="B659">
        <f t="shared" ca="1" si="111"/>
        <v>46133</v>
      </c>
      <c r="C659">
        <f t="shared" ca="1" si="112"/>
        <v>46157</v>
      </c>
      <c r="D659">
        <f t="shared" ca="1" si="113"/>
        <v>0</v>
      </c>
      <c r="E659">
        <f t="shared" ca="1" si="114"/>
        <v>0.84183723053230386</v>
      </c>
      <c r="F659">
        <f t="shared" ca="1" si="115"/>
        <v>477.94</v>
      </c>
      <c r="G659" t="str">
        <f t="shared" ca="1" si="116"/>
        <v>personal</v>
      </c>
      <c r="H65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59" t="str">
        <f t="shared" ca="1" si="117"/>
        <v>Sí</v>
      </c>
      <c r="J65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59">
        <f ca="1">IF(Tabla2[[#This Row],[¿cliente deuda abierta?]]="Sí", Tabla2[[#This Row],[Deuda actual]]*Tabla2[[#This Row],[diferencia de días]], "0")</f>
        <v>0</v>
      </c>
      <c r="L65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5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59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659">
        <f t="shared" ca="1" si="118"/>
        <v>2606.34</v>
      </c>
      <c r="P659">
        <f t="shared" ca="1" si="119"/>
        <v>42974.91</v>
      </c>
      <c r="Q659">
        <f t="shared" ca="1" si="120"/>
        <v>2</v>
      </c>
      <c r="R659">
        <f ca="1">((Tabla2[[#This Row],[Fantasma Comunicación]]+1)/(Tabla2[[#This Row],[Fantasma Comunicación]]+RANDBETWEEN(0,5)+2))-0.5</f>
        <v>0</v>
      </c>
      <c r="S659">
        <f ca="1">1+MAX(0,Tabla2[[#This Row],[Deuda actual]]/Tabla2[[#This Row],[Liquidez]]+Tabla2[[#This Row],[Liquidez]]/(Tabla2[[#This Row],[Activos]]+Tabla2[[#This Row],[Liquidez]])+Tabla2[[#This Row],[Comunicación]])</f>
        <v>1.2405560122884478</v>
      </c>
      <c r="T659">
        <f ca="1">Tabla2[[#This Row],[Deuda actual]]*EXP(Tabla2[[#This Row],[Ki]]*Tabla2[[#This Row],[diferencia de días]])*(1+Tabla2[[#This Row],[Hg]])</f>
        <v>477.94</v>
      </c>
    </row>
    <row r="660" spans="1:20" ht="14.5" x14ac:dyDescent="0.35">
      <c r="A660">
        <f t="shared" si="110"/>
        <v>659</v>
      </c>
      <c r="B660">
        <f t="shared" ca="1" si="111"/>
        <v>46084</v>
      </c>
      <c r="C660">
        <f t="shared" ca="1" si="112"/>
        <v>46157</v>
      </c>
      <c r="D660">
        <f t="shared" ca="1" si="113"/>
        <v>2</v>
      </c>
      <c r="E660">
        <f t="shared" ca="1" si="114"/>
        <v>0.48992904511024227</v>
      </c>
      <c r="F660">
        <f t="shared" ca="1" si="115"/>
        <v>31.6</v>
      </c>
      <c r="G660" t="str">
        <f t="shared" ca="1" si="116"/>
        <v>hipotecario</v>
      </c>
      <c r="H66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60" t="str">
        <f t="shared" ca="1" si="117"/>
        <v>No</v>
      </c>
      <c r="J66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164998.1402052489</v>
      </c>
      <c r="K660" t="str">
        <f ca="1">IF(Tabla2[[#This Row],[¿cliente deuda abierta?]]="Sí", Tabla2[[#This Row],[Deuda actual]]*Tabla2[[#This Row],[diferencia de días]], "0")</f>
        <v>0</v>
      </c>
      <c r="L66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6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6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60">
        <f t="shared" ca="1" si="118"/>
        <v>2291.67</v>
      </c>
      <c r="P660">
        <f t="shared" ca="1" si="119"/>
        <v>195585.5</v>
      </c>
      <c r="Q660">
        <f t="shared" ca="1" si="120"/>
        <v>5</v>
      </c>
      <c r="R660">
        <f ca="1">((Tabla2[[#This Row],[Fantasma Comunicación]]+1)/(Tabla2[[#This Row],[Fantasma Comunicación]]+RANDBETWEEN(0,5)+2))-0.5</f>
        <v>0.3571428571428571</v>
      </c>
      <c r="S660">
        <f ca="1">1+MAX(0,Tabla2[[#This Row],[Deuda actual]]/Tabla2[[#This Row],[Liquidez]]+Tabla2[[#This Row],[Liquidez]]/(Tabla2[[#This Row],[Activos]]+Tabla2[[#This Row],[Liquidez]])+Tabla2[[#This Row],[Comunicación]])</f>
        <v>1.3825132033893432</v>
      </c>
      <c r="T660">
        <f ca="1">Tabla2[[#This Row],[Deuda actual]]*EXP(Tabla2[[#This Row],[Ki]]*Tabla2[[#This Row],[diferencia de días]])*(1+Tabla2[[#This Row],[Hg]])</f>
        <v>25.290114022669684</v>
      </c>
    </row>
    <row r="661" spans="1:20" ht="14.5" x14ac:dyDescent="0.35">
      <c r="A661">
        <f t="shared" si="110"/>
        <v>660</v>
      </c>
      <c r="B661">
        <f t="shared" ca="1" si="111"/>
        <v>46106</v>
      </c>
      <c r="C661">
        <f t="shared" ca="1" si="112"/>
        <v>46157</v>
      </c>
      <c r="D661">
        <f t="shared" ca="1" si="113"/>
        <v>4</v>
      </c>
      <c r="E661">
        <f t="shared" ca="1" si="114"/>
        <v>0.53340927417770623</v>
      </c>
      <c r="F661">
        <f t="shared" ca="1" si="115"/>
        <v>891.11</v>
      </c>
      <c r="G661" t="str">
        <f t="shared" ca="1" si="116"/>
        <v>personal</v>
      </c>
      <c r="H66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61" t="str">
        <f t="shared" ca="1" si="117"/>
        <v>No</v>
      </c>
      <c r="J66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12000.206350682856</v>
      </c>
      <c r="K661" t="str">
        <f ca="1">IF(Tabla2[[#This Row],[¿cliente deuda abierta?]]="Sí", Tabla2[[#This Row],[Deuda actual]]*Tabla2[[#This Row],[diferencia de días]], "0")</f>
        <v>0</v>
      </c>
      <c r="L66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6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661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661">
        <f t="shared" ca="1" si="118"/>
        <v>1880.23</v>
      </c>
      <c r="P661">
        <f t="shared" ca="1" si="119"/>
        <v>74107.08</v>
      </c>
      <c r="Q661">
        <f t="shared" ca="1" si="120"/>
        <v>3</v>
      </c>
      <c r="R661">
        <f ca="1">((Tabla2[[#This Row],[Fantasma Comunicación]]+1)/(Tabla2[[#This Row],[Fantasma Comunicación]]+RANDBETWEEN(0,5)+2))-0.5</f>
        <v>-5.555555555555558E-2</v>
      </c>
      <c r="S661">
        <f ca="1">1+MAX(0,Tabla2[[#This Row],[Deuda actual]]/Tabla2[[#This Row],[Liquidez]]+Tabla2[[#This Row],[Liquidez]]/(Tabla2[[#This Row],[Activos]]+Tabla2[[#This Row],[Liquidez]])+Tabla2[[#This Row],[Comunicación]])</f>
        <v>1.4431251436959465</v>
      </c>
      <c r="T661">
        <f ca="1">Tabla2[[#This Row],[Deuda actual]]*EXP(Tabla2[[#This Row],[Ki]]*Tabla2[[#This Row],[diferencia de días]])*(1+Tabla2[[#This Row],[Hg]])</f>
        <v>802.6408559081309</v>
      </c>
    </row>
    <row r="662" spans="1:20" ht="14.5" x14ac:dyDescent="0.35">
      <c r="A662">
        <f t="shared" si="110"/>
        <v>661</v>
      </c>
      <c r="B662">
        <f t="shared" ca="1" si="111"/>
        <v>46112</v>
      </c>
      <c r="C662">
        <f t="shared" ca="1" si="112"/>
        <v>46157</v>
      </c>
      <c r="D662">
        <f t="shared" ca="1" si="113"/>
        <v>23</v>
      </c>
      <c r="E662">
        <f t="shared" ca="1" si="114"/>
        <v>0.86634450700498278</v>
      </c>
      <c r="F662">
        <f t="shared" ca="1" si="115"/>
        <v>2886.76</v>
      </c>
      <c r="G662" t="str">
        <f t="shared" ca="1" si="116"/>
        <v>personal</v>
      </c>
      <c r="H66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62" t="str">
        <f t="shared" ca="1" si="117"/>
        <v>Sí</v>
      </c>
      <c r="J66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62">
        <f ca="1">IF(Tabla2[[#This Row],[¿cliente deuda abierta?]]="Sí", Tabla2[[#This Row],[Deuda actual]]*Tabla2[[#This Row],[diferencia de días]], "0")</f>
        <v>66395.48000000001</v>
      </c>
      <c r="L66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66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62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662">
        <f t="shared" ca="1" si="118"/>
        <v>1437.87</v>
      </c>
      <c r="P662">
        <f t="shared" ca="1" si="119"/>
        <v>42216.18</v>
      </c>
      <c r="Q662">
        <f t="shared" ca="1" si="120"/>
        <v>1</v>
      </c>
      <c r="R662">
        <f ca="1">((Tabla2[[#This Row],[Fantasma Comunicación]]+1)/(Tabla2[[#This Row],[Fantasma Comunicación]]+RANDBETWEEN(0,5)+2))-0.5</f>
        <v>0.16666666666666663</v>
      </c>
      <c r="S662">
        <f ca="1">1+MAX(0,Tabla2[[#This Row],[Deuda actual]]/Tabla2[[#This Row],[Liquidez]]+Tabla2[[#This Row],[Liquidez]]/(Tabla2[[#This Row],[Activos]]+Tabla2[[#This Row],[Liquidez]])+Tabla2[[#This Row],[Comunicación]])</f>
        <v>3.2072686183296031</v>
      </c>
      <c r="T662">
        <f ca="1">Tabla2[[#This Row],[Deuda actual]]*EXP(Tabla2[[#This Row],[Ki]]*Tabla2[[#This Row],[diferencia de días]])*(1+Tabla2[[#This Row],[Hg]])</f>
        <v>3350.4568454731452</v>
      </c>
    </row>
    <row r="663" spans="1:20" ht="14.5" x14ac:dyDescent="0.35">
      <c r="A663">
        <f t="shared" si="110"/>
        <v>662</v>
      </c>
      <c r="B663">
        <f t="shared" ca="1" si="111"/>
        <v>46084</v>
      </c>
      <c r="C663">
        <f t="shared" ca="1" si="112"/>
        <v>46157</v>
      </c>
      <c r="D663">
        <f t="shared" ca="1" si="113"/>
        <v>2</v>
      </c>
      <c r="E663">
        <f t="shared" ca="1" si="114"/>
        <v>0.87178028931622265</v>
      </c>
      <c r="F663">
        <f t="shared" ca="1" si="115"/>
        <v>1414.12</v>
      </c>
      <c r="G663" t="str">
        <f t="shared" ca="1" si="116"/>
        <v>hipotecario</v>
      </c>
      <c r="H66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63" t="str">
        <f t="shared" ca="1" si="117"/>
        <v>Sí</v>
      </c>
      <c r="J66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63">
        <f ca="1">IF(Tabla2[[#This Row],[¿cliente deuda abierta?]]="Sí", Tabla2[[#This Row],[Deuda actual]]*Tabla2[[#This Row],[diferencia de días]], "0")</f>
        <v>2828.24</v>
      </c>
      <c r="L66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6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6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63">
        <f t="shared" ca="1" si="118"/>
        <v>1724.82</v>
      </c>
      <c r="P663">
        <f t="shared" ca="1" si="119"/>
        <v>229565.21</v>
      </c>
      <c r="Q663">
        <f t="shared" ca="1" si="120"/>
        <v>0</v>
      </c>
      <c r="R663">
        <f ca="1">((Tabla2[[#This Row],[Fantasma Comunicación]]+1)/(Tabla2[[#This Row],[Fantasma Comunicación]]+RANDBETWEEN(0,5)+2))-0.5</f>
        <v>-0.16666666666666669</v>
      </c>
      <c r="S663">
        <f ca="1">1+MAX(0,Tabla2[[#This Row],[Deuda actual]]/Tabla2[[#This Row],[Liquidez]]+Tabla2[[#This Row],[Liquidez]]/(Tabla2[[#This Row],[Activos]]+Tabla2[[#This Row],[Liquidez]])+Tabla2[[#This Row],[Comunicación]])</f>
        <v>1.6606559848226465</v>
      </c>
      <c r="T663">
        <f ca="1">Tabla2[[#This Row],[Deuda actual]]*EXP(Tabla2[[#This Row],[Ki]]*Tabla2[[#This Row],[diferencia de días]])*(1+Tabla2[[#This Row],[Hg]])</f>
        <v>1485.4200492019199</v>
      </c>
    </row>
    <row r="664" spans="1:20" ht="14.5" x14ac:dyDescent="0.35">
      <c r="A664">
        <f t="shared" si="110"/>
        <v>663</v>
      </c>
      <c r="B664">
        <f t="shared" ca="1" si="111"/>
        <v>46132</v>
      </c>
      <c r="C664">
        <f t="shared" ca="1" si="112"/>
        <v>46157</v>
      </c>
      <c r="D664">
        <f t="shared" ca="1" si="113"/>
        <v>9</v>
      </c>
      <c r="E664">
        <f t="shared" ca="1" si="114"/>
        <v>0.51289910278670525</v>
      </c>
      <c r="F664">
        <f t="shared" ca="1" si="115"/>
        <v>1091.83</v>
      </c>
      <c r="G664" t="str">
        <f t="shared" ca="1" si="116"/>
        <v>personal</v>
      </c>
      <c r="H66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64" t="str">
        <f t="shared" ca="1" si="117"/>
        <v>No</v>
      </c>
      <c r="J66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11999.559495978821</v>
      </c>
      <c r="K664" t="str">
        <f ca="1">IF(Tabla2[[#This Row],[¿cliente deuda abierta?]]="Sí", Tabla2[[#This Row],[Deuda actual]]*Tabla2[[#This Row],[diferencia de días]], "0")</f>
        <v>0</v>
      </c>
      <c r="L66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6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66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664">
        <f t="shared" ca="1" si="118"/>
        <v>1465.1</v>
      </c>
      <c r="P664">
        <f t="shared" ca="1" si="119"/>
        <v>42087.51</v>
      </c>
      <c r="Q664">
        <f t="shared" ca="1" si="120"/>
        <v>4</v>
      </c>
      <c r="R664">
        <f ca="1">((Tabla2[[#This Row],[Fantasma Comunicación]]+1)/(Tabla2[[#This Row],[Fantasma Comunicación]]+RANDBETWEEN(0,5)+2))-0.5</f>
        <v>0.125</v>
      </c>
      <c r="S664">
        <f ca="1">1+MAX(0,Tabla2[[#This Row],[Deuda actual]]/Tabla2[[#This Row],[Liquidez]]+Tabla2[[#This Row],[Liquidez]]/(Tabla2[[#This Row],[Activos]]+Tabla2[[#This Row],[Liquidez]])+Tabla2[[#This Row],[Comunicación]])</f>
        <v>1.9038653568471431</v>
      </c>
      <c r="T664">
        <f ca="1">Tabla2[[#This Row],[Deuda actual]]*EXP(Tabla2[[#This Row],[Ki]]*Tabla2[[#This Row],[diferencia de días]])*(1+Tabla2[[#This Row],[Hg]])</f>
        <v>984.41735744370283</v>
      </c>
    </row>
    <row r="665" spans="1:20" ht="14.5" x14ac:dyDescent="0.35">
      <c r="A665">
        <f t="shared" si="110"/>
        <v>664</v>
      </c>
      <c r="B665">
        <f t="shared" ca="1" si="111"/>
        <v>46097</v>
      </c>
      <c r="C665">
        <f t="shared" ca="1" si="112"/>
        <v>46157</v>
      </c>
      <c r="D665">
        <f t="shared" ca="1" si="113"/>
        <v>1</v>
      </c>
      <c r="E665">
        <f t="shared" ca="1" si="114"/>
        <v>7.1491009260235328E-2</v>
      </c>
      <c r="F665">
        <f t="shared" ca="1" si="115"/>
        <v>601.53</v>
      </c>
      <c r="G665" t="str">
        <f t="shared" ca="1" si="116"/>
        <v>hipotecario</v>
      </c>
      <c r="H66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65" t="str">
        <f t="shared" ca="1" si="117"/>
        <v>No</v>
      </c>
      <c r="J66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164999.437310629</v>
      </c>
      <c r="K665" t="str">
        <f ca="1">IF(Tabla2[[#This Row],[¿cliente deuda abierta?]]="Sí", Tabla2[[#This Row],[Deuda actual]]*Tabla2[[#This Row],[diferencia de días]], "0")</f>
        <v>0</v>
      </c>
      <c r="L66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6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65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65">
        <f t="shared" ca="1" si="118"/>
        <v>1623.6</v>
      </c>
      <c r="P665">
        <f t="shared" ca="1" si="119"/>
        <v>140336.17000000001</v>
      </c>
      <c r="Q665">
        <f t="shared" ca="1" si="120"/>
        <v>5</v>
      </c>
      <c r="R665">
        <f ca="1">((Tabla2[[#This Row],[Fantasma Comunicación]]+1)/(Tabla2[[#This Row],[Fantasma Comunicación]]+RANDBETWEEN(0,5)+2))-0.5</f>
        <v>9.9999999999999978E-2</v>
      </c>
      <c r="S665">
        <f ca="1">1+MAX(0,Tabla2[[#This Row],[Deuda actual]]/Tabla2[[#This Row],[Liquidez]]+Tabla2[[#This Row],[Liquidez]]/(Tabla2[[#This Row],[Activos]]+Tabla2[[#This Row],[Liquidez]])+Tabla2[[#This Row],[Comunicación]])</f>
        <v>1.4819285434135043</v>
      </c>
      <c r="T665">
        <f ca="1">Tabla2[[#This Row],[Deuda actual]]*EXP(Tabla2[[#This Row],[Ki]]*Tabla2[[#This Row],[diferencia de días]])*(1+Tabla2[[#This Row],[Hg]])</f>
        <v>481.32025442512168</v>
      </c>
    </row>
    <row r="666" spans="1:20" ht="14.5" x14ac:dyDescent="0.35">
      <c r="A666">
        <f t="shared" si="110"/>
        <v>665</v>
      </c>
      <c r="B666">
        <f t="shared" ca="1" si="111"/>
        <v>46091</v>
      </c>
      <c r="C666">
        <f t="shared" ca="1" si="112"/>
        <v>46157</v>
      </c>
      <c r="D666">
        <f t="shared" ca="1" si="113"/>
        <v>6</v>
      </c>
      <c r="E666">
        <f t="shared" ca="1" si="114"/>
        <v>0.90534339207611902</v>
      </c>
      <c r="F666">
        <f t="shared" ca="1" si="115"/>
        <v>331.58</v>
      </c>
      <c r="G666" t="str">
        <f t="shared" ca="1" si="116"/>
        <v>personal</v>
      </c>
      <c r="H66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66" t="str">
        <f t="shared" ca="1" si="117"/>
        <v>No</v>
      </c>
      <c r="J66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11999.607126425131</v>
      </c>
      <c r="K666" t="str">
        <f ca="1">IF(Tabla2[[#This Row],[¿cliente deuda abierta?]]="Sí", Tabla2[[#This Row],[Deuda actual]]*Tabla2[[#This Row],[diferencia de días]], "0")</f>
        <v>0</v>
      </c>
      <c r="L66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6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666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666">
        <f t="shared" ca="1" si="118"/>
        <v>1840.99</v>
      </c>
      <c r="P666">
        <f t="shared" ca="1" si="119"/>
        <v>54698.32</v>
      </c>
      <c r="Q666">
        <f t="shared" ca="1" si="120"/>
        <v>1</v>
      </c>
      <c r="R666">
        <f ca="1">((Tabla2[[#This Row],[Fantasma Comunicación]]+1)/(Tabla2[[#This Row],[Fantasma Comunicación]]+RANDBETWEEN(0,5)+2))-0.5</f>
        <v>0</v>
      </c>
      <c r="S666">
        <f ca="1">1+MAX(0,Tabla2[[#This Row],[Deuda actual]]/Tabla2[[#This Row],[Liquidez]]+Tabla2[[#This Row],[Liquidez]]/(Tabla2[[#This Row],[Activos]]+Tabla2[[#This Row],[Liquidez]])+Tabla2[[#This Row],[Comunicación]])</f>
        <v>1.212670854186505</v>
      </c>
      <c r="T666">
        <f ca="1">Tabla2[[#This Row],[Deuda actual]]*EXP(Tabla2[[#This Row],[Ki]]*Tabla2[[#This Row],[diferencia de días]])*(1+Tabla2[[#This Row],[Hg]])</f>
        <v>298.78032134981129</v>
      </c>
    </row>
    <row r="667" spans="1:20" ht="14.5" x14ac:dyDescent="0.35">
      <c r="A667">
        <f t="shared" si="110"/>
        <v>666</v>
      </c>
      <c r="B667">
        <f t="shared" ca="1" si="111"/>
        <v>46100</v>
      </c>
      <c r="C667">
        <f t="shared" ca="1" si="112"/>
        <v>46157</v>
      </c>
      <c r="D667">
        <f t="shared" ca="1" si="113"/>
        <v>20</v>
      </c>
      <c r="E667">
        <f t="shared" ca="1" si="114"/>
        <v>0.84366855273361929</v>
      </c>
      <c r="F667">
        <f t="shared" ca="1" si="115"/>
        <v>521.32000000000005</v>
      </c>
      <c r="G667" t="str">
        <f t="shared" ca="1" si="116"/>
        <v>hipotecario</v>
      </c>
      <c r="H66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67" t="str">
        <f t="shared" ca="1" si="117"/>
        <v>Sí</v>
      </c>
      <c r="J66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67">
        <f ca="1">IF(Tabla2[[#This Row],[¿cliente deuda abierta?]]="Sí", Tabla2[[#This Row],[Deuda actual]]*Tabla2[[#This Row],[diferencia de días]], "0")</f>
        <v>10426.400000000001</v>
      </c>
      <c r="L66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6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6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67">
        <f t="shared" ca="1" si="118"/>
        <v>1657.38</v>
      </c>
      <c r="P667">
        <f t="shared" ca="1" si="119"/>
        <v>20631.23</v>
      </c>
      <c r="Q667">
        <f t="shared" ca="1" si="120"/>
        <v>0</v>
      </c>
      <c r="R667">
        <f ca="1">((Tabla2[[#This Row],[Fantasma Comunicación]]+1)/(Tabla2[[#This Row],[Fantasma Comunicación]]+RANDBETWEEN(0,5)+2))-0.5</f>
        <v>0</v>
      </c>
      <c r="S667">
        <f ca="1">1+MAX(0,Tabla2[[#This Row],[Deuda actual]]/Tabla2[[#This Row],[Liquidez]]+Tabla2[[#This Row],[Liquidez]]/(Tabla2[[#This Row],[Activos]]+Tabla2[[#This Row],[Liquidez]])+Tabla2[[#This Row],[Comunicación]])</f>
        <v>1.3889045961067423</v>
      </c>
      <c r="T667">
        <f ca="1">Tabla2[[#This Row],[Deuda actual]]*EXP(Tabla2[[#This Row],[Ki]]*Tabla2[[#This Row],[diferencia de días]])*(1+Tabla2[[#This Row],[Hg]])</f>
        <v>551.78265115584236</v>
      </c>
    </row>
    <row r="668" spans="1:20" ht="14.5" x14ac:dyDescent="0.35">
      <c r="A668">
        <f t="shared" si="110"/>
        <v>667</v>
      </c>
      <c r="B668">
        <f t="shared" ca="1" si="111"/>
        <v>46083</v>
      </c>
      <c r="C668">
        <f t="shared" ca="1" si="112"/>
        <v>46157</v>
      </c>
      <c r="D668">
        <f t="shared" ca="1" si="113"/>
        <v>1</v>
      </c>
      <c r="E668">
        <f t="shared" ca="1" si="114"/>
        <v>0.28600636135331547</v>
      </c>
      <c r="F668">
        <f t="shared" ca="1" si="115"/>
        <v>2574.5</v>
      </c>
      <c r="G668" t="str">
        <f t="shared" ca="1" si="116"/>
        <v>personal</v>
      </c>
      <c r="H66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68" t="str">
        <f t="shared" ca="1" si="117"/>
        <v>Sí</v>
      </c>
      <c r="J66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68">
        <f ca="1">IF(Tabla2[[#This Row],[¿cliente deuda abierta?]]="Sí", Tabla2[[#This Row],[Deuda actual]]*Tabla2[[#This Row],[diferencia de días]], "0")</f>
        <v>2574.5</v>
      </c>
      <c r="L66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6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6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68">
        <f t="shared" ca="1" si="118"/>
        <v>1600.58</v>
      </c>
      <c r="P668">
        <f t="shared" ca="1" si="119"/>
        <v>54290.02</v>
      </c>
      <c r="Q668">
        <f t="shared" ca="1" si="120"/>
        <v>3</v>
      </c>
      <c r="R668">
        <f ca="1">((Tabla2[[#This Row],[Fantasma Comunicación]]+1)/(Tabla2[[#This Row],[Fantasma Comunicación]]+RANDBETWEEN(0,5)+2))-0.5</f>
        <v>-9.9999999999999978E-2</v>
      </c>
      <c r="S668">
        <f ca="1">1+MAX(0,Tabla2[[#This Row],[Deuda actual]]/Tabla2[[#This Row],[Liquidez]]+Tabla2[[#This Row],[Liquidez]]/(Tabla2[[#This Row],[Activos]]+Tabla2[[#This Row],[Liquidez]])+Tabla2[[#This Row],[Comunicación]])</f>
        <v>2.5371171577764566</v>
      </c>
      <c r="T668">
        <f ca="1">Tabla2[[#This Row],[Deuda actual]]*EXP(Tabla2[[#This Row],[Ki]]*Tabla2[[#This Row],[diferencia de días]])*(1+Tabla2[[#This Row],[Hg]])</f>
        <v>2703.7656990681044</v>
      </c>
    </row>
    <row r="669" spans="1:20" ht="14.5" x14ac:dyDescent="0.35">
      <c r="A669">
        <f t="shared" si="110"/>
        <v>668</v>
      </c>
      <c r="B669">
        <f t="shared" ca="1" si="111"/>
        <v>46104</v>
      </c>
      <c r="C669">
        <f t="shared" ca="1" si="112"/>
        <v>46157</v>
      </c>
      <c r="D669">
        <f t="shared" ca="1" si="113"/>
        <v>18</v>
      </c>
      <c r="E669">
        <f t="shared" ca="1" si="114"/>
        <v>0.47178216752228241</v>
      </c>
      <c r="F669">
        <f t="shared" ca="1" si="115"/>
        <v>435.62</v>
      </c>
      <c r="G669" t="str">
        <f t="shared" ca="1" si="116"/>
        <v>hipotecario</v>
      </c>
      <c r="H66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69" t="str">
        <f t="shared" ca="1" si="117"/>
        <v>No</v>
      </c>
      <c r="J66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164998.56968696736</v>
      </c>
      <c r="K669" t="str">
        <f ca="1">IF(Tabla2[[#This Row],[¿cliente deuda abierta?]]="Sí", Tabla2[[#This Row],[Deuda actual]]*Tabla2[[#This Row],[diferencia de días]], "0")</f>
        <v>0</v>
      </c>
      <c r="L66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6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69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69">
        <f t="shared" ca="1" si="118"/>
        <v>1993.79</v>
      </c>
      <c r="P669">
        <f t="shared" ca="1" si="119"/>
        <v>200029.58</v>
      </c>
      <c r="Q669">
        <f t="shared" ca="1" si="120"/>
        <v>5</v>
      </c>
      <c r="R669">
        <f ca="1">((Tabla2[[#This Row],[Fantasma Comunicación]]+1)/(Tabla2[[#This Row],[Fantasma Comunicación]]+RANDBETWEEN(0,5)+2))-0.5</f>
        <v>0.25</v>
      </c>
      <c r="S669">
        <f ca="1">1+MAX(0,Tabla2[[#This Row],[Deuda actual]]/Tabla2[[#This Row],[Liquidez]]+Tabla2[[#This Row],[Liquidez]]/(Tabla2[[#This Row],[Activos]]+Tabla2[[#This Row],[Liquidez]])+Tabla2[[#This Row],[Comunicación]])</f>
        <v>1.4783575122398078</v>
      </c>
      <c r="T669">
        <f ca="1">Tabla2[[#This Row],[Deuda actual]]*EXP(Tabla2[[#This Row],[Ki]]*Tabla2[[#This Row],[diferencia de días]])*(1+Tabla2[[#This Row],[Hg]])</f>
        <v>351.01422593463809</v>
      </c>
    </row>
    <row r="670" spans="1:20" ht="14.5" x14ac:dyDescent="0.35">
      <c r="A670">
        <f t="shared" si="110"/>
        <v>669</v>
      </c>
      <c r="B670">
        <f t="shared" ca="1" si="111"/>
        <v>46083</v>
      </c>
      <c r="C670">
        <f t="shared" ca="1" si="112"/>
        <v>46157</v>
      </c>
      <c r="D670">
        <f t="shared" ca="1" si="113"/>
        <v>68</v>
      </c>
      <c r="E670">
        <f t="shared" ca="1" si="114"/>
        <v>0.88294717975608428</v>
      </c>
      <c r="F670">
        <f t="shared" ca="1" si="115"/>
        <v>370.5</v>
      </c>
      <c r="G670" t="str">
        <f t="shared" ca="1" si="116"/>
        <v>hipotecario</v>
      </c>
      <c r="H67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670" t="str">
        <f t="shared" ca="1" si="117"/>
        <v>No</v>
      </c>
      <c r="J67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164998.95923915051</v>
      </c>
      <c r="K670" t="str">
        <f ca="1">IF(Tabla2[[#This Row],[¿cliente deuda abierta?]]="Sí", Tabla2[[#This Row],[Deuda actual]]*Tabla2[[#This Row],[diferencia de días]], "0")</f>
        <v>0</v>
      </c>
      <c r="L67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7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7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70">
        <f t="shared" ca="1" si="118"/>
        <v>2242.08</v>
      </c>
      <c r="P670">
        <f t="shared" ca="1" si="119"/>
        <v>89444.78</v>
      </c>
      <c r="Q670">
        <f t="shared" ca="1" si="120"/>
        <v>4</v>
      </c>
      <c r="R670">
        <f ca="1">((Tabla2[[#This Row],[Fantasma Comunicación]]+1)/(Tabla2[[#This Row],[Fantasma Comunicación]]+RANDBETWEEN(0,5)+2))-0.5</f>
        <v>0.33333333333333337</v>
      </c>
      <c r="S670">
        <f ca="1">1+MAX(0,Tabla2[[#This Row],[Deuda actual]]/Tabla2[[#This Row],[Liquidez]]+Tabla2[[#This Row],[Liquidez]]/(Tabla2[[#This Row],[Activos]]+Tabla2[[#This Row],[Liquidez]])+Tabla2[[#This Row],[Comunicación]])</f>
        <v>1.5230353417844917</v>
      </c>
      <c r="T670">
        <f ca="1">Tabla2[[#This Row],[Deuda actual]]*EXP(Tabla2[[#This Row],[Ki]]*Tabla2[[#This Row],[diferencia de días]])*(1+Tabla2[[#This Row],[Hg]])</f>
        <v>317.25627743310872</v>
      </c>
    </row>
    <row r="671" spans="1:20" ht="14.5" x14ac:dyDescent="0.35">
      <c r="A671">
        <f t="shared" si="110"/>
        <v>670</v>
      </c>
      <c r="B671">
        <f t="shared" ca="1" si="111"/>
        <v>46086</v>
      </c>
      <c r="C671">
        <f t="shared" ca="1" si="112"/>
        <v>46157</v>
      </c>
      <c r="D671">
        <f t="shared" ca="1" si="113"/>
        <v>38</v>
      </c>
      <c r="E671">
        <f t="shared" ca="1" si="114"/>
        <v>0.84197307625317108</v>
      </c>
      <c r="F671">
        <f t="shared" ca="1" si="115"/>
        <v>306.35000000000002</v>
      </c>
      <c r="G671" t="str">
        <f t="shared" ca="1" si="116"/>
        <v>hipotecario</v>
      </c>
      <c r="H67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671" t="str">
        <f t="shared" ca="1" si="117"/>
        <v>Sí</v>
      </c>
      <c r="J67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71">
        <f ca="1">IF(Tabla2[[#This Row],[¿cliente deuda abierta?]]="Sí", Tabla2[[#This Row],[Deuda actual]]*Tabla2[[#This Row],[diferencia de días]], "0")</f>
        <v>11641.300000000001</v>
      </c>
      <c r="L67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7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7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71">
        <f t="shared" ca="1" si="118"/>
        <v>2400.61</v>
      </c>
      <c r="P671">
        <f t="shared" ca="1" si="119"/>
        <v>86473.29</v>
      </c>
      <c r="Q671">
        <f t="shared" ca="1" si="120"/>
        <v>0</v>
      </c>
      <c r="R671">
        <f ca="1">((Tabla2[[#This Row],[Fantasma Comunicación]]+1)/(Tabla2[[#This Row],[Fantasma Comunicación]]+RANDBETWEEN(0,5)+2))-0.5</f>
        <v>-0.33333333333333337</v>
      </c>
      <c r="S671">
        <f ca="1">1+MAX(0,Tabla2[[#This Row],[Deuda actual]]/Tabla2[[#This Row],[Liquidez]]+Tabla2[[#This Row],[Liquidez]]/(Tabla2[[#This Row],[Activos]]+Tabla2[[#This Row],[Liquidez]])+Tabla2[[#This Row],[Comunicación]])</f>
        <v>1</v>
      </c>
      <c r="T671">
        <f ca="1">Tabla2[[#This Row],[Deuda actual]]*EXP(Tabla2[[#This Row],[Ki]]*Tabla2[[#This Row],[diferencia de días]])*(1+Tabla2[[#This Row],[Hg]])</f>
        <v>334.12607885194421</v>
      </c>
    </row>
    <row r="672" spans="1:20" ht="14.5" x14ac:dyDescent="0.35">
      <c r="A672">
        <f t="shared" si="110"/>
        <v>671</v>
      </c>
      <c r="B672">
        <f t="shared" ca="1" si="111"/>
        <v>46094</v>
      </c>
      <c r="C672">
        <f t="shared" ca="1" si="112"/>
        <v>46157</v>
      </c>
      <c r="D672">
        <f t="shared" ca="1" si="113"/>
        <v>45</v>
      </c>
      <c r="E672">
        <f t="shared" ca="1" si="114"/>
        <v>8.7031959496837952E-2</v>
      </c>
      <c r="F672">
        <f t="shared" ca="1" si="115"/>
        <v>2952.14</v>
      </c>
      <c r="G672" t="str">
        <f t="shared" ca="1" si="116"/>
        <v>personal</v>
      </c>
      <c r="H67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672" t="str">
        <f t="shared" ca="1" si="117"/>
        <v>Sí</v>
      </c>
      <c r="J67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72">
        <f ca="1">IF(Tabla2[[#This Row],[¿cliente deuda abierta?]]="Sí", Tabla2[[#This Row],[Deuda actual]]*Tabla2[[#This Row],[diferencia de días]], "0")</f>
        <v>132846.29999999999</v>
      </c>
      <c r="L67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67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72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672">
        <f t="shared" ca="1" si="118"/>
        <v>2203.2399999999998</v>
      </c>
      <c r="P672">
        <f t="shared" ca="1" si="119"/>
        <v>46651.31</v>
      </c>
      <c r="Q672">
        <f t="shared" ca="1" si="120"/>
        <v>0</v>
      </c>
      <c r="R672">
        <f ca="1">((Tabla2[[#This Row],[Fantasma Comunicación]]+1)/(Tabla2[[#This Row],[Fantasma Comunicación]]+RANDBETWEEN(0,5)+2))-0.5</f>
        <v>-0.16666666666666669</v>
      </c>
      <c r="S672">
        <f ca="1">1+MAX(0,Tabla2[[#This Row],[Deuda actual]]/Tabla2[[#This Row],[Liquidez]]+Tabla2[[#This Row],[Liquidez]]/(Tabla2[[#This Row],[Activos]]+Tabla2[[#This Row],[Liquidez]])+Tabla2[[#This Row],[Comunicación]])</f>
        <v>2.2183397806382246</v>
      </c>
      <c r="T672">
        <f ca="1">Tabla2[[#This Row],[Deuda actual]]*EXP(Tabla2[[#This Row],[Ki]]*Tabla2[[#This Row],[diferencia de días]])*(1+Tabla2[[#This Row],[Hg]])</f>
        <v>3551.2237893035567</v>
      </c>
    </row>
    <row r="673" spans="1:20" ht="14.5" x14ac:dyDescent="0.35">
      <c r="A673">
        <f t="shared" si="110"/>
        <v>672</v>
      </c>
      <c r="B673">
        <f t="shared" ca="1" si="111"/>
        <v>46108</v>
      </c>
      <c r="C673">
        <f t="shared" ca="1" si="112"/>
        <v>46157</v>
      </c>
      <c r="D673">
        <f t="shared" ca="1" si="113"/>
        <v>3</v>
      </c>
      <c r="E673">
        <f t="shared" ca="1" si="114"/>
        <v>0.15662402445393986</v>
      </c>
      <c r="F673">
        <f t="shared" ca="1" si="115"/>
        <v>2118.54</v>
      </c>
      <c r="G673" t="str">
        <f t="shared" ca="1" si="116"/>
        <v>personal</v>
      </c>
      <c r="H67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73" t="str">
        <f t="shared" ca="1" si="117"/>
        <v>Sí</v>
      </c>
      <c r="J67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73">
        <f ca="1">IF(Tabla2[[#This Row],[¿cliente deuda abierta?]]="Sí", Tabla2[[#This Row],[Deuda actual]]*Tabla2[[#This Row],[diferencia de días]], "0")</f>
        <v>6355.62</v>
      </c>
      <c r="L67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7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7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73">
        <f t="shared" ca="1" si="118"/>
        <v>1966.77</v>
      </c>
      <c r="P673">
        <f t="shared" ca="1" si="119"/>
        <v>102816.29</v>
      </c>
      <c r="Q673">
        <f t="shared" ca="1" si="120"/>
        <v>0</v>
      </c>
      <c r="R673">
        <f ca="1">((Tabla2[[#This Row],[Fantasma Comunicación]]+1)/(Tabla2[[#This Row],[Fantasma Comunicación]]+RANDBETWEEN(0,5)+2))-0.5</f>
        <v>-0.35714285714285715</v>
      </c>
      <c r="S673">
        <f ca="1">1+MAX(0,Tabla2[[#This Row],[Deuda actual]]/Tabla2[[#This Row],[Liquidez]]+Tabla2[[#This Row],[Liquidez]]/(Tabla2[[#This Row],[Activos]]+Tabla2[[#This Row],[Liquidez]])+Tabla2[[#This Row],[Comunicación]])</f>
        <v>1.738794198059908</v>
      </c>
      <c r="T673">
        <f ca="1">Tabla2[[#This Row],[Deuda actual]]*EXP(Tabla2[[#This Row],[Ki]]*Tabla2[[#This Row],[diferencia de días]])*(1+Tabla2[[#This Row],[Hg]])</f>
        <v>2225.8020806841528</v>
      </c>
    </row>
    <row r="674" spans="1:20" ht="14.5" x14ac:dyDescent="0.35">
      <c r="A674">
        <f t="shared" si="110"/>
        <v>673</v>
      </c>
      <c r="B674">
        <f t="shared" ca="1" si="111"/>
        <v>46099</v>
      </c>
      <c r="C674">
        <f t="shared" ca="1" si="112"/>
        <v>46157</v>
      </c>
      <c r="D674">
        <f t="shared" ca="1" si="113"/>
        <v>19</v>
      </c>
      <c r="E674">
        <f t="shared" ca="1" si="114"/>
        <v>0.59346398687017843</v>
      </c>
      <c r="F674">
        <f t="shared" ca="1" si="115"/>
        <v>207.59</v>
      </c>
      <c r="G674" t="str">
        <f t="shared" ca="1" si="116"/>
        <v>personal</v>
      </c>
      <c r="H67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74" t="str">
        <f t="shared" ca="1" si="117"/>
        <v>No</v>
      </c>
      <c r="J67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12000.250304591831</v>
      </c>
      <c r="K674" t="str">
        <f ca="1">IF(Tabla2[[#This Row],[¿cliente deuda abierta?]]="Sí", Tabla2[[#This Row],[Deuda actual]]*Tabla2[[#This Row],[diferencia de días]], "0")</f>
        <v>0</v>
      </c>
      <c r="L67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7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67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674">
        <f t="shared" ca="1" si="118"/>
        <v>1508.93</v>
      </c>
      <c r="P674">
        <f t="shared" ca="1" si="119"/>
        <v>489929.05</v>
      </c>
      <c r="Q674">
        <f t="shared" ca="1" si="120"/>
        <v>4</v>
      </c>
      <c r="R674">
        <f ca="1">((Tabla2[[#This Row],[Fantasma Comunicación]]+1)/(Tabla2[[#This Row],[Fantasma Comunicación]]+RANDBETWEEN(0,5)+2))-0.5</f>
        <v>0.33333333333333337</v>
      </c>
      <c r="S674">
        <f ca="1">1+MAX(0,Tabla2[[#This Row],[Deuda actual]]/Tabla2[[#This Row],[Liquidez]]+Tabla2[[#This Row],[Liquidez]]/(Tabla2[[#This Row],[Activos]]+Tabla2[[#This Row],[Liquidez]])+Tabla2[[#This Row],[Comunicación]])</f>
        <v>1.4739780792637014</v>
      </c>
      <c r="T674">
        <f ca="1">Tabla2[[#This Row],[Deuda actual]]*EXP(Tabla2[[#This Row],[Ki]]*Tabla2[[#This Row],[diferencia de días]])*(1+Tabla2[[#This Row],[Hg]])</f>
        <v>188.25632497434492</v>
      </c>
    </row>
    <row r="675" spans="1:20" ht="14.5" x14ac:dyDescent="0.35">
      <c r="A675">
        <f t="shared" si="110"/>
        <v>674</v>
      </c>
      <c r="B675">
        <f t="shared" ca="1" si="111"/>
        <v>46122</v>
      </c>
      <c r="C675">
        <f t="shared" ca="1" si="112"/>
        <v>46157</v>
      </c>
      <c r="D675">
        <f t="shared" ca="1" si="113"/>
        <v>10</v>
      </c>
      <c r="E675">
        <f t="shared" ca="1" si="114"/>
        <v>0.15264392961403261</v>
      </c>
      <c r="F675">
        <f t="shared" ca="1" si="115"/>
        <v>696.85</v>
      </c>
      <c r="G675" t="str">
        <f t="shared" ca="1" si="116"/>
        <v>hipotecario</v>
      </c>
      <c r="H67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75" t="str">
        <f t="shared" ca="1" si="117"/>
        <v>Sí</v>
      </c>
      <c r="J67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75">
        <f ca="1">IF(Tabla2[[#This Row],[¿cliente deuda abierta?]]="Sí", Tabla2[[#This Row],[Deuda actual]]*Tabla2[[#This Row],[diferencia de días]], "0")</f>
        <v>6968.5</v>
      </c>
      <c r="L67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7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7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75">
        <f t="shared" ca="1" si="118"/>
        <v>999.58</v>
      </c>
      <c r="P675">
        <f t="shared" ca="1" si="119"/>
        <v>683108.84</v>
      </c>
      <c r="Q675">
        <f t="shared" ca="1" si="120"/>
        <v>3</v>
      </c>
      <c r="R675">
        <f ca="1">((Tabla2[[#This Row],[Fantasma Comunicación]]+1)/(Tabla2[[#This Row],[Fantasma Comunicación]]+RANDBETWEEN(0,5)+2))-0.5</f>
        <v>-9.9999999999999978E-2</v>
      </c>
      <c r="S675">
        <f ca="1">1+MAX(0,Tabla2[[#This Row],[Deuda actual]]/Tabla2[[#This Row],[Liquidez]]+Tabla2[[#This Row],[Liquidez]]/(Tabla2[[#This Row],[Activos]]+Tabla2[[#This Row],[Liquidez]])+Tabla2[[#This Row],[Comunicación]])</f>
        <v>1.5986039426410663</v>
      </c>
      <c r="T675">
        <f ca="1">Tabla2[[#This Row],[Deuda actual]]*EXP(Tabla2[[#This Row],[Ki]]*Tabla2[[#This Row],[diferencia de días]])*(1+Tabla2[[#This Row],[Hg]])</f>
        <v>733.1573493610781</v>
      </c>
    </row>
    <row r="676" spans="1:20" ht="14.5" x14ac:dyDescent="0.35">
      <c r="A676">
        <f t="shared" si="110"/>
        <v>675</v>
      </c>
      <c r="B676">
        <f t="shared" ca="1" si="111"/>
        <v>46102</v>
      </c>
      <c r="C676">
        <f t="shared" ca="1" si="112"/>
        <v>46157</v>
      </c>
      <c r="D676">
        <f t="shared" ca="1" si="113"/>
        <v>3</v>
      </c>
      <c r="E676">
        <f t="shared" ca="1" si="114"/>
        <v>0.11281177771856754</v>
      </c>
      <c r="F676">
        <f t="shared" ca="1" si="115"/>
        <v>224.7</v>
      </c>
      <c r="G676" t="str">
        <f t="shared" ca="1" si="116"/>
        <v>personal</v>
      </c>
      <c r="H67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76" t="str">
        <f t="shared" ca="1" si="117"/>
        <v>Sí</v>
      </c>
      <c r="J67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76">
        <f ca="1">IF(Tabla2[[#This Row],[¿cliente deuda abierta?]]="Sí", Tabla2[[#This Row],[Deuda actual]]*Tabla2[[#This Row],[diferencia de días]], "0")</f>
        <v>674.09999999999991</v>
      </c>
      <c r="L67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7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7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76">
        <f t="shared" ca="1" si="118"/>
        <v>2189.9899999999998</v>
      </c>
      <c r="P676">
        <f t="shared" ca="1" si="119"/>
        <v>259891.09</v>
      </c>
      <c r="Q676">
        <f t="shared" ca="1" si="120"/>
        <v>4</v>
      </c>
      <c r="R676">
        <f ca="1">((Tabla2[[#This Row],[Fantasma Comunicación]]+1)/(Tabla2[[#This Row],[Fantasma Comunicación]]+RANDBETWEEN(0,5)+2))-0.5</f>
        <v>0.2142857142857143</v>
      </c>
      <c r="S676">
        <f ca="1">1+MAX(0,Tabla2[[#This Row],[Deuda actual]]/Tabla2[[#This Row],[Liquidez]]+Tabla2[[#This Row],[Liquidez]]/(Tabla2[[#This Row],[Activos]]+Tabla2[[#This Row],[Liquidez]])+Tabla2[[#This Row],[Comunicación]])</f>
        <v>1.3252450770347781</v>
      </c>
      <c r="T676">
        <f ca="1">Tabla2[[#This Row],[Deuda actual]]*EXP(Tabla2[[#This Row],[Ki]]*Tabla2[[#This Row],[diferencia de días]])*(1+Tabla2[[#This Row],[Hg]])</f>
        <v>236.07660347679493</v>
      </c>
    </row>
    <row r="677" spans="1:20" ht="14.5" x14ac:dyDescent="0.35">
      <c r="A677">
        <f t="shared" si="110"/>
        <v>676</v>
      </c>
      <c r="B677">
        <f t="shared" ca="1" si="111"/>
        <v>46124</v>
      </c>
      <c r="C677">
        <f t="shared" ca="1" si="112"/>
        <v>46157</v>
      </c>
      <c r="D677">
        <f t="shared" ca="1" si="113"/>
        <v>2</v>
      </c>
      <c r="E677">
        <f t="shared" ca="1" si="114"/>
        <v>0.37240141844882024</v>
      </c>
      <c r="F677">
        <f t="shared" ca="1" si="115"/>
        <v>1182.83</v>
      </c>
      <c r="G677" t="str">
        <f t="shared" ca="1" si="116"/>
        <v>hipotecario</v>
      </c>
      <c r="H67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77" t="str">
        <f t="shared" ca="1" si="117"/>
        <v>Sí</v>
      </c>
      <c r="J67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77">
        <f ca="1">IF(Tabla2[[#This Row],[¿cliente deuda abierta?]]="Sí", Tabla2[[#This Row],[Deuda actual]]*Tabla2[[#This Row],[diferencia de días]], "0")</f>
        <v>2365.66</v>
      </c>
      <c r="L67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7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7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77">
        <f t="shared" ca="1" si="118"/>
        <v>1350.07</v>
      </c>
      <c r="P677">
        <f t="shared" ca="1" si="119"/>
        <v>61094.87</v>
      </c>
      <c r="Q677">
        <f t="shared" ca="1" si="120"/>
        <v>3</v>
      </c>
      <c r="R677">
        <f ca="1">((Tabla2[[#This Row],[Fantasma Comunicación]]+1)/(Tabla2[[#This Row],[Fantasma Comunicación]]+RANDBETWEEN(0,5)+2))-0.5</f>
        <v>0.16666666666666663</v>
      </c>
      <c r="S677">
        <f ca="1">1+MAX(0,Tabla2[[#This Row],[Deuda actual]]/Tabla2[[#This Row],[Liquidez]]+Tabla2[[#This Row],[Liquidez]]/(Tabla2[[#This Row],[Activos]]+Tabla2[[#This Row],[Liquidez]])+Tabla2[[#This Row],[Comunicación]])</f>
        <v>2.0644117748382396</v>
      </c>
      <c r="T677">
        <f ca="1">Tabla2[[#This Row],[Deuda actual]]*EXP(Tabla2[[#This Row],[Ki]]*Tabla2[[#This Row],[diferencia de días]])*(1+Tabla2[[#This Row],[Hg]])</f>
        <v>1242.4683879709692</v>
      </c>
    </row>
    <row r="678" spans="1:20" ht="14.5" x14ac:dyDescent="0.35">
      <c r="A678">
        <f t="shared" si="110"/>
        <v>677</v>
      </c>
      <c r="B678">
        <f t="shared" ca="1" si="111"/>
        <v>46140</v>
      </c>
      <c r="C678">
        <f t="shared" ca="1" si="112"/>
        <v>46157</v>
      </c>
      <c r="D678">
        <f t="shared" ca="1" si="113"/>
        <v>35</v>
      </c>
      <c r="E678">
        <f t="shared" ca="1" si="114"/>
        <v>0.51404375261054325</v>
      </c>
      <c r="F678">
        <f t="shared" ca="1" si="115"/>
        <v>48.75</v>
      </c>
      <c r="G678" t="str">
        <f t="shared" ca="1" si="116"/>
        <v>hipotecario</v>
      </c>
      <c r="H67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678" t="str">
        <f t="shared" ca="1" si="117"/>
        <v>Sí</v>
      </c>
      <c r="J67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78">
        <f ca="1">IF(Tabla2[[#This Row],[¿cliente deuda abierta?]]="Sí", Tabla2[[#This Row],[Deuda actual]]*Tabla2[[#This Row],[diferencia de días]], "0")</f>
        <v>1706.25</v>
      </c>
      <c r="L67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7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7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78">
        <f t="shared" ca="1" si="118"/>
        <v>1567.72</v>
      </c>
      <c r="P678">
        <f t="shared" ca="1" si="119"/>
        <v>211577.09</v>
      </c>
      <c r="Q678">
        <f t="shared" ca="1" si="120"/>
        <v>1</v>
      </c>
      <c r="R678">
        <f ca="1">((Tabla2[[#This Row],[Fantasma Comunicación]]+1)/(Tabla2[[#This Row],[Fantasma Comunicación]]+RANDBETWEEN(0,5)+2))-0.5</f>
        <v>-9.9999999999999978E-2</v>
      </c>
      <c r="S678">
        <f ca="1">1+MAX(0,Tabla2[[#This Row],[Deuda actual]]/Tabla2[[#This Row],[Liquidez]]+Tabla2[[#This Row],[Liquidez]]/(Tabla2[[#This Row],[Activos]]+Tabla2[[#This Row],[Liquidez]])+Tabla2[[#This Row],[Comunicación]])</f>
        <v>1</v>
      </c>
      <c r="T678">
        <f ca="1">Tabla2[[#This Row],[Deuda actual]]*EXP(Tabla2[[#This Row],[Ki]]*Tabla2[[#This Row],[diferencia de días]])*(1+Tabla2[[#This Row],[Hg]])</f>
        <v>53.010783844180722</v>
      </c>
    </row>
    <row r="679" spans="1:20" ht="14.5" x14ac:dyDescent="0.35">
      <c r="A679">
        <f t="shared" si="110"/>
        <v>678</v>
      </c>
      <c r="B679">
        <f t="shared" ca="1" si="111"/>
        <v>46136</v>
      </c>
      <c r="C679">
        <f t="shared" ca="1" si="112"/>
        <v>46157</v>
      </c>
      <c r="D679">
        <f t="shared" ca="1" si="113"/>
        <v>45</v>
      </c>
      <c r="E679">
        <f t="shared" ca="1" si="114"/>
        <v>0.93005536223712693</v>
      </c>
      <c r="F679">
        <f t="shared" ca="1" si="115"/>
        <v>396.57</v>
      </c>
      <c r="G679" t="str">
        <f t="shared" ca="1" si="116"/>
        <v>personal</v>
      </c>
      <c r="H67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679" t="str">
        <f t="shared" ca="1" si="117"/>
        <v>Sí</v>
      </c>
      <c r="J67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79">
        <f ca="1">IF(Tabla2[[#This Row],[¿cliente deuda abierta?]]="Sí", Tabla2[[#This Row],[Deuda actual]]*Tabla2[[#This Row],[diferencia de días]], "0")</f>
        <v>17845.650000000001</v>
      </c>
      <c r="L67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7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7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79">
        <f t="shared" ca="1" si="118"/>
        <v>1937.82</v>
      </c>
      <c r="P679">
        <f t="shared" ca="1" si="119"/>
        <v>210017.73</v>
      </c>
      <c r="Q679">
        <f t="shared" ca="1" si="120"/>
        <v>2</v>
      </c>
      <c r="R679">
        <f ca="1">((Tabla2[[#This Row],[Fantasma Comunicación]]+1)/(Tabla2[[#This Row],[Fantasma Comunicación]]+RANDBETWEEN(0,5)+2))-0.5</f>
        <v>9.9999999999999978E-2</v>
      </c>
      <c r="S679">
        <f ca="1">1+MAX(0,Tabla2[[#This Row],[Deuda actual]]/Tabla2[[#This Row],[Liquidez]]+Tabla2[[#This Row],[Liquidez]]/(Tabla2[[#This Row],[Activos]]+Tabla2[[#This Row],[Liquidez]])+Tabla2[[#This Row],[Comunicación]])</f>
        <v>1.3137900677788079</v>
      </c>
      <c r="T679">
        <f ca="1">Tabla2[[#This Row],[Deuda actual]]*EXP(Tabla2[[#This Row],[Ki]]*Tabla2[[#This Row],[diferencia de días]])*(1+Tabla2[[#This Row],[Hg]])</f>
        <v>435.56443182419986</v>
      </c>
    </row>
    <row r="680" spans="1:20" ht="14.5" x14ac:dyDescent="0.35">
      <c r="A680">
        <f t="shared" si="110"/>
        <v>679</v>
      </c>
      <c r="B680">
        <f t="shared" ca="1" si="111"/>
        <v>46083</v>
      </c>
      <c r="C680">
        <f t="shared" ca="1" si="112"/>
        <v>46157</v>
      </c>
      <c r="D680">
        <f t="shared" ca="1" si="113"/>
        <v>65</v>
      </c>
      <c r="E680">
        <f t="shared" ca="1" si="114"/>
        <v>0.11938209415432599</v>
      </c>
      <c r="F680">
        <f t="shared" ca="1" si="115"/>
        <v>2136.56</v>
      </c>
      <c r="G680" t="str">
        <f t="shared" ca="1" si="116"/>
        <v>hipotecario</v>
      </c>
      <c r="H68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680" t="str">
        <f t="shared" ca="1" si="117"/>
        <v>Sí</v>
      </c>
      <c r="J68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80">
        <f ca="1">IF(Tabla2[[#This Row],[¿cliente deuda abierta?]]="Sí", Tabla2[[#This Row],[Deuda actual]]*Tabla2[[#This Row],[diferencia de días]], "0")</f>
        <v>138876.4</v>
      </c>
      <c r="L68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68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80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680">
        <f t="shared" ca="1" si="118"/>
        <v>1460.24</v>
      </c>
      <c r="P680">
        <f t="shared" ca="1" si="119"/>
        <v>44170.3</v>
      </c>
      <c r="Q680">
        <f t="shared" ca="1" si="120"/>
        <v>2</v>
      </c>
      <c r="R680">
        <f ca="1">((Tabla2[[#This Row],[Fantasma Comunicación]]+1)/(Tabla2[[#This Row],[Fantasma Comunicación]]+RANDBETWEEN(0,5)+2))-0.5</f>
        <v>-0.125</v>
      </c>
      <c r="S680">
        <f ca="1">1+MAX(0,Tabla2[[#This Row],[Deuda actual]]/Tabla2[[#This Row],[Liquidez]]+Tabla2[[#This Row],[Liquidez]]/(Tabla2[[#This Row],[Activos]]+Tabla2[[#This Row],[Liquidez]])+Tabla2[[#This Row],[Comunicación]])</f>
        <v>2.3701581158756162</v>
      </c>
      <c r="T680">
        <f ca="1">Tabla2[[#This Row],[Deuda actual]]*EXP(Tabla2[[#This Row],[Ki]]*Tabla2[[#This Row],[diferencia de días]])*(1+Tabla2[[#This Row],[Hg]])</f>
        <v>2622.0566779090341</v>
      </c>
    </row>
    <row r="681" spans="1:20" ht="14.5" x14ac:dyDescent="0.35">
      <c r="A681">
        <f t="shared" si="110"/>
        <v>680</v>
      </c>
      <c r="B681">
        <f t="shared" ca="1" si="111"/>
        <v>46107</v>
      </c>
      <c r="C681">
        <f t="shared" ca="1" si="112"/>
        <v>46157</v>
      </c>
      <c r="D681">
        <f t="shared" ca="1" si="113"/>
        <v>6</v>
      </c>
      <c r="E681">
        <f t="shared" ca="1" si="114"/>
        <v>0.12606509459073489</v>
      </c>
      <c r="F681">
        <f t="shared" ca="1" si="115"/>
        <v>72.77</v>
      </c>
      <c r="G681" t="str">
        <f t="shared" ca="1" si="116"/>
        <v>personal</v>
      </c>
      <c r="H68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81" t="str">
        <f t="shared" ca="1" si="117"/>
        <v>Sí</v>
      </c>
      <c r="J68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81">
        <f ca="1">IF(Tabla2[[#This Row],[¿cliente deuda abierta?]]="Sí", Tabla2[[#This Row],[Deuda actual]]*Tabla2[[#This Row],[diferencia de días]], "0")</f>
        <v>436.62</v>
      </c>
      <c r="L68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8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8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81">
        <f t="shared" ca="1" si="118"/>
        <v>1636.5</v>
      </c>
      <c r="P681">
        <f t="shared" ca="1" si="119"/>
        <v>135731.66</v>
      </c>
      <c r="Q681">
        <f t="shared" ca="1" si="120"/>
        <v>1</v>
      </c>
      <c r="R681">
        <f ca="1">((Tabla2[[#This Row],[Fantasma Comunicación]]+1)/(Tabla2[[#This Row],[Fantasma Comunicación]]+RANDBETWEEN(0,5)+2))-0.5</f>
        <v>-0.16666666666666669</v>
      </c>
      <c r="S681">
        <f ca="1">1+MAX(0,Tabla2[[#This Row],[Deuda actual]]/Tabla2[[#This Row],[Liquidez]]+Tabla2[[#This Row],[Liquidez]]/(Tabla2[[#This Row],[Activos]]+Tabla2[[#This Row],[Liquidez]])+Tabla2[[#This Row],[Comunicación]])</f>
        <v>1</v>
      </c>
      <c r="T681">
        <f ca="1">Tabla2[[#This Row],[Deuda actual]]*EXP(Tabla2[[#This Row],[Ki]]*Tabla2[[#This Row],[diferencia de días]])*(1+Tabla2[[#This Row],[Hg]])</f>
        <v>76.500245236132244</v>
      </c>
    </row>
    <row r="682" spans="1:20" ht="14.5" x14ac:dyDescent="0.35">
      <c r="A682">
        <f t="shared" si="110"/>
        <v>681</v>
      </c>
      <c r="B682">
        <f t="shared" ca="1" si="111"/>
        <v>46126</v>
      </c>
      <c r="C682">
        <f t="shared" ca="1" si="112"/>
        <v>46157</v>
      </c>
      <c r="D682">
        <f t="shared" ca="1" si="113"/>
        <v>14</v>
      </c>
      <c r="E682">
        <f t="shared" ca="1" si="114"/>
        <v>0.27957505915515113</v>
      </c>
      <c r="F682">
        <f t="shared" ca="1" si="115"/>
        <v>263.35000000000002</v>
      </c>
      <c r="G682" t="str">
        <f t="shared" ca="1" si="116"/>
        <v>personal</v>
      </c>
      <c r="H68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82" t="str">
        <f t="shared" ca="1" si="117"/>
        <v>Sí</v>
      </c>
      <c r="J68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82">
        <f ca="1">IF(Tabla2[[#This Row],[¿cliente deuda abierta?]]="Sí", Tabla2[[#This Row],[Deuda actual]]*Tabla2[[#This Row],[diferencia de días]], "0")</f>
        <v>3686.9000000000005</v>
      </c>
      <c r="L68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8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8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82">
        <f t="shared" ca="1" si="118"/>
        <v>1710.11</v>
      </c>
      <c r="P682">
        <f t="shared" ca="1" si="119"/>
        <v>63108.82</v>
      </c>
      <c r="Q682">
        <f t="shared" ca="1" si="120"/>
        <v>4</v>
      </c>
      <c r="R682">
        <f ca="1">((Tabla2[[#This Row],[Fantasma Comunicación]]+1)/(Tabla2[[#This Row],[Fantasma Comunicación]]+RANDBETWEEN(0,5)+2))-0.5</f>
        <v>0</v>
      </c>
      <c r="S682">
        <f ca="1">1+MAX(0,Tabla2[[#This Row],[Deuda actual]]/Tabla2[[#This Row],[Liquidez]]+Tabla2[[#This Row],[Liquidez]]/(Tabla2[[#This Row],[Activos]]+Tabla2[[#This Row],[Liquidez]])+Tabla2[[#This Row],[Comunicación]])</f>
        <v>1.180378820980547</v>
      </c>
      <c r="T682">
        <f ca="1">Tabla2[[#This Row],[Deuda actual]]*EXP(Tabla2[[#This Row],[Ki]]*Tabla2[[#This Row],[diferencia de días]])*(1+Tabla2[[#This Row],[Hg]])</f>
        <v>277.29283396099402</v>
      </c>
    </row>
    <row r="683" spans="1:20" ht="14.5" x14ac:dyDescent="0.35">
      <c r="A683">
        <f t="shared" si="110"/>
        <v>682</v>
      </c>
      <c r="B683">
        <f t="shared" ca="1" si="111"/>
        <v>46132</v>
      </c>
      <c r="C683">
        <f t="shared" ca="1" si="112"/>
        <v>46157</v>
      </c>
      <c r="D683">
        <f t="shared" ca="1" si="113"/>
        <v>13</v>
      </c>
      <c r="E683">
        <f t="shared" ca="1" si="114"/>
        <v>0.95957877360213351</v>
      </c>
      <c r="F683">
        <f t="shared" ca="1" si="115"/>
        <v>395.16</v>
      </c>
      <c r="G683" t="str">
        <f t="shared" ca="1" si="116"/>
        <v>hipotecario</v>
      </c>
      <c r="H68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83" t="str">
        <f t="shared" ca="1" si="117"/>
        <v>Sí</v>
      </c>
      <c r="J68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83">
        <f ca="1">IF(Tabla2[[#This Row],[¿cliente deuda abierta?]]="Sí", Tabla2[[#This Row],[Deuda actual]]*Tabla2[[#This Row],[diferencia de días]], "0")</f>
        <v>5137.08</v>
      </c>
      <c r="L68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8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8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83">
        <f t="shared" ca="1" si="118"/>
        <v>1652.17</v>
      </c>
      <c r="P683">
        <f t="shared" ca="1" si="119"/>
        <v>62070.62</v>
      </c>
      <c r="Q683">
        <f t="shared" ca="1" si="120"/>
        <v>0</v>
      </c>
      <c r="R683">
        <f ca="1">((Tabla2[[#This Row],[Fantasma Comunicación]]+1)/(Tabla2[[#This Row],[Fantasma Comunicación]]+RANDBETWEEN(0,5)+2))-0.5</f>
        <v>0</v>
      </c>
      <c r="S683">
        <f ca="1">1+MAX(0,Tabla2[[#This Row],[Deuda actual]]/Tabla2[[#This Row],[Liquidez]]+Tabla2[[#This Row],[Liquidez]]/(Tabla2[[#This Row],[Activos]]+Tabla2[[#This Row],[Liquidez]])+Tabla2[[#This Row],[Comunicación]])</f>
        <v>1.2651038145502547</v>
      </c>
      <c r="T683">
        <f ca="1">Tabla2[[#This Row],[Deuda actual]]*EXP(Tabla2[[#This Row],[Ki]]*Tabla2[[#This Row],[diferencia de días]])*(1+Tabla2[[#This Row],[Hg]])</f>
        <v>415.99819043906365</v>
      </c>
    </row>
    <row r="684" spans="1:20" ht="14.5" x14ac:dyDescent="0.35">
      <c r="A684">
        <f t="shared" si="110"/>
        <v>683</v>
      </c>
      <c r="B684">
        <f t="shared" ca="1" si="111"/>
        <v>46117</v>
      </c>
      <c r="C684">
        <f t="shared" ca="1" si="112"/>
        <v>46157</v>
      </c>
      <c r="D684">
        <f t="shared" ca="1" si="113"/>
        <v>1</v>
      </c>
      <c r="E684">
        <f t="shared" ca="1" si="114"/>
        <v>0.93433685107902342</v>
      </c>
      <c r="F684">
        <f t="shared" ca="1" si="115"/>
        <v>767.2</v>
      </c>
      <c r="G684" t="str">
        <f t="shared" ca="1" si="116"/>
        <v>hipotecario</v>
      </c>
      <c r="H68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84" t="str">
        <f t="shared" ca="1" si="117"/>
        <v>No</v>
      </c>
      <c r="J68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164998.34698799421</v>
      </c>
      <c r="K684" t="str">
        <f ca="1">IF(Tabla2[[#This Row],[¿cliente deuda abierta?]]="Sí", Tabla2[[#This Row],[Deuda actual]]*Tabla2[[#This Row],[diferencia de días]], "0")</f>
        <v>0</v>
      </c>
      <c r="L68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8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84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84">
        <f t="shared" ca="1" si="118"/>
        <v>1388.17</v>
      </c>
      <c r="P684">
        <f t="shared" ca="1" si="119"/>
        <v>126958.47</v>
      </c>
      <c r="Q684">
        <f t="shared" ca="1" si="120"/>
        <v>1</v>
      </c>
      <c r="R684">
        <f ca="1">((Tabla2[[#This Row],[Fantasma Comunicación]]+1)/(Tabla2[[#This Row],[Fantasma Comunicación]]+RANDBETWEEN(0,5)+2))-0.5</f>
        <v>0.16666666666666663</v>
      </c>
      <c r="S684">
        <f ca="1">1+MAX(0,Tabla2[[#This Row],[Deuda actual]]/Tabla2[[#This Row],[Liquidez]]+Tabla2[[#This Row],[Liquidez]]/(Tabla2[[#This Row],[Activos]]+Tabla2[[#This Row],[Liquidez]])+Tabla2[[#This Row],[Comunicación]])</f>
        <v>1.7301525163109215</v>
      </c>
      <c r="T684">
        <f ca="1">Tabla2[[#This Row],[Deuda actual]]*EXP(Tabla2[[#This Row],[Ki]]*Tabla2[[#This Row],[diferencia de días]])*(1+Tabla2[[#This Row],[Hg]])</f>
        <v>613.88276427601852</v>
      </c>
    </row>
    <row r="685" spans="1:20" ht="14.5" x14ac:dyDescent="0.35">
      <c r="A685">
        <f t="shared" si="110"/>
        <v>684</v>
      </c>
      <c r="B685">
        <f t="shared" ca="1" si="111"/>
        <v>46130</v>
      </c>
      <c r="C685">
        <f t="shared" ca="1" si="112"/>
        <v>46157</v>
      </c>
      <c r="D685">
        <f t="shared" ca="1" si="113"/>
        <v>22</v>
      </c>
      <c r="E685">
        <f t="shared" ca="1" si="114"/>
        <v>0.37733837549852278</v>
      </c>
      <c r="F685">
        <f t="shared" ca="1" si="115"/>
        <v>8134.31</v>
      </c>
      <c r="G685" t="str">
        <f t="shared" ca="1" si="116"/>
        <v>personal</v>
      </c>
      <c r="H68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85" t="str">
        <f t="shared" ca="1" si="117"/>
        <v>Sí</v>
      </c>
      <c r="J68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85">
        <f ca="1">IF(Tabla2[[#This Row],[¿cliente deuda abierta?]]="Sí", Tabla2[[#This Row],[Deuda actual]]*Tabla2[[#This Row],[diferencia de días]], "0")</f>
        <v>178954.82</v>
      </c>
      <c r="L68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68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85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685">
        <f t="shared" ca="1" si="118"/>
        <v>1566.06</v>
      </c>
      <c r="P685">
        <f t="shared" ca="1" si="119"/>
        <v>77968.350000000006</v>
      </c>
      <c r="Q685">
        <f t="shared" ca="1" si="120"/>
        <v>3</v>
      </c>
      <c r="R685">
        <f ca="1">((Tabla2[[#This Row],[Fantasma Comunicación]]+1)/(Tabla2[[#This Row],[Fantasma Comunicación]]+RANDBETWEEN(0,5)+2))-0.5</f>
        <v>-5.555555555555558E-2</v>
      </c>
      <c r="S685">
        <f ca="1">1+MAX(0,Tabla2[[#This Row],[Deuda actual]]/Tabla2[[#This Row],[Liquidez]]+Tabla2[[#This Row],[Liquidez]]/(Tabla2[[#This Row],[Activos]]+Tabla2[[#This Row],[Liquidez]])+Tabla2[[#This Row],[Comunicación]])</f>
        <v>6.1582588974262498</v>
      </c>
      <c r="T685">
        <f ca="1">Tabla2[[#This Row],[Deuda actual]]*EXP(Tabla2[[#This Row],[Ki]]*Tabla2[[#This Row],[diferencia de días]])*(1+Tabla2[[#This Row],[Hg]])</f>
        <v>9437.1389865639248</v>
      </c>
    </row>
    <row r="686" spans="1:20" ht="14.5" x14ac:dyDescent="0.35">
      <c r="A686">
        <f t="shared" si="110"/>
        <v>685</v>
      </c>
      <c r="B686">
        <f t="shared" ca="1" si="111"/>
        <v>46135</v>
      </c>
      <c r="C686">
        <f t="shared" ca="1" si="112"/>
        <v>46157</v>
      </c>
      <c r="D686">
        <f t="shared" ca="1" si="113"/>
        <v>25</v>
      </c>
      <c r="E686">
        <f t="shared" ca="1" si="114"/>
        <v>0.33960618133296516</v>
      </c>
      <c r="F686">
        <f t="shared" ca="1" si="115"/>
        <v>738.35</v>
      </c>
      <c r="G686" t="str">
        <f t="shared" ca="1" si="116"/>
        <v>hipotecario</v>
      </c>
      <c r="H68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86" t="str">
        <f t="shared" ca="1" si="117"/>
        <v>Sí</v>
      </c>
      <c r="J68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86">
        <f ca="1">IF(Tabla2[[#This Row],[¿cliente deuda abierta?]]="Sí", Tabla2[[#This Row],[Deuda actual]]*Tabla2[[#This Row],[diferencia de días]], "0")</f>
        <v>18458.75</v>
      </c>
      <c r="L68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8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8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86">
        <f t="shared" ca="1" si="118"/>
        <v>1529.45</v>
      </c>
      <c r="P686">
        <f t="shared" ca="1" si="119"/>
        <v>190713.9</v>
      </c>
      <c r="Q686">
        <f t="shared" ca="1" si="120"/>
        <v>3</v>
      </c>
      <c r="R686">
        <f ca="1">((Tabla2[[#This Row],[Fantasma Comunicación]]+1)/(Tabla2[[#This Row],[Fantasma Comunicación]]+RANDBETWEEN(0,5)+2))-0.5</f>
        <v>-5.555555555555558E-2</v>
      </c>
      <c r="S686">
        <f ca="1">1+MAX(0,Tabla2[[#This Row],[Deuda actual]]/Tabla2[[#This Row],[Liquidez]]+Tabla2[[#This Row],[Liquidez]]/(Tabla2[[#This Row],[Activos]]+Tabla2[[#This Row],[Liquidez]])+Tabla2[[#This Row],[Comunicación]])</f>
        <v>1.4351554851079655</v>
      </c>
      <c r="T686">
        <f ca="1">Tabla2[[#This Row],[Deuda actual]]*EXP(Tabla2[[#This Row],[Ki]]*Tabla2[[#This Row],[diferencia de días]])*(1+Tabla2[[#This Row],[Hg]])</f>
        <v>783.05906790992526</v>
      </c>
    </row>
    <row r="687" spans="1:20" ht="14.5" x14ac:dyDescent="0.35">
      <c r="A687">
        <f t="shared" si="110"/>
        <v>686</v>
      </c>
      <c r="B687">
        <f t="shared" ca="1" si="111"/>
        <v>46094</v>
      </c>
      <c r="C687">
        <f t="shared" ca="1" si="112"/>
        <v>46157</v>
      </c>
      <c r="D687">
        <f t="shared" ca="1" si="113"/>
        <v>9</v>
      </c>
      <c r="E687">
        <f t="shared" ca="1" si="114"/>
        <v>0.84189429738394428</v>
      </c>
      <c r="F687">
        <f t="shared" ca="1" si="115"/>
        <v>697.59</v>
      </c>
      <c r="G687" t="str">
        <f t="shared" ca="1" si="116"/>
        <v>personal</v>
      </c>
      <c r="H68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87" t="str">
        <f t="shared" ca="1" si="117"/>
        <v>Sí</v>
      </c>
      <c r="J68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87">
        <f ca="1">IF(Tabla2[[#This Row],[¿cliente deuda abierta?]]="Sí", Tabla2[[#This Row],[Deuda actual]]*Tabla2[[#This Row],[diferencia de días]], "0")</f>
        <v>6278.31</v>
      </c>
      <c r="L68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8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8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87">
        <f t="shared" ca="1" si="118"/>
        <v>2325.6</v>
      </c>
      <c r="P687">
        <f t="shared" ca="1" si="119"/>
        <v>47924.45</v>
      </c>
      <c r="Q687">
        <f t="shared" ca="1" si="120"/>
        <v>3</v>
      </c>
      <c r="R687">
        <f ca="1">((Tabla2[[#This Row],[Fantasma Comunicación]]+1)/(Tabla2[[#This Row],[Fantasma Comunicación]]+RANDBETWEEN(0,5)+2))-0.5</f>
        <v>0.16666666666666663</v>
      </c>
      <c r="S687">
        <f ca="1">1+MAX(0,Tabla2[[#This Row],[Deuda actual]]/Tabla2[[#This Row],[Liquidez]]+Tabla2[[#This Row],[Liquidez]]/(Tabla2[[#This Row],[Activos]]+Tabla2[[#This Row],[Liquidez]])+Tabla2[[#This Row],[Comunicación]])</f>
        <v>1.5129085179408901</v>
      </c>
      <c r="T687">
        <f ca="1">Tabla2[[#This Row],[Deuda actual]]*EXP(Tabla2[[#This Row],[Ki]]*Tabla2[[#This Row],[diferencia de días]])*(1+Tabla2[[#This Row],[Hg]])</f>
        <v>733.78913241287103</v>
      </c>
    </row>
    <row r="688" spans="1:20" ht="14.5" x14ac:dyDescent="0.35">
      <c r="A688">
        <f t="shared" si="110"/>
        <v>687</v>
      </c>
      <c r="B688">
        <f t="shared" ca="1" si="111"/>
        <v>46090</v>
      </c>
      <c r="C688">
        <f t="shared" ca="1" si="112"/>
        <v>46157</v>
      </c>
      <c r="D688">
        <f t="shared" ca="1" si="113"/>
        <v>5</v>
      </c>
      <c r="E688">
        <f t="shared" ca="1" si="114"/>
        <v>0.27858721114916507</v>
      </c>
      <c r="F688">
        <f t="shared" ca="1" si="115"/>
        <v>440.61</v>
      </c>
      <c r="G688" t="str">
        <f t="shared" ca="1" si="116"/>
        <v>hipotecario</v>
      </c>
      <c r="H68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88" t="str">
        <f t="shared" ca="1" si="117"/>
        <v>Sí</v>
      </c>
      <c r="J68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88">
        <f ca="1">IF(Tabla2[[#This Row],[¿cliente deuda abierta?]]="Sí", Tabla2[[#This Row],[Deuda actual]]*Tabla2[[#This Row],[diferencia de días]], "0")</f>
        <v>2203.0500000000002</v>
      </c>
      <c r="L68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8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8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88">
        <f t="shared" ca="1" si="118"/>
        <v>1296.3800000000001</v>
      </c>
      <c r="P688">
        <f t="shared" ca="1" si="119"/>
        <v>329249.21999999997</v>
      </c>
      <c r="Q688">
        <f t="shared" ca="1" si="120"/>
        <v>4</v>
      </c>
      <c r="R688">
        <f ca="1">((Tabla2[[#This Row],[Fantasma Comunicación]]+1)/(Tabla2[[#This Row],[Fantasma Comunicación]]+RANDBETWEEN(0,5)+2))-0.5</f>
        <v>0</v>
      </c>
      <c r="S688">
        <f ca="1">1+MAX(0,Tabla2[[#This Row],[Deuda actual]]/Tabla2[[#This Row],[Liquidez]]+Tabla2[[#This Row],[Liquidez]]/(Tabla2[[#This Row],[Activos]]+Tabla2[[#This Row],[Liquidez]])+Tabla2[[#This Row],[Comunicación]])</f>
        <v>1.3437991364693691</v>
      </c>
      <c r="T688">
        <f ca="1">Tabla2[[#This Row],[Deuda actual]]*EXP(Tabla2[[#This Row],[Ki]]*Tabla2[[#This Row],[diferencia de días]])*(1+Tabla2[[#This Row],[Hg]])</f>
        <v>463.10337189737606</v>
      </c>
    </row>
    <row r="689" spans="1:20" ht="14.5" x14ac:dyDescent="0.35">
      <c r="A689">
        <f t="shared" si="110"/>
        <v>688</v>
      </c>
      <c r="B689">
        <f t="shared" ca="1" si="111"/>
        <v>46088</v>
      </c>
      <c r="C689">
        <f t="shared" ca="1" si="112"/>
        <v>46157</v>
      </c>
      <c r="D689">
        <f t="shared" ca="1" si="113"/>
        <v>8</v>
      </c>
      <c r="E689">
        <f t="shared" ca="1" si="114"/>
        <v>0.13608498777842282</v>
      </c>
      <c r="F689">
        <f t="shared" ca="1" si="115"/>
        <v>761.23</v>
      </c>
      <c r="G689" t="str">
        <f t="shared" ca="1" si="116"/>
        <v>hipotecario</v>
      </c>
      <c r="H68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89" t="str">
        <f t="shared" ca="1" si="117"/>
        <v>Sí</v>
      </c>
      <c r="J68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89">
        <f ca="1">IF(Tabla2[[#This Row],[¿cliente deuda abierta?]]="Sí", Tabla2[[#This Row],[Deuda actual]]*Tabla2[[#This Row],[diferencia de días]], "0")</f>
        <v>6089.84</v>
      </c>
      <c r="L68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8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8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89">
        <f t="shared" ca="1" si="118"/>
        <v>1922.15</v>
      </c>
      <c r="P689">
        <f t="shared" ca="1" si="119"/>
        <v>54998.46</v>
      </c>
      <c r="Q689">
        <f t="shared" ca="1" si="120"/>
        <v>4</v>
      </c>
      <c r="R689">
        <f ca="1">((Tabla2[[#This Row],[Fantasma Comunicación]]+1)/(Tabla2[[#This Row],[Fantasma Comunicación]]+RANDBETWEEN(0,5)+2))-0.5</f>
        <v>0</v>
      </c>
      <c r="S689">
        <f ca="1">1+MAX(0,Tabla2[[#This Row],[Deuda actual]]/Tabla2[[#This Row],[Liquidez]]+Tabla2[[#This Row],[Liquidez]]/(Tabla2[[#This Row],[Activos]]+Tabla2[[#This Row],[Liquidez]])+Tabla2[[#This Row],[Comunicación]])</f>
        <v>1.4297994501684497</v>
      </c>
      <c r="T689">
        <f ca="1">Tabla2[[#This Row],[Deuda actual]]*EXP(Tabla2[[#This Row],[Ki]]*Tabla2[[#This Row],[diferencia de días]])*(1+Tabla2[[#This Row],[Hg]])</f>
        <v>800.57139003898794</v>
      </c>
    </row>
    <row r="690" spans="1:20" ht="14.5" x14ac:dyDescent="0.35">
      <c r="A690">
        <f t="shared" si="110"/>
        <v>689</v>
      </c>
      <c r="B690">
        <f t="shared" ca="1" si="111"/>
        <v>46132</v>
      </c>
      <c r="C690">
        <f t="shared" ca="1" si="112"/>
        <v>46157</v>
      </c>
      <c r="D690">
        <f t="shared" ca="1" si="113"/>
        <v>16</v>
      </c>
      <c r="E690">
        <f t="shared" ca="1" si="114"/>
        <v>0.61200317680117922</v>
      </c>
      <c r="F690">
        <f t="shared" ca="1" si="115"/>
        <v>1268.3399999999999</v>
      </c>
      <c r="G690" t="str">
        <f t="shared" ca="1" si="116"/>
        <v>hipotecario</v>
      </c>
      <c r="H69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690" t="str">
        <f t="shared" ca="1" si="117"/>
        <v>No</v>
      </c>
      <c r="J69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164999.06027260821</v>
      </c>
      <c r="K690" t="str">
        <f ca="1">IF(Tabla2[[#This Row],[¿cliente deuda abierta?]]="Sí", Tabla2[[#This Row],[Deuda actual]]*Tabla2[[#This Row],[diferencia de días]], "0")</f>
        <v>0</v>
      </c>
      <c r="L69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9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9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90">
        <f t="shared" ca="1" si="118"/>
        <v>1311.57</v>
      </c>
      <c r="P690">
        <f t="shared" ca="1" si="119"/>
        <v>130631.86</v>
      </c>
      <c r="Q690">
        <f t="shared" ca="1" si="120"/>
        <v>3</v>
      </c>
      <c r="R690">
        <f ca="1">((Tabla2[[#This Row],[Fantasma Comunicación]]+1)/(Tabla2[[#This Row],[Fantasma Comunicación]]+RANDBETWEEN(0,5)+2))-0.5</f>
        <v>0</v>
      </c>
      <c r="S690">
        <f ca="1">1+MAX(0,Tabla2[[#This Row],[Deuda actual]]/Tabla2[[#This Row],[Liquidez]]+Tabla2[[#This Row],[Liquidez]]/(Tabla2[[#This Row],[Activos]]+Tabla2[[#This Row],[Liquidez]])+Tabla2[[#This Row],[Comunicación]])</f>
        <v>1.9769798987018514</v>
      </c>
      <c r="T690">
        <f ca="1">Tabla2[[#This Row],[Deuda actual]]*EXP(Tabla2[[#This Row],[Ki]]*Tabla2[[#This Row],[diferencia de días]])*(1+Tabla2[[#This Row],[Hg]])</f>
        <v>1021.1867256852779</v>
      </c>
    </row>
    <row r="691" spans="1:20" ht="14.5" x14ac:dyDescent="0.35">
      <c r="A691">
        <f t="shared" si="110"/>
        <v>690</v>
      </c>
      <c r="B691">
        <f t="shared" ca="1" si="111"/>
        <v>46112</v>
      </c>
      <c r="C691">
        <f t="shared" ca="1" si="112"/>
        <v>46157</v>
      </c>
      <c r="D691">
        <f t="shared" ca="1" si="113"/>
        <v>3</v>
      </c>
      <c r="E691">
        <f t="shared" ca="1" si="114"/>
        <v>0.40225777735054724</v>
      </c>
      <c r="F691">
        <f t="shared" ca="1" si="115"/>
        <v>1320.94</v>
      </c>
      <c r="G691" t="str">
        <f t="shared" ca="1" si="116"/>
        <v>personal</v>
      </c>
      <c r="H69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91" t="str">
        <f t="shared" ca="1" si="117"/>
        <v>No</v>
      </c>
      <c r="J69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11999.711029223545</v>
      </c>
      <c r="K691" t="str">
        <f ca="1">IF(Tabla2[[#This Row],[¿cliente deuda abierta?]]="Sí", Tabla2[[#This Row],[Deuda actual]]*Tabla2[[#This Row],[diferencia de días]], "0")</f>
        <v>0</v>
      </c>
      <c r="L69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9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691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691">
        <f t="shared" ca="1" si="118"/>
        <v>1645.45</v>
      </c>
      <c r="P691">
        <f t="shared" ca="1" si="119"/>
        <v>47873.31</v>
      </c>
      <c r="Q691">
        <f t="shared" ca="1" si="120"/>
        <v>1</v>
      </c>
      <c r="R691">
        <f ca="1">((Tabla2[[#This Row],[Fantasma Comunicación]]+1)/(Tabla2[[#This Row],[Fantasma Comunicación]]+RANDBETWEEN(0,5)+2))-0.5</f>
        <v>-0.25</v>
      </c>
      <c r="S691">
        <f ca="1">1+MAX(0,Tabla2[[#This Row],[Deuda actual]]/Tabla2[[#This Row],[Liquidez]]+Tabla2[[#This Row],[Liquidez]]/(Tabla2[[#This Row],[Activos]]+Tabla2[[#This Row],[Liquidez]])+Tabla2[[#This Row],[Comunicación]])</f>
        <v>1.5860122538573993</v>
      </c>
      <c r="T691">
        <f ca="1">Tabla2[[#This Row],[Deuda actual]]*EXP(Tabla2[[#This Row],[Ki]]*Tabla2[[#This Row],[diferencia de días]])*(1+Tabla2[[#This Row],[Hg]])</f>
        <v>1189.5595216350848</v>
      </c>
    </row>
    <row r="692" spans="1:20" ht="14.5" x14ac:dyDescent="0.35">
      <c r="A692">
        <f t="shared" si="110"/>
        <v>691</v>
      </c>
      <c r="B692">
        <f t="shared" ca="1" si="111"/>
        <v>46090</v>
      </c>
      <c r="C692">
        <f t="shared" ca="1" si="112"/>
        <v>46157</v>
      </c>
      <c r="D692">
        <f t="shared" ca="1" si="113"/>
        <v>9</v>
      </c>
      <c r="E692">
        <f t="shared" ca="1" si="114"/>
        <v>0.56485028330714149</v>
      </c>
      <c r="F692">
        <f t="shared" ca="1" si="115"/>
        <v>1130.27</v>
      </c>
      <c r="G692" t="str">
        <f t="shared" ca="1" si="116"/>
        <v>hipotecario</v>
      </c>
      <c r="H69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92" t="str">
        <f t="shared" ca="1" si="117"/>
        <v>No</v>
      </c>
      <c r="J69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165001.30712394833</v>
      </c>
      <c r="K692" t="str">
        <f ca="1">IF(Tabla2[[#This Row],[¿cliente deuda abierta?]]="Sí", Tabla2[[#This Row],[Deuda actual]]*Tabla2[[#This Row],[diferencia de días]], "0")</f>
        <v>0</v>
      </c>
      <c r="L69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9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9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92">
        <f t="shared" ca="1" si="118"/>
        <v>1546.6</v>
      </c>
      <c r="P692">
        <f t="shared" ca="1" si="119"/>
        <v>200576.09</v>
      </c>
      <c r="Q692">
        <f t="shared" ca="1" si="120"/>
        <v>0</v>
      </c>
      <c r="R692">
        <f ca="1">((Tabla2[[#This Row],[Fantasma Comunicación]]+1)/(Tabla2[[#This Row],[Fantasma Comunicación]]+RANDBETWEEN(0,5)+2))-0.5</f>
        <v>-0.35714285714285715</v>
      </c>
      <c r="S692">
        <f ca="1">1+MAX(0,Tabla2[[#This Row],[Deuda actual]]/Tabla2[[#This Row],[Liquidez]]+Tabla2[[#This Row],[Liquidez]]/(Tabla2[[#This Row],[Activos]]+Tabla2[[#This Row],[Liquidez]])+Tabla2[[#This Row],[Comunicación]])</f>
        <v>1.381318448638045</v>
      </c>
      <c r="T692">
        <f ca="1">Tabla2[[#This Row],[Deuda actual]]*EXP(Tabla2[[#This Row],[Ki]]*Tabla2[[#This Row],[diferencia de días]])*(1+Tabla2[[#This Row],[Hg]])</f>
        <v>905.8450545092137</v>
      </c>
    </row>
    <row r="693" spans="1:20" ht="14.5" x14ac:dyDescent="0.35">
      <c r="A693">
        <f t="shared" si="110"/>
        <v>692</v>
      </c>
      <c r="B693">
        <f t="shared" ca="1" si="111"/>
        <v>46108</v>
      </c>
      <c r="C693">
        <f t="shared" ca="1" si="112"/>
        <v>46157</v>
      </c>
      <c r="D693">
        <f t="shared" ca="1" si="113"/>
        <v>30</v>
      </c>
      <c r="E693">
        <f t="shared" ca="1" si="114"/>
        <v>0.57515815699659589</v>
      </c>
      <c r="F693">
        <f t="shared" ca="1" si="115"/>
        <v>374.36</v>
      </c>
      <c r="G693" t="str">
        <f t="shared" ca="1" si="116"/>
        <v>personal</v>
      </c>
      <c r="H69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693" t="str">
        <f t="shared" ca="1" si="117"/>
        <v>No</v>
      </c>
      <c r="J69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11999.787292361732</v>
      </c>
      <c r="K693" t="str">
        <f ca="1">IF(Tabla2[[#This Row],[¿cliente deuda abierta?]]="Sí", Tabla2[[#This Row],[Deuda actual]]*Tabla2[[#This Row],[diferencia de días]], "0")</f>
        <v>0</v>
      </c>
      <c r="L69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9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69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693">
        <f t="shared" ca="1" si="118"/>
        <v>1521.79</v>
      </c>
      <c r="P693">
        <f t="shared" ca="1" si="119"/>
        <v>101339.44</v>
      </c>
      <c r="Q693">
        <f t="shared" ca="1" si="120"/>
        <v>4</v>
      </c>
      <c r="R693">
        <f ca="1">((Tabla2[[#This Row],[Fantasma Comunicación]]+1)/(Tabla2[[#This Row],[Fantasma Comunicación]]+RANDBETWEEN(0,5)+2))-0.5</f>
        <v>0.125</v>
      </c>
      <c r="S693">
        <f ca="1">1+MAX(0,Tabla2[[#This Row],[Deuda actual]]/Tabla2[[#This Row],[Liquidez]]+Tabla2[[#This Row],[Liquidez]]/(Tabla2[[#This Row],[Activos]]+Tabla2[[#This Row],[Liquidez]])+Tabla2[[#This Row],[Comunicación]])</f>
        <v>1.3857943692548744</v>
      </c>
      <c r="T693">
        <f ca="1">Tabla2[[#This Row],[Deuda actual]]*EXP(Tabla2[[#This Row],[Ki]]*Tabla2[[#This Row],[diferencia de días]])*(1+Tabla2[[#This Row],[Hg]])</f>
        <v>347.18486339775473</v>
      </c>
    </row>
    <row r="694" spans="1:20" ht="14.5" x14ac:dyDescent="0.35">
      <c r="A694">
        <f t="shared" si="110"/>
        <v>693</v>
      </c>
      <c r="B694">
        <f t="shared" ca="1" si="111"/>
        <v>46083</v>
      </c>
      <c r="C694">
        <f t="shared" ca="1" si="112"/>
        <v>46157</v>
      </c>
      <c r="D694">
        <f t="shared" ca="1" si="113"/>
        <v>11</v>
      </c>
      <c r="E694">
        <f t="shared" ca="1" si="114"/>
        <v>0.96133597247472313</v>
      </c>
      <c r="F694">
        <f t="shared" ca="1" si="115"/>
        <v>788.38</v>
      </c>
      <c r="G694" t="str">
        <f t="shared" ca="1" si="116"/>
        <v>personal</v>
      </c>
      <c r="H69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94" t="str">
        <f t="shared" ca="1" si="117"/>
        <v>No</v>
      </c>
      <c r="J69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11999.657820583709</v>
      </c>
      <c r="K694" t="str">
        <f ca="1">IF(Tabla2[[#This Row],[¿cliente deuda abierta?]]="Sí", Tabla2[[#This Row],[Deuda actual]]*Tabla2[[#This Row],[diferencia de días]], "0")</f>
        <v>0</v>
      </c>
      <c r="L69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9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69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694">
        <f t="shared" ca="1" si="118"/>
        <v>1501.22</v>
      </c>
      <c r="P694">
        <f t="shared" ca="1" si="119"/>
        <v>33291.14</v>
      </c>
      <c r="Q694">
        <f t="shared" ca="1" si="120"/>
        <v>0</v>
      </c>
      <c r="R694">
        <f ca="1">((Tabla2[[#This Row],[Fantasma Comunicación]]+1)/(Tabla2[[#This Row],[Fantasma Comunicación]]+RANDBETWEEN(0,5)+2))-0.5</f>
        <v>-0.35714285714285715</v>
      </c>
      <c r="S694">
        <f ca="1">1+MAX(0,Tabla2[[#This Row],[Deuda actual]]/Tabla2[[#This Row],[Liquidez]]+Tabla2[[#This Row],[Liquidez]]/(Tabla2[[#This Row],[Activos]]+Tabla2[[#This Row],[Liquidez]])+Tabla2[[#This Row],[Comunicación]])</f>
        <v>1.2111646582313602</v>
      </c>
      <c r="T694">
        <f ca="1">Tabla2[[#This Row],[Deuda actual]]*EXP(Tabla2[[#This Row],[Ki]]*Tabla2[[#This Row],[diferencia de días]])*(1+Tabla2[[#This Row],[Hg]])</f>
        <v>711.10471075153339</v>
      </c>
    </row>
    <row r="695" spans="1:20" ht="14.5" x14ac:dyDescent="0.35">
      <c r="A695">
        <f t="shared" si="110"/>
        <v>694</v>
      </c>
      <c r="B695">
        <f t="shared" ca="1" si="111"/>
        <v>46114</v>
      </c>
      <c r="C695">
        <f t="shared" ca="1" si="112"/>
        <v>46157</v>
      </c>
      <c r="D695">
        <f t="shared" ca="1" si="113"/>
        <v>14</v>
      </c>
      <c r="E695">
        <f t="shared" ca="1" si="114"/>
        <v>0.25706739610597129</v>
      </c>
      <c r="F695">
        <f t="shared" ca="1" si="115"/>
        <v>140.43</v>
      </c>
      <c r="G695" t="str">
        <f t="shared" ca="1" si="116"/>
        <v>personal</v>
      </c>
      <c r="H69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95" t="str">
        <f t="shared" ca="1" si="117"/>
        <v>Sí</v>
      </c>
      <c r="J69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95">
        <f ca="1">IF(Tabla2[[#This Row],[¿cliente deuda abierta?]]="Sí", Tabla2[[#This Row],[Deuda actual]]*Tabla2[[#This Row],[diferencia de días]], "0")</f>
        <v>1966.02</v>
      </c>
      <c r="L69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9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9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95">
        <f t="shared" ca="1" si="118"/>
        <v>1467.89</v>
      </c>
      <c r="P695">
        <f t="shared" ca="1" si="119"/>
        <v>133129.15</v>
      </c>
      <c r="Q695">
        <f t="shared" ca="1" si="120"/>
        <v>4</v>
      </c>
      <c r="R695">
        <f ca="1">((Tabla2[[#This Row],[Fantasma Comunicación]]+1)/(Tabla2[[#This Row],[Fantasma Comunicación]]+RANDBETWEEN(0,5)+2))-0.5</f>
        <v>0.2142857142857143</v>
      </c>
      <c r="S695">
        <f ca="1">1+MAX(0,Tabla2[[#This Row],[Deuda actual]]/Tabla2[[#This Row],[Liquidez]]+Tabla2[[#This Row],[Liquidez]]/(Tabla2[[#This Row],[Activos]]+Tabla2[[#This Row],[Liquidez]])+Tabla2[[#This Row],[Comunicación]])</f>
        <v>1.3208594577024806</v>
      </c>
      <c r="T695">
        <f ca="1">Tabla2[[#This Row],[Deuda actual]]*EXP(Tabla2[[#This Row],[Ki]]*Tabla2[[#This Row],[diferencia de días]])*(1+Tabla2[[#This Row],[Hg]])</f>
        <v>147.86494274973376</v>
      </c>
    </row>
    <row r="696" spans="1:20" ht="14.5" x14ac:dyDescent="0.35">
      <c r="A696">
        <f t="shared" si="110"/>
        <v>695</v>
      </c>
      <c r="B696">
        <f t="shared" ca="1" si="111"/>
        <v>46143</v>
      </c>
      <c r="C696">
        <f t="shared" ca="1" si="112"/>
        <v>46157</v>
      </c>
      <c r="D696">
        <f t="shared" ca="1" si="113"/>
        <v>6</v>
      </c>
      <c r="E696">
        <f t="shared" ca="1" si="114"/>
        <v>0.53850797594600219</v>
      </c>
      <c r="F696">
        <f t="shared" ca="1" si="115"/>
        <v>1107.2</v>
      </c>
      <c r="G696" t="str">
        <f t="shared" ca="1" si="116"/>
        <v>hipotecario</v>
      </c>
      <c r="H69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96" t="str">
        <f t="shared" ca="1" si="117"/>
        <v>No</v>
      </c>
      <c r="J69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165000.53408206263</v>
      </c>
      <c r="K696" t="str">
        <f ca="1">IF(Tabla2[[#This Row],[¿cliente deuda abierta?]]="Sí", Tabla2[[#This Row],[Deuda actual]]*Tabla2[[#This Row],[diferencia de días]], "0")</f>
        <v>0</v>
      </c>
      <c r="L69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69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696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696">
        <f t="shared" ca="1" si="118"/>
        <v>1746.66</v>
      </c>
      <c r="P696">
        <f t="shared" ca="1" si="119"/>
        <v>769319.04</v>
      </c>
      <c r="Q696">
        <f t="shared" ca="1" si="120"/>
        <v>5</v>
      </c>
      <c r="R696">
        <f ca="1">((Tabla2[[#This Row],[Fantasma Comunicación]]+1)/(Tabla2[[#This Row],[Fantasma Comunicación]]+RANDBETWEEN(0,5)+2))-0.5</f>
        <v>0.25</v>
      </c>
      <c r="S696">
        <f ca="1">1+MAX(0,Tabla2[[#This Row],[Deuda actual]]/Tabla2[[#This Row],[Liquidez]]+Tabla2[[#This Row],[Liquidez]]/(Tabla2[[#This Row],[Activos]]+Tabla2[[#This Row],[Liquidez]])+Tabla2[[#This Row],[Comunicación]])</f>
        <v>1.8861608036590614</v>
      </c>
      <c r="T696">
        <f ca="1">Tabla2[[#This Row],[Deuda actual]]*EXP(Tabla2[[#This Row],[Ki]]*Tabla2[[#This Row],[diferencia de días]])*(1+Tabla2[[#This Row],[Hg]])</f>
        <v>886.82355000237555</v>
      </c>
    </row>
    <row r="697" spans="1:20" ht="14.5" x14ac:dyDescent="0.35">
      <c r="A697">
        <f t="shared" si="110"/>
        <v>696</v>
      </c>
      <c r="B697">
        <f t="shared" ca="1" si="111"/>
        <v>46109</v>
      </c>
      <c r="C697">
        <f t="shared" ca="1" si="112"/>
        <v>46157</v>
      </c>
      <c r="D697">
        <f t="shared" ca="1" si="113"/>
        <v>2</v>
      </c>
      <c r="E697">
        <f t="shared" ca="1" si="114"/>
        <v>8.1516995789882696E-2</v>
      </c>
      <c r="F697">
        <f t="shared" ca="1" si="115"/>
        <v>105.37</v>
      </c>
      <c r="G697" t="str">
        <f t="shared" ca="1" si="116"/>
        <v>personal</v>
      </c>
      <c r="H69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97" t="str">
        <f t="shared" ca="1" si="117"/>
        <v>Sí</v>
      </c>
      <c r="J69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97">
        <f ca="1">IF(Tabla2[[#This Row],[¿cliente deuda abierta?]]="Sí", Tabla2[[#This Row],[Deuda actual]]*Tabla2[[#This Row],[diferencia de días]], "0")</f>
        <v>210.74</v>
      </c>
      <c r="L69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9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9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97">
        <f t="shared" ca="1" si="118"/>
        <v>1969.1</v>
      </c>
      <c r="P697">
        <f t="shared" ca="1" si="119"/>
        <v>336781.18</v>
      </c>
      <c r="Q697">
        <f t="shared" ca="1" si="120"/>
        <v>5</v>
      </c>
      <c r="R697">
        <f ca="1">((Tabla2[[#This Row],[Fantasma Comunicación]]+1)/(Tabla2[[#This Row],[Fantasma Comunicación]]+RANDBETWEEN(0,5)+2))-0.5</f>
        <v>0.25</v>
      </c>
      <c r="S697">
        <f ca="1">1+MAX(0,Tabla2[[#This Row],[Deuda actual]]/Tabla2[[#This Row],[Liquidez]]+Tabla2[[#This Row],[Liquidez]]/(Tabla2[[#This Row],[Activos]]+Tabla2[[#This Row],[Liquidez]])+Tabla2[[#This Row],[Comunicación]])</f>
        <v>1.3093245931637965</v>
      </c>
      <c r="T697">
        <f ca="1">Tabla2[[#This Row],[Deuda actual]]*EXP(Tabla2[[#This Row],[Ki]]*Tabla2[[#This Row],[diferencia de días]])*(1+Tabla2[[#This Row],[Hg]])</f>
        <v>110.68276425226027</v>
      </c>
    </row>
    <row r="698" spans="1:20" ht="14.5" x14ac:dyDescent="0.35">
      <c r="A698">
        <f t="shared" si="110"/>
        <v>697</v>
      </c>
      <c r="B698">
        <f t="shared" ca="1" si="111"/>
        <v>46118</v>
      </c>
      <c r="C698">
        <f t="shared" ca="1" si="112"/>
        <v>46157</v>
      </c>
      <c r="D698">
        <f t="shared" ca="1" si="113"/>
        <v>11</v>
      </c>
      <c r="E698">
        <f t="shared" ca="1" si="114"/>
        <v>0.87712642150335829</v>
      </c>
      <c r="F698">
        <f t="shared" ca="1" si="115"/>
        <v>2268.08</v>
      </c>
      <c r="G698" t="str">
        <f t="shared" ca="1" si="116"/>
        <v>hipotecario</v>
      </c>
      <c r="H69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98" t="str">
        <f t="shared" ca="1" si="117"/>
        <v>Sí</v>
      </c>
      <c r="J69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98">
        <f ca="1">IF(Tabla2[[#This Row],[¿cliente deuda abierta?]]="Sí", Tabla2[[#This Row],[Deuda actual]]*Tabla2[[#This Row],[diferencia de días]], "0")</f>
        <v>24948.879999999997</v>
      </c>
      <c r="L69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69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9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698">
        <f t="shared" ca="1" si="118"/>
        <v>1664.7</v>
      </c>
      <c r="P698">
        <f t="shared" ca="1" si="119"/>
        <v>36131.449999999997</v>
      </c>
      <c r="Q698">
        <f t="shared" ca="1" si="120"/>
        <v>0</v>
      </c>
      <c r="R698">
        <f ca="1">((Tabla2[[#This Row],[Fantasma Comunicación]]+1)/(Tabla2[[#This Row],[Fantasma Comunicación]]+RANDBETWEEN(0,5)+2))-0.5</f>
        <v>0</v>
      </c>
      <c r="S698">
        <f ca="1">1+MAX(0,Tabla2[[#This Row],[Deuda actual]]/Tabla2[[#This Row],[Liquidez]]+Tabla2[[#This Row],[Liquidez]]/(Tabla2[[#This Row],[Activos]]+Tabla2[[#This Row],[Liquidez]])+Tabla2[[#This Row],[Comunicación]])</f>
        <v>2.4064998662431227</v>
      </c>
      <c r="T698">
        <f ca="1">Tabla2[[#This Row],[Deuda actual]]*EXP(Tabla2[[#This Row],[Ki]]*Tabla2[[#This Row],[diferencia de días]])*(1+Tabla2[[#This Row],[Hg]])</f>
        <v>2386.7290322199456</v>
      </c>
    </row>
    <row r="699" spans="1:20" ht="14.5" x14ac:dyDescent="0.35">
      <c r="A699">
        <f t="shared" si="110"/>
        <v>698</v>
      </c>
      <c r="B699">
        <f t="shared" ca="1" si="111"/>
        <v>46128</v>
      </c>
      <c r="C699">
        <f t="shared" ca="1" si="112"/>
        <v>46157</v>
      </c>
      <c r="D699">
        <f t="shared" ca="1" si="113"/>
        <v>10</v>
      </c>
      <c r="E699">
        <f t="shared" ca="1" si="114"/>
        <v>0.93964962594831736</v>
      </c>
      <c r="F699">
        <f t="shared" ca="1" si="115"/>
        <v>3233.44</v>
      </c>
      <c r="G699" t="str">
        <f t="shared" ca="1" si="116"/>
        <v>personal</v>
      </c>
      <c r="H69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699" t="str">
        <f t="shared" ca="1" si="117"/>
        <v>Sí</v>
      </c>
      <c r="J69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699">
        <f ca="1">IF(Tabla2[[#This Row],[¿cliente deuda abierta?]]="Sí", Tabla2[[#This Row],[Deuda actual]]*Tabla2[[#This Row],[diferencia de días]], "0")</f>
        <v>32334.400000000001</v>
      </c>
      <c r="L69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69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699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699">
        <f t="shared" ca="1" si="118"/>
        <v>1621.32</v>
      </c>
      <c r="P699">
        <f t="shared" ca="1" si="119"/>
        <v>224468.9</v>
      </c>
      <c r="Q699">
        <f t="shared" ca="1" si="120"/>
        <v>3</v>
      </c>
      <c r="R699">
        <f ca="1">((Tabla2[[#This Row],[Fantasma Comunicación]]+1)/(Tabla2[[#This Row],[Fantasma Comunicación]]+RANDBETWEEN(0,5)+2))-0.5</f>
        <v>-9.9999999999999978E-2</v>
      </c>
      <c r="S699">
        <f ca="1">1+MAX(0,Tabla2[[#This Row],[Deuda actual]]/Tabla2[[#This Row],[Liquidez]]+Tabla2[[#This Row],[Liquidez]]/(Tabla2[[#This Row],[Activos]]+Tabla2[[#This Row],[Liquidez]])+Tabla2[[#This Row],[Comunicación]])</f>
        <v>2.9014967307949258</v>
      </c>
      <c r="T699">
        <f ca="1">Tabla2[[#This Row],[Deuda actual]]*EXP(Tabla2[[#This Row],[Ki]]*Tabla2[[#This Row],[diferencia de días]])*(1+Tabla2[[#This Row],[Hg]])</f>
        <v>3563.9046863127514</v>
      </c>
    </row>
    <row r="700" spans="1:20" ht="14.5" x14ac:dyDescent="0.35">
      <c r="A700">
        <f t="shared" si="110"/>
        <v>699</v>
      </c>
      <c r="B700">
        <f t="shared" ca="1" si="111"/>
        <v>46093</v>
      </c>
      <c r="C700">
        <f t="shared" ca="1" si="112"/>
        <v>46157</v>
      </c>
      <c r="D700">
        <f t="shared" ca="1" si="113"/>
        <v>13</v>
      </c>
      <c r="E700">
        <f t="shared" ca="1" si="114"/>
        <v>0.61252799617357578</v>
      </c>
      <c r="F700">
        <f t="shared" ca="1" si="115"/>
        <v>1915.22</v>
      </c>
      <c r="G700" t="str">
        <f t="shared" ca="1" si="116"/>
        <v>personal</v>
      </c>
      <c r="H70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00" t="str">
        <f t="shared" ca="1" si="117"/>
        <v>Sí</v>
      </c>
      <c r="J70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00">
        <f ca="1">IF(Tabla2[[#This Row],[¿cliente deuda abierta?]]="Sí", Tabla2[[#This Row],[Deuda actual]]*Tabla2[[#This Row],[diferencia de días]], "0")</f>
        <v>24897.86</v>
      </c>
      <c r="L70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0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0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00">
        <f t="shared" ca="1" si="118"/>
        <v>2175.54</v>
      </c>
      <c r="P700">
        <f t="shared" ca="1" si="119"/>
        <v>374636.27</v>
      </c>
      <c r="Q700">
        <f t="shared" ca="1" si="120"/>
        <v>0</v>
      </c>
      <c r="R700">
        <f ca="1">((Tabla2[[#This Row],[Fantasma Comunicación]]+1)/(Tabla2[[#This Row],[Fantasma Comunicación]]+RANDBETWEEN(0,5)+2))-0.5</f>
        <v>0</v>
      </c>
      <c r="S700">
        <f ca="1">1+MAX(0,Tabla2[[#This Row],[Deuda actual]]/Tabla2[[#This Row],[Liquidez]]+Tabla2[[#This Row],[Liquidez]]/(Tabla2[[#This Row],[Activos]]+Tabla2[[#This Row],[Liquidez]])+Tabla2[[#This Row],[Comunicación]])</f>
        <v>1.8861158969389984</v>
      </c>
      <c r="T700">
        <f ca="1">Tabla2[[#This Row],[Deuda actual]]*EXP(Tabla2[[#This Row],[Ki]]*Tabla2[[#This Row],[diferencia de días]])*(1+Tabla2[[#This Row],[Hg]])</f>
        <v>2016.2163536104447</v>
      </c>
    </row>
    <row r="701" spans="1:20" ht="14.5" x14ac:dyDescent="0.35">
      <c r="A701">
        <f t="shared" si="110"/>
        <v>700</v>
      </c>
      <c r="B701">
        <f t="shared" ca="1" si="111"/>
        <v>46090</v>
      </c>
      <c r="C701">
        <f t="shared" ca="1" si="112"/>
        <v>46157</v>
      </c>
      <c r="D701">
        <f t="shared" ca="1" si="113"/>
        <v>32</v>
      </c>
      <c r="E701">
        <f t="shared" ca="1" si="114"/>
        <v>0.944030685325564</v>
      </c>
      <c r="F701">
        <f t="shared" ca="1" si="115"/>
        <v>1030.3800000000001</v>
      </c>
      <c r="G701" t="str">
        <f t="shared" ca="1" si="116"/>
        <v>personal</v>
      </c>
      <c r="H70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701" t="str">
        <f t="shared" ca="1" si="117"/>
        <v>Sí</v>
      </c>
      <c r="J70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01">
        <f ca="1">IF(Tabla2[[#This Row],[¿cliente deuda abierta?]]="Sí", Tabla2[[#This Row],[Deuda actual]]*Tabla2[[#This Row],[diferencia de días]], "0")</f>
        <v>32972.160000000003</v>
      </c>
      <c r="L70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70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01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701">
        <f t="shared" ca="1" si="118"/>
        <v>1892.31</v>
      </c>
      <c r="P701">
        <f t="shared" ca="1" si="119"/>
        <v>464036.02</v>
      </c>
      <c r="Q701">
        <f t="shared" ca="1" si="120"/>
        <v>2</v>
      </c>
      <c r="R701">
        <f ca="1">((Tabla2[[#This Row],[Fantasma Comunicación]]+1)/(Tabla2[[#This Row],[Fantasma Comunicación]]+RANDBETWEEN(0,5)+2))-0.5</f>
        <v>-0.16666666666666669</v>
      </c>
      <c r="S701">
        <f ca="1">1+MAX(0,Tabla2[[#This Row],[Deuda actual]]/Tabla2[[#This Row],[Liquidez]]+Tabla2[[#This Row],[Liquidez]]/(Tabla2[[#This Row],[Activos]]+Tabla2[[#This Row],[Liquidez]])+Tabla2[[#This Row],[Comunicación]])</f>
        <v>1.3819038011009888</v>
      </c>
      <c r="T701">
        <f ca="1">Tabla2[[#This Row],[Deuda actual]]*EXP(Tabla2[[#This Row],[Ki]]*Tabla2[[#This Row],[diferencia de días]])*(1+Tabla2[[#This Row],[Hg]])</f>
        <v>1170.2739258279169</v>
      </c>
    </row>
    <row r="702" spans="1:20" ht="14.5" x14ac:dyDescent="0.35">
      <c r="A702">
        <f t="shared" si="110"/>
        <v>701</v>
      </c>
      <c r="B702">
        <f t="shared" ca="1" si="111"/>
        <v>46103</v>
      </c>
      <c r="C702">
        <f t="shared" ca="1" si="112"/>
        <v>46157</v>
      </c>
      <c r="D702">
        <f t="shared" ca="1" si="113"/>
        <v>3</v>
      </c>
      <c r="E702">
        <f t="shared" ca="1" si="114"/>
        <v>0.57947484802531546</v>
      </c>
      <c r="F702">
        <f t="shared" ca="1" si="115"/>
        <v>1966.11</v>
      </c>
      <c r="G702" t="str">
        <f t="shared" ca="1" si="116"/>
        <v>hipotecario</v>
      </c>
      <c r="H70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02" t="str">
        <f t="shared" ca="1" si="117"/>
        <v>Sí</v>
      </c>
      <c r="J70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02">
        <f ca="1">IF(Tabla2[[#This Row],[¿cliente deuda abierta?]]="Sí", Tabla2[[#This Row],[Deuda actual]]*Tabla2[[#This Row],[diferencia de días]], "0")</f>
        <v>5898.33</v>
      </c>
      <c r="L70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0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0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02">
        <f t="shared" ca="1" si="118"/>
        <v>1491.4</v>
      </c>
      <c r="P702">
        <f t="shared" ca="1" si="119"/>
        <v>419650.5</v>
      </c>
      <c r="Q702">
        <f t="shared" ca="1" si="120"/>
        <v>3</v>
      </c>
      <c r="R702">
        <f ca="1">((Tabla2[[#This Row],[Fantasma Comunicación]]+1)/(Tabla2[[#This Row],[Fantasma Comunicación]]+RANDBETWEEN(0,5)+2))-0.5</f>
        <v>0.16666666666666663</v>
      </c>
      <c r="S702">
        <f ca="1">1+MAX(0,Tabla2[[#This Row],[Deuda actual]]/Tabla2[[#This Row],[Liquidez]]+Tabla2[[#This Row],[Liquidez]]/(Tabla2[[#This Row],[Activos]]+Tabla2[[#This Row],[Liquidez]])+Tabla2[[#This Row],[Comunicación]])</f>
        <v>2.4885062341230357</v>
      </c>
      <c r="T702">
        <f ca="1">Tabla2[[#This Row],[Deuda actual]]*EXP(Tabla2[[#This Row],[Ki]]*Tabla2[[#This Row],[diferencia de días]])*(1+Tabla2[[#This Row],[Hg]])</f>
        <v>2065.6545209691203</v>
      </c>
    </row>
    <row r="703" spans="1:20" ht="14.5" x14ac:dyDescent="0.35">
      <c r="A703">
        <f t="shared" si="110"/>
        <v>702</v>
      </c>
      <c r="B703">
        <f t="shared" ca="1" si="111"/>
        <v>46112</v>
      </c>
      <c r="C703">
        <f t="shared" ca="1" si="112"/>
        <v>46157</v>
      </c>
      <c r="D703">
        <f t="shared" ca="1" si="113"/>
        <v>35</v>
      </c>
      <c r="E703">
        <f t="shared" ca="1" si="114"/>
        <v>5.4637836768912762E-2</v>
      </c>
      <c r="F703">
        <f t="shared" ca="1" si="115"/>
        <v>1221.0999999999999</v>
      </c>
      <c r="G703" t="str">
        <f t="shared" ca="1" si="116"/>
        <v>hipotecario</v>
      </c>
      <c r="H70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703" t="str">
        <f t="shared" ca="1" si="117"/>
        <v>Sí</v>
      </c>
      <c r="J70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03">
        <f ca="1">IF(Tabla2[[#This Row],[¿cliente deuda abierta?]]="Sí", Tabla2[[#This Row],[Deuda actual]]*Tabla2[[#This Row],[diferencia de días]], "0")</f>
        <v>42738.5</v>
      </c>
      <c r="L70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70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03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703">
        <f t="shared" ca="1" si="118"/>
        <v>1905.11</v>
      </c>
      <c r="P703">
        <f t="shared" ca="1" si="119"/>
        <v>190815.24</v>
      </c>
      <c r="Q703">
        <f t="shared" ca="1" si="120"/>
        <v>3</v>
      </c>
      <c r="R703">
        <f ca="1">((Tabla2[[#This Row],[Fantasma Comunicación]]+1)/(Tabla2[[#This Row],[Fantasma Comunicación]]+RANDBETWEEN(0,5)+2))-0.5</f>
        <v>0.30000000000000004</v>
      </c>
      <c r="S703">
        <f ca="1">1+MAX(0,Tabla2[[#This Row],[Deuda actual]]/Tabla2[[#This Row],[Liquidez]]+Tabla2[[#This Row],[Liquidez]]/(Tabla2[[#This Row],[Activos]]+Tabla2[[#This Row],[Liquidez]])+Tabla2[[#This Row],[Comunicación]])</f>
        <v>1.9508457242906287</v>
      </c>
      <c r="T703">
        <f ca="1">Tabla2[[#This Row],[Deuda actual]]*EXP(Tabla2[[#This Row],[Ki]]*Tabla2[[#This Row],[diferencia de días]])*(1+Tabla2[[#This Row],[Hg]])</f>
        <v>1391.0547490567421</v>
      </c>
    </row>
    <row r="704" spans="1:20" ht="14.5" x14ac:dyDescent="0.35">
      <c r="A704">
        <f t="shared" si="110"/>
        <v>703</v>
      </c>
      <c r="B704">
        <f t="shared" ca="1" si="111"/>
        <v>46133</v>
      </c>
      <c r="C704">
        <f t="shared" ca="1" si="112"/>
        <v>46157</v>
      </c>
      <c r="D704">
        <f t="shared" ca="1" si="113"/>
        <v>40</v>
      </c>
      <c r="E704">
        <f t="shared" ca="1" si="114"/>
        <v>0.10590724288988052</v>
      </c>
      <c r="F704">
        <f t="shared" ca="1" si="115"/>
        <v>1705.5</v>
      </c>
      <c r="G704" t="str">
        <f t="shared" ca="1" si="116"/>
        <v>personal</v>
      </c>
      <c r="H70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704" t="str">
        <f t="shared" ca="1" si="117"/>
        <v>Sí</v>
      </c>
      <c r="J70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04">
        <f ca="1">IF(Tabla2[[#This Row],[¿cliente deuda abierta?]]="Sí", Tabla2[[#This Row],[Deuda actual]]*Tabla2[[#This Row],[diferencia de días]], "0")</f>
        <v>68220</v>
      </c>
      <c r="L70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70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04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704">
        <f t="shared" ca="1" si="118"/>
        <v>2623.83</v>
      </c>
      <c r="P704">
        <f t="shared" ca="1" si="119"/>
        <v>278905.87</v>
      </c>
      <c r="Q704">
        <f t="shared" ca="1" si="120"/>
        <v>2</v>
      </c>
      <c r="R704">
        <f ca="1">((Tabla2[[#This Row],[Fantasma Comunicación]]+1)/(Tabla2[[#This Row],[Fantasma Comunicación]]+RANDBETWEEN(0,5)+2))-0.5</f>
        <v>9.9999999999999978E-2</v>
      </c>
      <c r="S704">
        <f ca="1">1+MAX(0,Tabla2[[#This Row],[Deuda actual]]/Tabla2[[#This Row],[Liquidez]]+Tabla2[[#This Row],[Liquidez]]/(Tabla2[[#This Row],[Activos]]+Tabla2[[#This Row],[Liquidez]])+Tabla2[[#This Row],[Comunicación]])</f>
        <v>1.7593239065752249</v>
      </c>
      <c r="T704">
        <f ca="1">Tabla2[[#This Row],[Deuda actual]]*EXP(Tabla2[[#This Row],[Ki]]*Tabla2[[#This Row],[diferencia de días]])*(1+Tabla2[[#This Row],[Hg]])</f>
        <v>2041.3681916928856</v>
      </c>
    </row>
    <row r="705" spans="1:20" ht="14.5" x14ac:dyDescent="0.35">
      <c r="A705">
        <f t="shared" si="110"/>
        <v>704</v>
      </c>
      <c r="B705">
        <f t="shared" ca="1" si="111"/>
        <v>46105</v>
      </c>
      <c r="C705">
        <f t="shared" ca="1" si="112"/>
        <v>46157</v>
      </c>
      <c r="D705">
        <f t="shared" ca="1" si="113"/>
        <v>36</v>
      </c>
      <c r="E705">
        <f t="shared" ca="1" si="114"/>
        <v>0.25541763111465998</v>
      </c>
      <c r="F705">
        <f t="shared" ca="1" si="115"/>
        <v>816.13</v>
      </c>
      <c r="G705" t="str">
        <f t="shared" ca="1" si="116"/>
        <v>personal</v>
      </c>
      <c r="H70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705" t="str">
        <f t="shared" ca="1" si="117"/>
        <v>No</v>
      </c>
      <c r="J70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11998.782540323653</v>
      </c>
      <c r="K705" t="str">
        <f ca="1">IF(Tabla2[[#This Row],[¿cliente deuda abierta?]]="Sí", Tabla2[[#This Row],[Deuda actual]]*Tabla2[[#This Row],[diferencia de días]], "0")</f>
        <v>0</v>
      </c>
      <c r="L70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0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0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05">
        <f t="shared" ca="1" si="118"/>
        <v>1931.5</v>
      </c>
      <c r="P705">
        <f t="shared" ca="1" si="119"/>
        <v>137119.73000000001</v>
      </c>
      <c r="Q705">
        <f t="shared" ca="1" si="120"/>
        <v>5</v>
      </c>
      <c r="R705">
        <f ca="1">((Tabla2[[#This Row],[Fantasma Comunicación]]+1)/(Tabla2[[#This Row],[Fantasma Comunicación]]+RANDBETWEEN(0,5)+2))-0.5</f>
        <v>0.16666666666666663</v>
      </c>
      <c r="S705">
        <f ca="1">1+MAX(0,Tabla2[[#This Row],[Deuda actual]]/Tabla2[[#This Row],[Liquidez]]+Tabla2[[#This Row],[Liquidez]]/(Tabla2[[#This Row],[Activos]]+Tabla2[[#This Row],[Liquidez]])+Tabla2[[#This Row],[Comunicación]])</f>
        <v>1.6030941190263548</v>
      </c>
      <c r="T705">
        <f ca="1">Tabla2[[#This Row],[Deuda actual]]*EXP(Tabla2[[#This Row],[Ki]]*Tabla2[[#This Row],[diferencia de días]])*(1+Tabla2[[#This Row],[Hg]])</f>
        <v>761.44134239697382</v>
      </c>
    </row>
    <row r="706" spans="1:20" ht="14.5" x14ac:dyDescent="0.35">
      <c r="A706">
        <f t="shared" ref="A706:A769" si="121">A705+1</f>
        <v>705</v>
      </c>
      <c r="B706">
        <f t="shared" ref="B706:B769" ca="1" si="122">RANDBETWEEN(DATE(2026,3,1), DATE(2026,5,1))</f>
        <v>46129</v>
      </c>
      <c r="C706">
        <f t="shared" ref="C706:C769" ca="1" si="123">TODAY()</f>
        <v>46157</v>
      </c>
      <c r="D706">
        <f t="shared" ref="D706:D769" ca="1" si="124">ROUND((-(15) * LN(RAND())),0)</f>
        <v>5</v>
      </c>
      <c r="E706">
        <f t="shared" ref="E706:E769" ca="1" si="125">RAND()</f>
        <v>0.7811080230910683</v>
      </c>
      <c r="F706">
        <f t="shared" ref="F706:F769" ca="1" si="126">ROUND(MIN(10000, _xlfn.LOGNORM.INV(RAND(), 69/10, 13/10)),2)</f>
        <v>591.4</v>
      </c>
      <c r="G706" t="str">
        <f t="shared" ref="G706:G769" ca="1" si="127">IF(RAND()&lt;=0.5,"personal","hipotecario")</f>
        <v>personal</v>
      </c>
      <c r="H70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06" t="str">
        <f t="shared" ref="I706:I769" ca="1" si="128">IF(RAND()&lt;=0.65, "Sí", "No")</f>
        <v>Sí</v>
      </c>
      <c r="J70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06">
        <f ca="1">IF(Tabla2[[#This Row],[¿cliente deuda abierta?]]="Sí", Tabla2[[#This Row],[Deuda actual]]*Tabla2[[#This Row],[diferencia de días]], "0")</f>
        <v>2957</v>
      </c>
      <c r="L70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0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0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06">
        <f t="shared" ref="O706:O769" ca="1" si="129">ROUND(1000*(_xlfn.LOGNORM.INV(RAND(), 0.5, 0.2)),2)</f>
        <v>1993.64</v>
      </c>
      <c r="P706">
        <f t="shared" ref="P706:P769" ca="1" si="130">ROUND(50000*(_xlfn.LOGNORM.INV(RAND(), 1, 0.75)),2)</f>
        <v>53708.42</v>
      </c>
      <c r="Q706">
        <f t="shared" ref="Q706:Q769" ca="1" si="131">RANDBETWEEN(0,5)</f>
        <v>0</v>
      </c>
      <c r="R706">
        <f ca="1">((Tabla2[[#This Row],[Fantasma Comunicación]]+1)/(Tabla2[[#This Row],[Fantasma Comunicación]]+RANDBETWEEN(0,5)+2))-0.5</f>
        <v>-0.35714285714285715</v>
      </c>
      <c r="S706">
        <f ca="1">1+MAX(0,Tabla2[[#This Row],[Deuda actual]]/Tabla2[[#This Row],[Liquidez]]+Tabla2[[#This Row],[Liquidez]]/(Tabla2[[#This Row],[Activos]]+Tabla2[[#This Row],[Liquidez]])+Tabla2[[#This Row],[Comunicación]])</f>
        <v>1</v>
      </c>
      <c r="T706">
        <f ca="1">Tabla2[[#This Row],[Deuda actual]]*EXP(Tabla2[[#This Row],[Ki]]*Tabla2[[#This Row],[diferencia de días]])*(1+Tabla2[[#This Row],[Hg]])</f>
        <v>621.59128058852093</v>
      </c>
    </row>
    <row r="707" spans="1:20" ht="14.5" x14ac:dyDescent="0.35">
      <c r="A707">
        <f t="shared" si="121"/>
        <v>706</v>
      </c>
      <c r="B707">
        <f t="shared" ca="1" si="122"/>
        <v>46123</v>
      </c>
      <c r="C707">
        <f t="shared" ca="1" si="123"/>
        <v>46157</v>
      </c>
      <c r="D707">
        <f t="shared" ca="1" si="124"/>
        <v>11</v>
      </c>
      <c r="E707">
        <f t="shared" ca="1" si="125"/>
        <v>0.75370437241589983</v>
      </c>
      <c r="F707">
        <f t="shared" ca="1" si="126"/>
        <v>537.99</v>
      </c>
      <c r="G707" t="str">
        <f t="shared" ca="1" si="127"/>
        <v>hipotecario</v>
      </c>
      <c r="H70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07" t="str">
        <f t="shared" ca="1" si="128"/>
        <v>Sí</v>
      </c>
      <c r="J70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07">
        <f ca="1">IF(Tabla2[[#This Row],[¿cliente deuda abierta?]]="Sí", Tabla2[[#This Row],[Deuda actual]]*Tabla2[[#This Row],[diferencia de días]], "0")</f>
        <v>5917.89</v>
      </c>
      <c r="L70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0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0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07">
        <f t="shared" ca="1" si="129"/>
        <v>1759.37</v>
      </c>
      <c r="P707">
        <f t="shared" ca="1" si="130"/>
        <v>140124.12</v>
      </c>
      <c r="Q707">
        <f t="shared" ca="1" si="131"/>
        <v>4</v>
      </c>
      <c r="R707">
        <f ca="1">((Tabla2[[#This Row],[Fantasma Comunicación]]+1)/(Tabla2[[#This Row],[Fantasma Comunicación]]+RANDBETWEEN(0,5)+2))-0.5</f>
        <v>-4.545454545454547E-2</v>
      </c>
      <c r="S707">
        <f ca="1">1+MAX(0,Tabla2[[#This Row],[Deuda actual]]/Tabla2[[#This Row],[Liquidez]]+Tabla2[[#This Row],[Liquidez]]/(Tabla2[[#This Row],[Activos]]+Tabla2[[#This Row],[Liquidez]])+Tabla2[[#This Row],[Comunicación]])</f>
        <v>1.2727311520275806</v>
      </c>
      <c r="T707">
        <f ca="1">Tabla2[[#This Row],[Deuda actual]]*EXP(Tabla2[[#This Row],[Ki]]*Tabla2[[#This Row],[diferencia de días]])*(1+Tabla2[[#This Row],[Hg]])</f>
        <v>566.13362493563216</v>
      </c>
    </row>
    <row r="708" spans="1:20" ht="14.5" x14ac:dyDescent="0.35">
      <c r="A708">
        <f t="shared" si="121"/>
        <v>707</v>
      </c>
      <c r="B708">
        <f t="shared" ca="1" si="122"/>
        <v>46112</v>
      </c>
      <c r="C708">
        <f t="shared" ca="1" si="123"/>
        <v>46157</v>
      </c>
      <c r="D708">
        <f t="shared" ca="1" si="124"/>
        <v>12</v>
      </c>
      <c r="E708">
        <f t="shared" ca="1" si="125"/>
        <v>0.12509283405893779</v>
      </c>
      <c r="F708">
        <f t="shared" ca="1" si="126"/>
        <v>473.4</v>
      </c>
      <c r="G708" t="str">
        <f t="shared" ca="1" si="127"/>
        <v>personal</v>
      </c>
      <c r="H70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08" t="str">
        <f t="shared" ca="1" si="128"/>
        <v>No</v>
      </c>
      <c r="J70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11999.983389719808</v>
      </c>
      <c r="K708" t="str">
        <f ca="1">IF(Tabla2[[#This Row],[¿cliente deuda abierta?]]="Sí", Tabla2[[#This Row],[Deuda actual]]*Tabla2[[#This Row],[diferencia de días]], "0")</f>
        <v>0</v>
      </c>
      <c r="L70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0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0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08">
        <f t="shared" ca="1" si="129"/>
        <v>1670.72</v>
      </c>
      <c r="P708">
        <f t="shared" ca="1" si="130"/>
        <v>150043.41</v>
      </c>
      <c r="Q708">
        <f t="shared" ca="1" si="131"/>
        <v>5</v>
      </c>
      <c r="R708">
        <f ca="1">((Tabla2[[#This Row],[Fantasma Comunicación]]+1)/(Tabla2[[#This Row],[Fantasma Comunicación]]+RANDBETWEEN(0,5)+2))-0.5</f>
        <v>0.3571428571428571</v>
      </c>
      <c r="S708">
        <f ca="1">1+MAX(0,Tabla2[[#This Row],[Deuda actual]]/Tabla2[[#This Row],[Liquidez]]+Tabla2[[#This Row],[Liquidez]]/(Tabla2[[#This Row],[Activos]]+Tabla2[[#This Row],[Liquidez]])+Tabla2[[#This Row],[Comunicación]])</f>
        <v>1.6515060377988655</v>
      </c>
      <c r="T708">
        <f ca="1">Tabla2[[#This Row],[Deuda actual]]*EXP(Tabla2[[#This Row],[Ki]]*Tabla2[[#This Row],[diferencia de días]])*(1+Tabla2[[#This Row],[Hg]])</f>
        <v>427.08377203503142</v>
      </c>
    </row>
    <row r="709" spans="1:20" ht="14.5" x14ac:dyDescent="0.35">
      <c r="A709">
        <f t="shared" si="121"/>
        <v>708</v>
      </c>
      <c r="B709">
        <f t="shared" ca="1" si="122"/>
        <v>46132</v>
      </c>
      <c r="C709">
        <f t="shared" ca="1" si="123"/>
        <v>46157</v>
      </c>
      <c r="D709">
        <f t="shared" ca="1" si="124"/>
        <v>55</v>
      </c>
      <c r="E709">
        <f t="shared" ca="1" si="125"/>
        <v>3.302093839203768E-2</v>
      </c>
      <c r="F709">
        <f t="shared" ca="1" si="126"/>
        <v>752.13</v>
      </c>
      <c r="G709" t="str">
        <f t="shared" ca="1" si="127"/>
        <v>personal</v>
      </c>
      <c r="H70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709" t="str">
        <f t="shared" ca="1" si="128"/>
        <v>Sí</v>
      </c>
      <c r="J70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09">
        <f ca="1">IF(Tabla2[[#This Row],[¿cliente deuda abierta?]]="Sí", Tabla2[[#This Row],[Deuda actual]]*Tabla2[[#This Row],[diferencia de días]], "0")</f>
        <v>41367.15</v>
      </c>
      <c r="L70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70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09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709">
        <f t="shared" ca="1" si="129"/>
        <v>1472.57</v>
      </c>
      <c r="P709">
        <f t="shared" ca="1" si="130"/>
        <v>265190.23</v>
      </c>
      <c r="Q709">
        <f t="shared" ca="1" si="131"/>
        <v>4</v>
      </c>
      <c r="R709">
        <f ca="1">((Tabla2[[#This Row],[Fantasma Comunicación]]+1)/(Tabla2[[#This Row],[Fantasma Comunicación]]+RANDBETWEEN(0,5)+2))-0.5</f>
        <v>-4.545454545454547E-2</v>
      </c>
      <c r="S709">
        <f ca="1">1+MAX(0,Tabla2[[#This Row],[Deuda actual]]/Tabla2[[#This Row],[Liquidez]]+Tabla2[[#This Row],[Liquidez]]/(Tabla2[[#This Row],[Activos]]+Tabla2[[#This Row],[Liquidez]])+Tabla2[[#This Row],[Comunicación]])</f>
        <v>1.4708277718072675</v>
      </c>
      <c r="T709">
        <f ca="1">Tabla2[[#This Row],[Deuda actual]]*EXP(Tabla2[[#This Row],[Ki]]*Tabla2[[#This Row],[diferencia de días]])*(1+Tabla2[[#This Row],[Hg]])</f>
        <v>898.49340047908936</v>
      </c>
    </row>
    <row r="710" spans="1:20" ht="14.5" x14ac:dyDescent="0.35">
      <c r="A710">
        <f t="shared" si="121"/>
        <v>709</v>
      </c>
      <c r="B710">
        <f t="shared" ca="1" si="122"/>
        <v>46134</v>
      </c>
      <c r="C710">
        <f t="shared" ca="1" si="123"/>
        <v>46157</v>
      </c>
      <c r="D710">
        <f t="shared" ca="1" si="124"/>
        <v>2</v>
      </c>
      <c r="E710">
        <f t="shared" ca="1" si="125"/>
        <v>0.11159934514885139</v>
      </c>
      <c r="F710">
        <f t="shared" ca="1" si="126"/>
        <v>482.34</v>
      </c>
      <c r="G710" t="str">
        <f t="shared" ca="1" si="127"/>
        <v>personal</v>
      </c>
      <c r="H71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10" t="str">
        <f t="shared" ca="1" si="128"/>
        <v>No</v>
      </c>
      <c r="J71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11998.937724628577</v>
      </c>
      <c r="K710" t="str">
        <f ca="1">IF(Tabla2[[#This Row],[¿cliente deuda abierta?]]="Sí", Tabla2[[#This Row],[Deuda actual]]*Tabla2[[#This Row],[diferencia de días]], "0")</f>
        <v>0</v>
      </c>
      <c r="L71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1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10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10">
        <f t="shared" ca="1" si="129"/>
        <v>1533.13</v>
      </c>
      <c r="P710">
        <f t="shared" ca="1" si="130"/>
        <v>70016.740000000005</v>
      </c>
      <c r="Q710">
        <f t="shared" ca="1" si="131"/>
        <v>3</v>
      </c>
      <c r="R710">
        <f ca="1">((Tabla2[[#This Row],[Fantasma Comunicación]]+1)/(Tabla2[[#This Row],[Fantasma Comunicación]]+RANDBETWEEN(0,5)+2))-0.5</f>
        <v>0.16666666666666663</v>
      </c>
      <c r="S710">
        <f ca="1">1+MAX(0,Tabla2[[#This Row],[Deuda actual]]/Tabla2[[#This Row],[Liquidez]]+Tabla2[[#This Row],[Liquidez]]/(Tabla2[[#This Row],[Activos]]+Tabla2[[#This Row],[Liquidez]])+Tabla2[[#This Row],[Comunicación]])</f>
        <v>1.5027053844391633</v>
      </c>
      <c r="T710">
        <f ca="1">Tabla2[[#This Row],[Deuda actual]]*EXP(Tabla2[[#This Row],[Ki]]*Tabla2[[#This Row],[diferencia de días]])*(1+Tabla2[[#This Row],[Hg]])</f>
        <v>434.27967713311097</v>
      </c>
    </row>
    <row r="711" spans="1:20" ht="14.5" x14ac:dyDescent="0.35">
      <c r="A711">
        <f t="shared" si="121"/>
        <v>710</v>
      </c>
      <c r="B711">
        <f t="shared" ca="1" si="122"/>
        <v>46122</v>
      </c>
      <c r="C711">
        <f t="shared" ca="1" si="123"/>
        <v>46157</v>
      </c>
      <c r="D711">
        <f t="shared" ca="1" si="124"/>
        <v>0</v>
      </c>
      <c r="E711">
        <f t="shared" ca="1" si="125"/>
        <v>0.55665628330185346</v>
      </c>
      <c r="F711">
        <f t="shared" ca="1" si="126"/>
        <v>2153.0100000000002</v>
      </c>
      <c r="G711" t="str">
        <f t="shared" ca="1" si="127"/>
        <v>hipotecario</v>
      </c>
      <c r="H71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11" t="str">
        <f t="shared" ca="1" si="128"/>
        <v>No</v>
      </c>
      <c r="J71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164999.38573902193</v>
      </c>
      <c r="K711" t="str">
        <f ca="1">IF(Tabla2[[#This Row],[¿cliente deuda abierta?]]="Sí", Tabla2[[#This Row],[Deuda actual]]*Tabla2[[#This Row],[diferencia de días]], "0")</f>
        <v>0</v>
      </c>
      <c r="L71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1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711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711">
        <f t="shared" ca="1" si="129"/>
        <v>1383.83</v>
      </c>
      <c r="P711">
        <f t="shared" ca="1" si="130"/>
        <v>81399.759999999995</v>
      </c>
      <c r="Q711">
        <f t="shared" ca="1" si="131"/>
        <v>3</v>
      </c>
      <c r="R711">
        <f ca="1">((Tabla2[[#This Row],[Fantasma Comunicación]]+1)/(Tabla2[[#This Row],[Fantasma Comunicación]]+RANDBETWEEN(0,5)+2))-0.5</f>
        <v>0.16666666666666663</v>
      </c>
      <c r="S711">
        <f ca="1">1+MAX(0,Tabla2[[#This Row],[Deuda actual]]/Tabla2[[#This Row],[Liquidez]]+Tabla2[[#This Row],[Liquidez]]/(Tabla2[[#This Row],[Activos]]+Tabla2[[#This Row],[Liquidez]])+Tabla2[[#This Row],[Comunicación]])</f>
        <v>2.739217072718279</v>
      </c>
      <c r="T711">
        <f ca="1">Tabla2[[#This Row],[Deuda actual]]*EXP(Tabla2[[#This Row],[Ki]]*Tabla2[[#This Row],[diferencia de días]])*(1+Tabla2[[#This Row],[Hg]])</f>
        <v>1722.4080000000004</v>
      </c>
    </row>
    <row r="712" spans="1:20" ht="14.5" x14ac:dyDescent="0.35">
      <c r="A712">
        <f t="shared" si="121"/>
        <v>711</v>
      </c>
      <c r="B712">
        <f t="shared" ca="1" si="122"/>
        <v>46086</v>
      </c>
      <c r="C712">
        <f t="shared" ca="1" si="123"/>
        <v>46157</v>
      </c>
      <c r="D712">
        <f t="shared" ca="1" si="124"/>
        <v>4</v>
      </c>
      <c r="E712">
        <f t="shared" ca="1" si="125"/>
        <v>0.55339758238724779</v>
      </c>
      <c r="F712">
        <f t="shared" ca="1" si="126"/>
        <v>1616.28</v>
      </c>
      <c r="G712" t="str">
        <f t="shared" ca="1" si="127"/>
        <v>personal</v>
      </c>
      <c r="H71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12" t="str">
        <f t="shared" ca="1" si="128"/>
        <v>No</v>
      </c>
      <c r="J71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11998.654590218195</v>
      </c>
      <c r="K712" t="str">
        <f ca="1">IF(Tabla2[[#This Row],[¿cliente deuda abierta?]]="Sí", Tabla2[[#This Row],[Deuda actual]]*Tabla2[[#This Row],[diferencia de días]], "0")</f>
        <v>0</v>
      </c>
      <c r="L71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1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12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12">
        <f t="shared" ca="1" si="129"/>
        <v>1714.24</v>
      </c>
      <c r="P712">
        <f t="shared" ca="1" si="130"/>
        <v>130973.02</v>
      </c>
      <c r="Q712">
        <f t="shared" ca="1" si="131"/>
        <v>2</v>
      </c>
      <c r="R712">
        <f ca="1">((Tabla2[[#This Row],[Fantasma Comunicación]]+1)/(Tabla2[[#This Row],[Fantasma Comunicación]]+RANDBETWEEN(0,5)+2))-0.5</f>
        <v>0</v>
      </c>
      <c r="S712">
        <f ca="1">1+MAX(0,Tabla2[[#This Row],[Deuda actual]]/Tabla2[[#This Row],[Liquidez]]+Tabla2[[#This Row],[Liquidez]]/(Tabla2[[#This Row],[Activos]]+Tabla2[[#This Row],[Liquidez]])+Tabla2[[#This Row],[Comunicación]])</f>
        <v>1.9557745444102621</v>
      </c>
      <c r="T712">
        <f ca="1">Tabla2[[#This Row],[Deuda actual]]*EXP(Tabla2[[#This Row],[Ki]]*Tabla2[[#This Row],[diferencia de días]])*(1+Tabla2[[#This Row],[Hg]])</f>
        <v>1455.8161872127951</v>
      </c>
    </row>
    <row r="713" spans="1:20" ht="14.5" x14ac:dyDescent="0.35">
      <c r="A713">
        <f t="shared" si="121"/>
        <v>712</v>
      </c>
      <c r="B713">
        <f t="shared" ca="1" si="122"/>
        <v>46119</v>
      </c>
      <c r="C713">
        <f t="shared" ca="1" si="123"/>
        <v>46157</v>
      </c>
      <c r="D713">
        <f t="shared" ca="1" si="124"/>
        <v>19</v>
      </c>
      <c r="E713">
        <f t="shared" ca="1" si="125"/>
        <v>0.35305415794008443</v>
      </c>
      <c r="F713">
        <f t="shared" ca="1" si="126"/>
        <v>484.64</v>
      </c>
      <c r="G713" t="str">
        <f t="shared" ca="1" si="127"/>
        <v>personal</v>
      </c>
      <c r="H71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13" t="str">
        <f t="shared" ca="1" si="128"/>
        <v>Sí</v>
      </c>
      <c r="J71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13">
        <f ca="1">IF(Tabla2[[#This Row],[¿cliente deuda abierta?]]="Sí", Tabla2[[#This Row],[Deuda actual]]*Tabla2[[#This Row],[diferencia de días]], "0")</f>
        <v>9208.16</v>
      </c>
      <c r="L71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1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1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13">
        <f t="shared" ca="1" si="129"/>
        <v>1597.12</v>
      </c>
      <c r="P713">
        <f t="shared" ca="1" si="130"/>
        <v>29444.44</v>
      </c>
      <c r="Q713">
        <f t="shared" ca="1" si="131"/>
        <v>2</v>
      </c>
      <c r="R713">
        <f ca="1">((Tabla2[[#This Row],[Fantasma Comunicación]]+1)/(Tabla2[[#This Row],[Fantasma Comunicación]]+RANDBETWEEN(0,5)+2))-0.5</f>
        <v>9.9999999999999978E-2</v>
      </c>
      <c r="S713">
        <f ca="1">1+MAX(0,Tabla2[[#This Row],[Deuda actual]]/Tabla2[[#This Row],[Liquidez]]+Tabla2[[#This Row],[Liquidez]]/(Tabla2[[#This Row],[Activos]]+Tabla2[[#This Row],[Liquidez]])+Tabla2[[#This Row],[Comunicación]])</f>
        <v>1.4548972256014263</v>
      </c>
      <c r="T713">
        <f ca="1">Tabla2[[#This Row],[Deuda actual]]*EXP(Tabla2[[#This Row],[Ki]]*Tabla2[[#This Row],[diferencia de días]])*(1+Tabla2[[#This Row],[Hg]])</f>
        <v>512.75416072463804</v>
      </c>
    </row>
    <row r="714" spans="1:20" ht="14.5" x14ac:dyDescent="0.35">
      <c r="A714">
        <f t="shared" si="121"/>
        <v>713</v>
      </c>
      <c r="B714">
        <f t="shared" ca="1" si="122"/>
        <v>46087</v>
      </c>
      <c r="C714">
        <f t="shared" ca="1" si="123"/>
        <v>46157</v>
      </c>
      <c r="D714">
        <f t="shared" ca="1" si="124"/>
        <v>11</v>
      </c>
      <c r="E714">
        <f t="shared" ca="1" si="125"/>
        <v>0.43233387371221066</v>
      </c>
      <c r="F714">
        <f t="shared" ca="1" si="126"/>
        <v>378.11</v>
      </c>
      <c r="G714" t="str">
        <f t="shared" ca="1" si="127"/>
        <v>personal</v>
      </c>
      <c r="H71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14" t="str">
        <f t="shared" ca="1" si="128"/>
        <v>Sí</v>
      </c>
      <c r="J71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14">
        <f ca="1">IF(Tabla2[[#This Row],[¿cliente deuda abierta?]]="Sí", Tabla2[[#This Row],[Deuda actual]]*Tabla2[[#This Row],[diferencia de días]], "0")</f>
        <v>4159.21</v>
      </c>
      <c r="L71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1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1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14">
        <f t="shared" ca="1" si="129"/>
        <v>1301.1300000000001</v>
      </c>
      <c r="P714">
        <f t="shared" ca="1" si="130"/>
        <v>112931.56</v>
      </c>
      <c r="Q714">
        <f t="shared" ca="1" si="131"/>
        <v>3</v>
      </c>
      <c r="R714">
        <f ca="1">((Tabla2[[#This Row],[Fantasma Comunicación]]+1)/(Tabla2[[#This Row],[Fantasma Comunicación]]+RANDBETWEEN(0,5)+2))-0.5</f>
        <v>0</v>
      </c>
      <c r="S714">
        <f ca="1">1+MAX(0,Tabla2[[#This Row],[Deuda actual]]/Tabla2[[#This Row],[Liquidez]]+Tabla2[[#This Row],[Liquidez]]/(Tabla2[[#This Row],[Activos]]+Tabla2[[#This Row],[Liquidez]])+Tabla2[[#This Row],[Comunicación]])</f>
        <v>1.3019914187214459</v>
      </c>
      <c r="T714">
        <f ca="1">Tabla2[[#This Row],[Deuda actual]]*EXP(Tabla2[[#This Row],[Ki]]*Tabla2[[#This Row],[diferencia de días]])*(1+Tabla2[[#This Row],[Hg]])</f>
        <v>397.88989558246789</v>
      </c>
    </row>
    <row r="715" spans="1:20" ht="14.5" x14ac:dyDescent="0.35">
      <c r="A715">
        <f t="shared" si="121"/>
        <v>714</v>
      </c>
      <c r="B715">
        <f t="shared" ca="1" si="122"/>
        <v>46143</v>
      </c>
      <c r="C715">
        <f t="shared" ca="1" si="123"/>
        <v>46157</v>
      </c>
      <c r="D715">
        <f t="shared" ca="1" si="124"/>
        <v>52</v>
      </c>
      <c r="E715">
        <f t="shared" ca="1" si="125"/>
        <v>0.66565804617361624</v>
      </c>
      <c r="F715">
        <f t="shared" ca="1" si="126"/>
        <v>3151.41</v>
      </c>
      <c r="G715" t="str">
        <f t="shared" ca="1" si="127"/>
        <v>personal</v>
      </c>
      <c r="H71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715" t="str">
        <f t="shared" ca="1" si="128"/>
        <v>No</v>
      </c>
      <c r="J71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12001.911923186704</v>
      </c>
      <c r="K715" t="str">
        <f ca="1">IF(Tabla2[[#This Row],[¿cliente deuda abierta?]]="Sí", Tabla2[[#This Row],[Deuda actual]]*Tabla2[[#This Row],[diferencia de días]], "0")</f>
        <v>0</v>
      </c>
      <c r="L71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1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1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15">
        <f t="shared" ca="1" si="129"/>
        <v>2039.17</v>
      </c>
      <c r="P715">
        <f t="shared" ca="1" si="130"/>
        <v>233812.51</v>
      </c>
      <c r="Q715">
        <f t="shared" ca="1" si="131"/>
        <v>3</v>
      </c>
      <c r="R715">
        <f ca="1">((Tabla2[[#This Row],[Fantasma Comunicación]]+1)/(Tabla2[[#This Row],[Fantasma Comunicación]]+RANDBETWEEN(0,5)+2))-0.5</f>
        <v>7.1428571428571397E-2</v>
      </c>
      <c r="S715">
        <f ca="1">1+MAX(0,Tabla2[[#This Row],[Deuda actual]]/Tabla2[[#This Row],[Liquidez]]+Tabla2[[#This Row],[Liquidez]]/(Tabla2[[#This Row],[Activos]]+Tabla2[[#This Row],[Liquidez]])+Tabla2[[#This Row],[Comunicación]])</f>
        <v>2.625512160573118</v>
      </c>
      <c r="T715">
        <f ca="1">Tabla2[[#This Row],[Deuda actual]]*EXP(Tabla2[[#This Row],[Ki]]*Tabla2[[#This Row],[diferencia de días]])*(1+Tabla2[[#This Row],[Hg]])</f>
        <v>3066.3546819835378</v>
      </c>
    </row>
    <row r="716" spans="1:20" ht="14.5" x14ac:dyDescent="0.35">
      <c r="A716">
        <f t="shared" si="121"/>
        <v>715</v>
      </c>
      <c r="B716">
        <f t="shared" ca="1" si="122"/>
        <v>46119</v>
      </c>
      <c r="C716">
        <f t="shared" ca="1" si="123"/>
        <v>46157</v>
      </c>
      <c r="D716">
        <f t="shared" ca="1" si="124"/>
        <v>7</v>
      </c>
      <c r="E716">
        <f t="shared" ca="1" si="125"/>
        <v>0.9818197058146525</v>
      </c>
      <c r="F716">
        <f t="shared" ca="1" si="126"/>
        <v>10000</v>
      </c>
      <c r="G716" t="str">
        <f t="shared" ca="1" si="127"/>
        <v>personal</v>
      </c>
      <c r="H71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16" t="str">
        <f t="shared" ca="1" si="128"/>
        <v>Sí</v>
      </c>
      <c r="J71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16">
        <f ca="1">IF(Tabla2[[#This Row],[¿cliente deuda abierta?]]="Sí", Tabla2[[#This Row],[Deuda actual]]*Tabla2[[#This Row],[diferencia de días]], "0")</f>
        <v>70000</v>
      </c>
      <c r="L71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71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16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716">
        <f t="shared" ca="1" si="129"/>
        <v>2073.7800000000002</v>
      </c>
      <c r="P716">
        <f t="shared" ca="1" si="130"/>
        <v>55024.37</v>
      </c>
      <c r="Q716">
        <f t="shared" ca="1" si="131"/>
        <v>5</v>
      </c>
      <c r="R716">
        <f ca="1">((Tabla2[[#This Row],[Fantasma Comunicación]]+1)/(Tabla2[[#This Row],[Fantasma Comunicación]]+RANDBETWEEN(0,5)+2))-0.5</f>
        <v>0.16666666666666663</v>
      </c>
      <c r="S716">
        <f ca="1">1+MAX(0,Tabla2[[#This Row],[Deuda actual]]/Tabla2[[#This Row],[Liquidez]]+Tabla2[[#This Row],[Liquidez]]/(Tabla2[[#This Row],[Activos]]+Tabla2[[#This Row],[Liquidez]])+Tabla2[[#This Row],[Comunicación]])</f>
        <v>6.0250985102490233</v>
      </c>
      <c r="T716">
        <f ca="1">Tabla2[[#This Row],[Deuda actual]]*EXP(Tabla2[[#This Row],[Ki]]*Tabla2[[#This Row],[diferencia de días]])*(1+Tabla2[[#This Row],[Hg]])</f>
        <v>11516.111275261173</v>
      </c>
    </row>
    <row r="717" spans="1:20" ht="14.5" x14ac:dyDescent="0.35">
      <c r="A717">
        <f t="shared" si="121"/>
        <v>716</v>
      </c>
      <c r="B717">
        <f t="shared" ca="1" si="122"/>
        <v>46122</v>
      </c>
      <c r="C717">
        <f t="shared" ca="1" si="123"/>
        <v>46157</v>
      </c>
      <c r="D717">
        <f t="shared" ca="1" si="124"/>
        <v>7</v>
      </c>
      <c r="E717">
        <f t="shared" ca="1" si="125"/>
        <v>0.26654886670734779</v>
      </c>
      <c r="F717">
        <f t="shared" ca="1" si="126"/>
        <v>917.38</v>
      </c>
      <c r="G717" t="str">
        <f t="shared" ca="1" si="127"/>
        <v>hipotecario</v>
      </c>
      <c r="H71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17" t="str">
        <f t="shared" ca="1" si="128"/>
        <v>Sí</v>
      </c>
      <c r="J71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17">
        <f ca="1">IF(Tabla2[[#This Row],[¿cliente deuda abierta?]]="Sí", Tabla2[[#This Row],[Deuda actual]]*Tabla2[[#This Row],[diferencia de días]], "0")</f>
        <v>6421.66</v>
      </c>
      <c r="L71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1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1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17">
        <f t="shared" ca="1" si="129"/>
        <v>1634.53</v>
      </c>
      <c r="P717">
        <f t="shared" ca="1" si="130"/>
        <v>29449.31</v>
      </c>
      <c r="Q717">
        <f t="shared" ca="1" si="131"/>
        <v>4</v>
      </c>
      <c r="R717">
        <f ca="1">((Tabla2[[#This Row],[Fantasma Comunicación]]+1)/(Tabla2[[#This Row],[Fantasma Comunicación]]+RANDBETWEEN(0,5)+2))-0.5</f>
        <v>0</v>
      </c>
      <c r="S717">
        <f ca="1">1+MAX(0,Tabla2[[#This Row],[Deuda actual]]/Tabla2[[#This Row],[Liquidez]]+Tabla2[[#This Row],[Liquidez]]/(Tabla2[[#This Row],[Activos]]+Tabla2[[#This Row],[Liquidez]])+Tabla2[[#This Row],[Comunicación]])</f>
        <v>1.6138345813495731</v>
      </c>
      <c r="T717">
        <f ca="1">Tabla2[[#This Row],[Deuda actual]]*EXP(Tabla2[[#This Row],[Ki]]*Tabla2[[#This Row],[diferencia de días]])*(1+Tabla2[[#This Row],[Hg]])</f>
        <v>964.59849302470013</v>
      </c>
    </row>
    <row r="718" spans="1:20" ht="14.5" x14ac:dyDescent="0.35">
      <c r="A718">
        <f t="shared" si="121"/>
        <v>717</v>
      </c>
      <c r="B718">
        <f t="shared" ca="1" si="122"/>
        <v>46143</v>
      </c>
      <c r="C718">
        <f t="shared" ca="1" si="123"/>
        <v>46157</v>
      </c>
      <c r="D718">
        <f t="shared" ca="1" si="124"/>
        <v>2</v>
      </c>
      <c r="E718">
        <f t="shared" ca="1" si="125"/>
        <v>0.15913376395601087</v>
      </c>
      <c r="F718">
        <f t="shared" ca="1" si="126"/>
        <v>1047.0899999999999</v>
      </c>
      <c r="G718" t="str">
        <f t="shared" ca="1" si="127"/>
        <v>personal</v>
      </c>
      <c r="H71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18" t="str">
        <f t="shared" ca="1" si="128"/>
        <v>Sí</v>
      </c>
      <c r="J71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18">
        <f ca="1">IF(Tabla2[[#This Row],[¿cliente deuda abierta?]]="Sí", Tabla2[[#This Row],[Deuda actual]]*Tabla2[[#This Row],[diferencia de días]], "0")</f>
        <v>2094.1799999999998</v>
      </c>
      <c r="L71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1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1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18">
        <f t="shared" ca="1" si="129"/>
        <v>2513.7399999999998</v>
      </c>
      <c r="P718">
        <f t="shared" ca="1" si="130"/>
        <v>53236.77</v>
      </c>
      <c r="Q718">
        <f t="shared" ca="1" si="131"/>
        <v>3</v>
      </c>
      <c r="R718">
        <f ca="1">((Tabla2[[#This Row],[Fantasma Comunicación]]+1)/(Tabla2[[#This Row],[Fantasma Comunicación]]+RANDBETWEEN(0,5)+2))-0.5</f>
        <v>7.1428571428571397E-2</v>
      </c>
      <c r="S718">
        <f ca="1">1+MAX(0,Tabla2[[#This Row],[Deuda actual]]/Tabla2[[#This Row],[Liquidez]]+Tabla2[[#This Row],[Liquidez]]/(Tabla2[[#This Row],[Activos]]+Tabla2[[#This Row],[Liquidez]])+Tabla2[[#This Row],[Comunicación]])</f>
        <v>1.5330643252398668</v>
      </c>
      <c r="T718">
        <f ca="1">Tabla2[[#This Row],[Deuda actual]]*EXP(Tabla2[[#This Row],[Ki]]*Tabla2[[#This Row],[diferencia de días]])*(1+Tabla2[[#This Row],[Hg]])</f>
        <v>1099.8843657672885</v>
      </c>
    </row>
    <row r="719" spans="1:20" ht="14.5" x14ac:dyDescent="0.35">
      <c r="A719">
        <f t="shared" si="121"/>
        <v>718</v>
      </c>
      <c r="B719">
        <f t="shared" ca="1" si="122"/>
        <v>46126</v>
      </c>
      <c r="C719">
        <f t="shared" ca="1" si="123"/>
        <v>46157</v>
      </c>
      <c r="D719">
        <f t="shared" ca="1" si="124"/>
        <v>4</v>
      </c>
      <c r="E719">
        <f t="shared" ca="1" si="125"/>
        <v>0.57058731348802316</v>
      </c>
      <c r="F719">
        <f t="shared" ca="1" si="126"/>
        <v>814.73</v>
      </c>
      <c r="G719" t="str">
        <f t="shared" ca="1" si="127"/>
        <v>personal</v>
      </c>
      <c r="H71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19" t="str">
        <f t="shared" ca="1" si="128"/>
        <v>Sí</v>
      </c>
      <c r="J71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19">
        <f ca="1">IF(Tabla2[[#This Row],[¿cliente deuda abierta?]]="Sí", Tabla2[[#This Row],[Deuda actual]]*Tabla2[[#This Row],[diferencia de días]], "0")</f>
        <v>3258.92</v>
      </c>
      <c r="L71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1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1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19">
        <f t="shared" ca="1" si="129"/>
        <v>2367.64</v>
      </c>
      <c r="P719">
        <f t="shared" ca="1" si="130"/>
        <v>240552.36</v>
      </c>
      <c r="Q719">
        <f t="shared" ca="1" si="131"/>
        <v>2</v>
      </c>
      <c r="R719">
        <f ca="1">((Tabla2[[#This Row],[Fantasma Comunicación]]+1)/(Tabla2[[#This Row],[Fantasma Comunicación]]+RANDBETWEEN(0,5)+2))-0.5</f>
        <v>0.25</v>
      </c>
      <c r="S719">
        <f ca="1">1+MAX(0,Tabla2[[#This Row],[Deuda actual]]/Tabla2[[#This Row],[Liquidez]]+Tabla2[[#This Row],[Liquidez]]/(Tabla2[[#This Row],[Activos]]+Tabla2[[#This Row],[Liquidez]])+Tabla2[[#This Row],[Comunicación]])</f>
        <v>1.6038571743744459</v>
      </c>
      <c r="T719">
        <f ca="1">Tabla2[[#This Row],[Deuda actual]]*EXP(Tabla2[[#This Row],[Ki]]*Tabla2[[#This Row],[diferencia de días]])*(1+Tabla2[[#This Row],[Hg]])</f>
        <v>856.15114702229448</v>
      </c>
    </row>
    <row r="720" spans="1:20" ht="14.5" x14ac:dyDescent="0.35">
      <c r="A720">
        <f t="shared" si="121"/>
        <v>719</v>
      </c>
      <c r="B720">
        <f t="shared" ca="1" si="122"/>
        <v>46130</v>
      </c>
      <c r="C720">
        <f t="shared" ca="1" si="123"/>
        <v>46157</v>
      </c>
      <c r="D720">
        <f t="shared" ca="1" si="124"/>
        <v>45</v>
      </c>
      <c r="E720">
        <f t="shared" ca="1" si="125"/>
        <v>0.88698415333612823</v>
      </c>
      <c r="F720">
        <f t="shared" ca="1" si="126"/>
        <v>928.37</v>
      </c>
      <c r="G720" t="str">
        <f t="shared" ca="1" si="127"/>
        <v>hipotecario</v>
      </c>
      <c r="H72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720" t="str">
        <f t="shared" ca="1" si="128"/>
        <v>Sí</v>
      </c>
      <c r="J72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20">
        <f ca="1">IF(Tabla2[[#This Row],[¿cliente deuda abierta?]]="Sí", Tabla2[[#This Row],[Deuda actual]]*Tabla2[[#This Row],[diferencia de días]], "0")</f>
        <v>41776.65</v>
      </c>
      <c r="L72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72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20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720">
        <f t="shared" ca="1" si="129"/>
        <v>1350.14</v>
      </c>
      <c r="P720">
        <f t="shared" ca="1" si="130"/>
        <v>205739.5</v>
      </c>
      <c r="Q720">
        <f t="shared" ca="1" si="131"/>
        <v>1</v>
      </c>
      <c r="R720">
        <f ca="1">((Tabla2[[#This Row],[Fantasma Comunicación]]+1)/(Tabla2[[#This Row],[Fantasma Comunicación]]+RANDBETWEEN(0,5)+2))-0.5</f>
        <v>-0.2142857142857143</v>
      </c>
      <c r="S720">
        <f ca="1">1+MAX(0,Tabla2[[#This Row],[Deuda actual]]/Tabla2[[#This Row],[Liquidez]]+Tabla2[[#This Row],[Liquidez]]/(Tabla2[[#This Row],[Activos]]+Tabla2[[#This Row],[Liquidez]])+Tabla2[[#This Row],[Comunicación]])</f>
        <v>1.4798440516661016</v>
      </c>
      <c r="T720">
        <f ca="1">Tabla2[[#This Row],[Deuda actual]]*EXP(Tabla2[[#This Row],[Ki]]*Tabla2[[#This Row],[diferencia de días]])*(1+Tabla2[[#This Row],[Hg]])</f>
        <v>1068.2109727338013</v>
      </c>
    </row>
    <row r="721" spans="1:20" ht="14.5" x14ac:dyDescent="0.35">
      <c r="A721">
        <f t="shared" si="121"/>
        <v>720</v>
      </c>
      <c r="B721">
        <f t="shared" ca="1" si="122"/>
        <v>46094</v>
      </c>
      <c r="C721">
        <f t="shared" ca="1" si="123"/>
        <v>46157</v>
      </c>
      <c r="D721">
        <f t="shared" ca="1" si="124"/>
        <v>12</v>
      </c>
      <c r="E721">
        <f t="shared" ca="1" si="125"/>
        <v>0.1171093453156673</v>
      </c>
      <c r="F721">
        <f t="shared" ca="1" si="126"/>
        <v>10000</v>
      </c>
      <c r="G721" t="str">
        <f t="shared" ca="1" si="127"/>
        <v>personal</v>
      </c>
      <c r="H72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21" t="str">
        <f t="shared" ca="1" si="128"/>
        <v>Sí</v>
      </c>
      <c r="J72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21">
        <f ca="1">IF(Tabla2[[#This Row],[¿cliente deuda abierta?]]="Sí", Tabla2[[#This Row],[Deuda actual]]*Tabla2[[#This Row],[diferencia de días]], "0")</f>
        <v>120000</v>
      </c>
      <c r="L72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72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21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721">
        <f t="shared" ca="1" si="129"/>
        <v>1656.74</v>
      </c>
      <c r="P721">
        <f t="shared" ca="1" si="130"/>
        <v>112904.61</v>
      </c>
      <c r="Q721">
        <f t="shared" ca="1" si="131"/>
        <v>3</v>
      </c>
      <c r="R721">
        <f ca="1">((Tabla2[[#This Row],[Fantasma Comunicación]]+1)/(Tabla2[[#This Row],[Fantasma Comunicación]]+RANDBETWEEN(0,5)+2))-0.5</f>
        <v>7.1428571428571397E-2</v>
      </c>
      <c r="S721">
        <f ca="1">1+MAX(0,Tabla2[[#This Row],[Deuda actual]]/Tabla2[[#This Row],[Liquidez]]+Tabla2[[#This Row],[Liquidez]]/(Tabla2[[#This Row],[Activos]]+Tabla2[[#This Row],[Liquidez]])+Tabla2[[#This Row],[Comunicación]])</f>
        <v>7.1218402866779629</v>
      </c>
      <c r="T721">
        <f ca="1">Tabla2[[#This Row],[Deuda actual]]*EXP(Tabla2[[#This Row],[Ki]]*Tabla2[[#This Row],[diferencia de días]])*(1+Tabla2[[#This Row],[Hg]])</f>
        <v>11527.633146511904</v>
      </c>
    </row>
    <row r="722" spans="1:20" ht="14.5" x14ac:dyDescent="0.35">
      <c r="A722">
        <f t="shared" si="121"/>
        <v>721</v>
      </c>
      <c r="B722">
        <f t="shared" ca="1" si="122"/>
        <v>46115</v>
      </c>
      <c r="C722">
        <f t="shared" ca="1" si="123"/>
        <v>46157</v>
      </c>
      <c r="D722">
        <f t="shared" ca="1" si="124"/>
        <v>29</v>
      </c>
      <c r="E722">
        <f t="shared" ca="1" si="125"/>
        <v>0.28129462095029023</v>
      </c>
      <c r="F722">
        <f t="shared" ca="1" si="126"/>
        <v>742.49</v>
      </c>
      <c r="G722" t="str">
        <f t="shared" ca="1" si="127"/>
        <v>personal</v>
      </c>
      <c r="H72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22" t="str">
        <f t="shared" ca="1" si="128"/>
        <v>Sí</v>
      </c>
      <c r="J72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22">
        <f ca="1">IF(Tabla2[[#This Row],[¿cliente deuda abierta?]]="Sí", Tabla2[[#This Row],[Deuda actual]]*Tabla2[[#This Row],[diferencia de días]], "0")</f>
        <v>21532.21</v>
      </c>
      <c r="L72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2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2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22">
        <f t="shared" ca="1" si="129"/>
        <v>1205.9000000000001</v>
      </c>
      <c r="P722">
        <f t="shared" ca="1" si="130"/>
        <v>39778.22</v>
      </c>
      <c r="Q722">
        <f t="shared" ca="1" si="131"/>
        <v>2</v>
      </c>
      <c r="R722">
        <f ca="1">((Tabla2[[#This Row],[Fantasma Comunicación]]+1)/(Tabla2[[#This Row],[Fantasma Comunicación]]+RANDBETWEEN(0,5)+2))-0.5</f>
        <v>-0.125</v>
      </c>
      <c r="S722">
        <f ca="1">1+MAX(0,Tabla2[[#This Row],[Deuda actual]]/Tabla2[[#This Row],[Liquidez]]+Tabla2[[#This Row],[Liquidez]]/(Tabla2[[#This Row],[Activos]]+Tabla2[[#This Row],[Liquidez]])+Tabla2[[#This Row],[Comunicación]])</f>
        <v>1.5201379955606982</v>
      </c>
      <c r="T722">
        <f ca="1">Tabla2[[#This Row],[Deuda actual]]*EXP(Tabla2[[#This Row],[Ki]]*Tabla2[[#This Row],[diferencia de días]])*(1+Tabla2[[#This Row],[Hg]])</f>
        <v>788.71068406928669</v>
      </c>
    </row>
    <row r="723" spans="1:20" ht="14.5" x14ac:dyDescent="0.35">
      <c r="A723">
        <f t="shared" si="121"/>
        <v>722</v>
      </c>
      <c r="B723">
        <f t="shared" ca="1" si="122"/>
        <v>46111</v>
      </c>
      <c r="C723">
        <f t="shared" ca="1" si="123"/>
        <v>46157</v>
      </c>
      <c r="D723">
        <f t="shared" ca="1" si="124"/>
        <v>2</v>
      </c>
      <c r="E723">
        <f t="shared" ca="1" si="125"/>
        <v>0.41676890497859809</v>
      </c>
      <c r="F723">
        <f t="shared" ca="1" si="126"/>
        <v>736.83</v>
      </c>
      <c r="G723" t="str">
        <f t="shared" ca="1" si="127"/>
        <v>personal</v>
      </c>
      <c r="H72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23" t="str">
        <f t="shared" ca="1" si="128"/>
        <v>Sí</v>
      </c>
      <c r="J72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23">
        <f ca="1">IF(Tabla2[[#This Row],[¿cliente deuda abierta?]]="Sí", Tabla2[[#This Row],[Deuda actual]]*Tabla2[[#This Row],[diferencia de días]], "0")</f>
        <v>1473.66</v>
      </c>
      <c r="L72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2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2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23">
        <f t="shared" ca="1" si="129"/>
        <v>1602.3</v>
      </c>
      <c r="P723">
        <f t="shared" ca="1" si="130"/>
        <v>236661.18</v>
      </c>
      <c r="Q723">
        <f t="shared" ca="1" si="131"/>
        <v>2</v>
      </c>
      <c r="R723">
        <f ca="1">((Tabla2[[#This Row],[Fantasma Comunicación]]+1)/(Tabla2[[#This Row],[Fantasma Comunicación]]+RANDBETWEEN(0,5)+2))-0.5</f>
        <v>0.25</v>
      </c>
      <c r="S723">
        <f ca="1">1+MAX(0,Tabla2[[#This Row],[Deuda actual]]/Tabla2[[#This Row],[Liquidez]]+Tabla2[[#This Row],[Liquidez]]/(Tabla2[[#This Row],[Activos]]+Tabla2[[#This Row],[Liquidez]])+Tabla2[[#This Row],[Comunicación]])</f>
        <v>1.7165826126220673</v>
      </c>
      <c r="T723">
        <f ca="1">Tabla2[[#This Row],[Deuda actual]]*EXP(Tabla2[[#This Row],[Ki]]*Tabla2[[#This Row],[diferencia de días]])*(1+Tabla2[[#This Row],[Hg]])</f>
        <v>773.98103050197346</v>
      </c>
    </row>
    <row r="724" spans="1:20" ht="14.5" x14ac:dyDescent="0.35">
      <c r="A724">
        <f t="shared" si="121"/>
        <v>723</v>
      </c>
      <c r="B724">
        <f t="shared" ca="1" si="122"/>
        <v>46119</v>
      </c>
      <c r="C724">
        <f t="shared" ca="1" si="123"/>
        <v>46157</v>
      </c>
      <c r="D724">
        <f t="shared" ca="1" si="124"/>
        <v>1</v>
      </c>
      <c r="E724">
        <f t="shared" ca="1" si="125"/>
        <v>0.85760315168398416</v>
      </c>
      <c r="F724">
        <f t="shared" ca="1" si="126"/>
        <v>3283.71</v>
      </c>
      <c r="G724" t="str">
        <f t="shared" ca="1" si="127"/>
        <v>personal</v>
      </c>
      <c r="H72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24" t="str">
        <f t="shared" ca="1" si="128"/>
        <v>Sí</v>
      </c>
      <c r="J72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24">
        <f ca="1">IF(Tabla2[[#This Row],[¿cliente deuda abierta?]]="Sí", Tabla2[[#This Row],[Deuda actual]]*Tabla2[[#This Row],[diferencia de días]], "0")</f>
        <v>3283.71</v>
      </c>
      <c r="L72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2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2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24">
        <f t="shared" ca="1" si="129"/>
        <v>1742.23</v>
      </c>
      <c r="P724">
        <f t="shared" ca="1" si="130"/>
        <v>120623.13</v>
      </c>
      <c r="Q724">
        <f t="shared" ca="1" si="131"/>
        <v>5</v>
      </c>
      <c r="R724">
        <f ca="1">((Tabla2[[#This Row],[Fantasma Comunicación]]+1)/(Tabla2[[#This Row],[Fantasma Comunicación]]+RANDBETWEEN(0,5)+2))-0.5</f>
        <v>9.9999999999999978E-2</v>
      </c>
      <c r="S724">
        <f ca="1">1+MAX(0,Tabla2[[#This Row],[Deuda actual]]/Tabla2[[#This Row],[Liquidez]]+Tabla2[[#This Row],[Liquidez]]/(Tabla2[[#This Row],[Activos]]+Tabla2[[#This Row],[Liquidez]])+Tabla2[[#This Row],[Comunicación]])</f>
        <v>2.9990120459973886</v>
      </c>
      <c r="T724">
        <f ca="1">Tabla2[[#This Row],[Deuda actual]]*EXP(Tabla2[[#This Row],[Ki]]*Tabla2[[#This Row],[diferencia de días]])*(1+Tabla2[[#This Row],[Hg]])</f>
        <v>3448.5851480625079</v>
      </c>
    </row>
    <row r="725" spans="1:20" ht="14.5" x14ac:dyDescent="0.35">
      <c r="A725">
        <f t="shared" si="121"/>
        <v>724</v>
      </c>
      <c r="B725">
        <f t="shared" ca="1" si="122"/>
        <v>46114</v>
      </c>
      <c r="C725">
        <f t="shared" ca="1" si="123"/>
        <v>46157</v>
      </c>
      <c r="D725">
        <f t="shared" ca="1" si="124"/>
        <v>1</v>
      </c>
      <c r="E725">
        <f t="shared" ca="1" si="125"/>
        <v>0.541697814221067</v>
      </c>
      <c r="F725">
        <f t="shared" ca="1" si="126"/>
        <v>703.96</v>
      </c>
      <c r="G725" t="str">
        <f t="shared" ca="1" si="127"/>
        <v>hipotecario</v>
      </c>
      <c r="H72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25" t="str">
        <f t="shared" ca="1" si="128"/>
        <v>Sí</v>
      </c>
      <c r="J72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25">
        <f ca="1">IF(Tabla2[[#This Row],[¿cliente deuda abierta?]]="Sí", Tabla2[[#This Row],[Deuda actual]]*Tabla2[[#This Row],[diferencia de días]], "0")</f>
        <v>703.96</v>
      </c>
      <c r="L72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2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2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25">
        <f t="shared" ca="1" si="129"/>
        <v>1339.12</v>
      </c>
      <c r="P725">
        <f t="shared" ca="1" si="130"/>
        <v>263449.3</v>
      </c>
      <c r="Q725">
        <f t="shared" ca="1" si="131"/>
        <v>4</v>
      </c>
      <c r="R725">
        <f ca="1">((Tabla2[[#This Row],[Fantasma Comunicación]]+1)/(Tabla2[[#This Row],[Fantasma Comunicación]]+RANDBETWEEN(0,5)+2))-0.5</f>
        <v>0.33333333333333337</v>
      </c>
      <c r="S725">
        <f ca="1">1+MAX(0,Tabla2[[#This Row],[Deuda actual]]/Tabla2[[#This Row],[Liquidez]]+Tabla2[[#This Row],[Liquidez]]/(Tabla2[[#This Row],[Activos]]+Tabla2[[#This Row],[Liquidez]])+Tabla2[[#This Row],[Comunicación]])</f>
        <v>1.864079166052047</v>
      </c>
      <c r="T725">
        <f ca="1">Tabla2[[#This Row],[Deuda actual]]*EXP(Tabla2[[#This Row],[Ki]]*Tabla2[[#This Row],[diferencia de días]])*(1+Tabla2[[#This Row],[Hg]])</f>
        <v>739.30584638414564</v>
      </c>
    </row>
    <row r="726" spans="1:20" ht="14.5" x14ac:dyDescent="0.35">
      <c r="A726">
        <f t="shared" si="121"/>
        <v>725</v>
      </c>
      <c r="B726">
        <f t="shared" ca="1" si="122"/>
        <v>46130</v>
      </c>
      <c r="C726">
        <f t="shared" ca="1" si="123"/>
        <v>46157</v>
      </c>
      <c r="D726">
        <f t="shared" ca="1" si="124"/>
        <v>13</v>
      </c>
      <c r="E726">
        <f t="shared" ca="1" si="125"/>
        <v>0.73327718972734879</v>
      </c>
      <c r="F726">
        <f t="shared" ca="1" si="126"/>
        <v>649.78</v>
      </c>
      <c r="G726" t="str">
        <f t="shared" ca="1" si="127"/>
        <v>hipotecario</v>
      </c>
      <c r="H72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26" t="str">
        <f t="shared" ca="1" si="128"/>
        <v>Sí</v>
      </c>
      <c r="J72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26">
        <f ca="1">IF(Tabla2[[#This Row],[¿cliente deuda abierta?]]="Sí", Tabla2[[#This Row],[Deuda actual]]*Tabla2[[#This Row],[diferencia de días]], "0")</f>
        <v>8447.14</v>
      </c>
      <c r="L72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2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2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26">
        <f t="shared" ca="1" si="129"/>
        <v>1558.45</v>
      </c>
      <c r="P726">
        <f t="shared" ca="1" si="130"/>
        <v>514443.8</v>
      </c>
      <c r="Q726">
        <f t="shared" ca="1" si="131"/>
        <v>1</v>
      </c>
      <c r="R726">
        <f ca="1">((Tabla2[[#This Row],[Fantasma Comunicación]]+1)/(Tabla2[[#This Row],[Fantasma Comunicación]]+RANDBETWEEN(0,5)+2))-0.5</f>
        <v>0</v>
      </c>
      <c r="S726">
        <f ca="1">1+MAX(0,Tabla2[[#This Row],[Deuda actual]]/Tabla2[[#This Row],[Liquidez]]+Tabla2[[#This Row],[Liquidez]]/(Tabla2[[#This Row],[Activos]]+Tabla2[[#This Row],[Liquidez]])+Tabla2[[#This Row],[Comunicación]])</f>
        <v>1.4199601470105023</v>
      </c>
      <c r="T726">
        <f ca="1">Tabla2[[#This Row],[Deuda actual]]*EXP(Tabla2[[#This Row],[Ki]]*Tabla2[[#This Row],[diferencia de días]])*(1+Tabla2[[#This Row],[Hg]])</f>
        <v>684.04520746911305</v>
      </c>
    </row>
    <row r="727" spans="1:20" ht="14.5" x14ac:dyDescent="0.35">
      <c r="A727">
        <f t="shared" si="121"/>
        <v>726</v>
      </c>
      <c r="B727">
        <f t="shared" ca="1" si="122"/>
        <v>46140</v>
      </c>
      <c r="C727">
        <f t="shared" ca="1" si="123"/>
        <v>46157</v>
      </c>
      <c r="D727">
        <f t="shared" ca="1" si="124"/>
        <v>67</v>
      </c>
      <c r="E727">
        <f t="shared" ca="1" si="125"/>
        <v>0.23247642531087187</v>
      </c>
      <c r="F727">
        <f t="shared" ca="1" si="126"/>
        <v>8478.08</v>
      </c>
      <c r="G727" t="str">
        <f t="shared" ca="1" si="127"/>
        <v>personal</v>
      </c>
      <c r="H72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727" t="str">
        <f t="shared" ca="1" si="128"/>
        <v>Sí</v>
      </c>
      <c r="J72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27">
        <f ca="1">IF(Tabla2[[#This Row],[¿cliente deuda abierta?]]="Sí", Tabla2[[#This Row],[Deuda actual]]*Tabla2[[#This Row],[diferencia de días]], "0")</f>
        <v>568031.36</v>
      </c>
      <c r="L72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0.2</v>
      </c>
      <c r="M72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27">
        <f ca="1">MAX(Tabla2[[#This Row],[VALORES DE Hg para actuales deudores]:[Valores de HG para deudores cerrados]])*IF(Tabla2[[#This Row],[VALORES DE Hg para actuales deudores]]&gt;Tabla2[[#This Row],[Valores de HG para deudores cerrados]],-1,1)</f>
        <v>0.2</v>
      </c>
      <c r="O727">
        <f t="shared" ca="1" si="129"/>
        <v>2134.79</v>
      </c>
      <c r="P727">
        <f t="shared" ca="1" si="130"/>
        <v>95251.45</v>
      </c>
      <c r="Q727">
        <f t="shared" ca="1" si="131"/>
        <v>2</v>
      </c>
      <c r="R727">
        <f ca="1">((Tabla2[[#This Row],[Fantasma Comunicación]]+1)/(Tabla2[[#This Row],[Fantasma Comunicación]]+RANDBETWEEN(0,5)+2))-0.5</f>
        <v>-7.1428571428571452E-2</v>
      </c>
      <c r="S727">
        <f ca="1">1+MAX(0,Tabla2[[#This Row],[Deuda actual]]/Tabla2[[#This Row],[Liquidez]]+Tabla2[[#This Row],[Liquidez]]/(Tabla2[[#This Row],[Activos]]+Tabla2[[#This Row],[Liquidez]])+Tabla2[[#This Row],[Comunicación]])</f>
        <v>4.9218805736417455</v>
      </c>
      <c r="T727">
        <f ca="1">Tabla2[[#This Row],[Deuda actual]]*EXP(Tabla2[[#This Row],[Ki]]*Tabla2[[#This Row],[diferencia de días]])*(1+Tabla2[[#This Row],[Hg]])</f>
        <v>10878.687129123018</v>
      </c>
    </row>
    <row r="728" spans="1:20" ht="14.5" x14ac:dyDescent="0.35">
      <c r="A728">
        <f t="shared" si="121"/>
        <v>727</v>
      </c>
      <c r="B728">
        <f t="shared" ca="1" si="122"/>
        <v>46130</v>
      </c>
      <c r="C728">
        <f t="shared" ca="1" si="123"/>
        <v>46157</v>
      </c>
      <c r="D728">
        <f t="shared" ca="1" si="124"/>
        <v>31</v>
      </c>
      <c r="E728">
        <f t="shared" ca="1" si="125"/>
        <v>0.73016226860226063</v>
      </c>
      <c r="F728">
        <f t="shared" ca="1" si="126"/>
        <v>211.95</v>
      </c>
      <c r="G728" t="str">
        <f t="shared" ca="1" si="127"/>
        <v>hipotecario</v>
      </c>
      <c r="H72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728" t="str">
        <f t="shared" ca="1" si="128"/>
        <v>Sí</v>
      </c>
      <c r="J72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28">
        <f ca="1">IF(Tabla2[[#This Row],[¿cliente deuda abierta?]]="Sí", Tabla2[[#This Row],[Deuda actual]]*Tabla2[[#This Row],[diferencia de días]], "0")</f>
        <v>6570.45</v>
      </c>
      <c r="L72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2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2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28">
        <f t="shared" ca="1" si="129"/>
        <v>1988.54</v>
      </c>
      <c r="P728">
        <f t="shared" ca="1" si="130"/>
        <v>81948.11</v>
      </c>
      <c r="Q728">
        <f t="shared" ca="1" si="131"/>
        <v>3</v>
      </c>
      <c r="R728">
        <f ca="1">((Tabla2[[#This Row],[Fantasma Comunicación]]+1)/(Tabla2[[#This Row],[Fantasma Comunicación]]+RANDBETWEEN(0,5)+2))-0.5</f>
        <v>-5.555555555555558E-2</v>
      </c>
      <c r="S728">
        <f ca="1">1+MAX(0,Tabla2[[#This Row],[Deuda actual]]/Tabla2[[#This Row],[Liquidez]]+Tabla2[[#This Row],[Liquidez]]/(Tabla2[[#This Row],[Activos]]+Tabla2[[#This Row],[Liquidez]])+Tabla2[[#This Row],[Comunicación]])</f>
        <v>1.0747211428853314</v>
      </c>
      <c r="T728">
        <f ca="1">Tabla2[[#This Row],[Deuda actual]]*EXP(Tabla2[[#This Row],[Ki]]*Tabla2[[#This Row],[diferencia de días]])*(1+Tabla2[[#This Row],[Hg]])</f>
        <v>229.55452017618592</v>
      </c>
    </row>
    <row r="729" spans="1:20" ht="14.5" x14ac:dyDescent="0.35">
      <c r="A729">
        <f t="shared" si="121"/>
        <v>728</v>
      </c>
      <c r="B729">
        <f t="shared" ca="1" si="122"/>
        <v>46127</v>
      </c>
      <c r="C729">
        <f t="shared" ca="1" si="123"/>
        <v>46157</v>
      </c>
      <c r="D729">
        <f t="shared" ca="1" si="124"/>
        <v>18</v>
      </c>
      <c r="E729">
        <f t="shared" ca="1" si="125"/>
        <v>0.25687882002055051</v>
      </c>
      <c r="F729">
        <f t="shared" ca="1" si="126"/>
        <v>859.55</v>
      </c>
      <c r="G729" t="str">
        <f t="shared" ca="1" si="127"/>
        <v>hipotecario</v>
      </c>
      <c r="H72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29" t="str">
        <f t="shared" ca="1" si="128"/>
        <v>Sí</v>
      </c>
      <c r="J72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29">
        <f ca="1">IF(Tabla2[[#This Row],[¿cliente deuda abierta?]]="Sí", Tabla2[[#This Row],[Deuda actual]]*Tabla2[[#This Row],[diferencia de días]], "0")</f>
        <v>15471.9</v>
      </c>
      <c r="L72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2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2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29">
        <f t="shared" ca="1" si="129"/>
        <v>1883.8</v>
      </c>
      <c r="P729">
        <f t="shared" ca="1" si="130"/>
        <v>211838.28</v>
      </c>
      <c r="Q729">
        <f t="shared" ca="1" si="131"/>
        <v>3</v>
      </c>
      <c r="R729">
        <f ca="1">((Tabla2[[#This Row],[Fantasma Comunicación]]+1)/(Tabla2[[#This Row],[Fantasma Comunicación]]+RANDBETWEEN(0,5)+2))-0.5</f>
        <v>0.30000000000000004</v>
      </c>
      <c r="S729">
        <f ca="1">1+MAX(0,Tabla2[[#This Row],[Deuda actual]]/Tabla2[[#This Row],[Liquidez]]+Tabla2[[#This Row],[Liquidez]]/(Tabla2[[#This Row],[Activos]]+Tabla2[[#This Row],[Liquidez]])+Tabla2[[#This Row],[Comunicación]])</f>
        <v>1.7650994190084917</v>
      </c>
      <c r="T729">
        <f ca="1">Tabla2[[#This Row],[Deuda actual]]*EXP(Tabla2[[#This Row],[Ki]]*Tabla2[[#This Row],[diferencia de días]])*(1+Tabla2[[#This Row],[Hg]])</f>
        <v>909.04914775843656</v>
      </c>
    </row>
    <row r="730" spans="1:20" ht="14.5" x14ac:dyDescent="0.35">
      <c r="A730">
        <f t="shared" si="121"/>
        <v>729</v>
      </c>
      <c r="B730">
        <f t="shared" ca="1" si="122"/>
        <v>46120</v>
      </c>
      <c r="C730">
        <f t="shared" ca="1" si="123"/>
        <v>46157</v>
      </c>
      <c r="D730">
        <f t="shared" ca="1" si="124"/>
        <v>5</v>
      </c>
      <c r="E730">
        <f t="shared" ca="1" si="125"/>
        <v>0.3546248245877428</v>
      </c>
      <c r="F730">
        <f t="shared" ca="1" si="126"/>
        <v>141.5</v>
      </c>
      <c r="G730" t="str">
        <f t="shared" ca="1" si="127"/>
        <v>hipotecario</v>
      </c>
      <c r="H73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30" t="str">
        <f t="shared" ca="1" si="128"/>
        <v>No</v>
      </c>
      <c r="J73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165000.23824727786</v>
      </c>
      <c r="K730" t="str">
        <f ca="1">IF(Tabla2[[#This Row],[¿cliente deuda abierta?]]="Sí", Tabla2[[#This Row],[Deuda actual]]*Tabla2[[#This Row],[diferencia de días]], "0")</f>
        <v>0</v>
      </c>
      <c r="L73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3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73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730">
        <f t="shared" ca="1" si="129"/>
        <v>2759.02</v>
      </c>
      <c r="P730">
        <f t="shared" ca="1" si="130"/>
        <v>353804.66</v>
      </c>
      <c r="Q730">
        <f t="shared" ca="1" si="131"/>
        <v>3</v>
      </c>
      <c r="R730">
        <f ca="1">((Tabla2[[#This Row],[Fantasma Comunicación]]+1)/(Tabla2[[#This Row],[Fantasma Comunicación]]+RANDBETWEEN(0,5)+2))-0.5</f>
        <v>-5.555555555555558E-2</v>
      </c>
      <c r="S730">
        <f ca="1">1+MAX(0,Tabla2[[#This Row],[Deuda actual]]/Tabla2[[#This Row],[Liquidez]]+Tabla2[[#This Row],[Liquidez]]/(Tabla2[[#This Row],[Activos]]+Tabla2[[#This Row],[Liquidez]])+Tabla2[[#This Row],[Comunicación]])</f>
        <v>1.0034685751151016</v>
      </c>
      <c r="T730">
        <f ca="1">Tabla2[[#This Row],[Deuda actual]]*EXP(Tabla2[[#This Row],[Ki]]*Tabla2[[#This Row],[diferencia de días]])*(1+Tabla2[[#This Row],[Hg]])</f>
        <v>113.31325661887138</v>
      </c>
    </row>
    <row r="731" spans="1:20" ht="14.5" x14ac:dyDescent="0.35">
      <c r="A731">
        <f t="shared" si="121"/>
        <v>730</v>
      </c>
      <c r="B731">
        <f t="shared" ca="1" si="122"/>
        <v>46084</v>
      </c>
      <c r="C731">
        <f t="shared" ca="1" si="123"/>
        <v>46157</v>
      </c>
      <c r="D731">
        <f t="shared" ca="1" si="124"/>
        <v>3</v>
      </c>
      <c r="E731">
        <f t="shared" ca="1" si="125"/>
        <v>0.5067373549748343</v>
      </c>
      <c r="F731">
        <f t="shared" ca="1" si="126"/>
        <v>368.82</v>
      </c>
      <c r="G731" t="str">
        <f t="shared" ca="1" si="127"/>
        <v>hipotecario</v>
      </c>
      <c r="H73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31" t="str">
        <f t="shared" ca="1" si="128"/>
        <v>Sí</v>
      </c>
      <c r="J73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31">
        <f ca="1">IF(Tabla2[[#This Row],[¿cliente deuda abierta?]]="Sí", Tabla2[[#This Row],[Deuda actual]]*Tabla2[[#This Row],[diferencia de días]], "0")</f>
        <v>1106.46</v>
      </c>
      <c r="L73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3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3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31">
        <f t="shared" ca="1" si="129"/>
        <v>1647.67</v>
      </c>
      <c r="P731">
        <f t="shared" ca="1" si="130"/>
        <v>232320.82</v>
      </c>
      <c r="Q731">
        <f t="shared" ca="1" si="131"/>
        <v>2</v>
      </c>
      <c r="R731">
        <f ca="1">((Tabla2[[#This Row],[Fantasma Comunicación]]+1)/(Tabla2[[#This Row],[Fantasma Comunicación]]+RANDBETWEEN(0,5)+2))-0.5</f>
        <v>-0.16666666666666669</v>
      </c>
      <c r="S731">
        <f ca="1">1+MAX(0,Tabla2[[#This Row],[Deuda actual]]/Tabla2[[#This Row],[Liquidez]]+Tabla2[[#This Row],[Liquidez]]/(Tabla2[[#This Row],[Activos]]+Tabla2[[#This Row],[Liquidez]])+Tabla2[[#This Row],[Comunicación]])</f>
        <v>1.0642189731124834</v>
      </c>
      <c r="T731">
        <f ca="1">Tabla2[[#This Row],[Deuda actual]]*EXP(Tabla2[[#This Row],[Ki]]*Tabla2[[#This Row],[diferencia de días]])*(1+Tabla2[[#This Row],[Hg]])</f>
        <v>387.4934263209235</v>
      </c>
    </row>
    <row r="732" spans="1:20" ht="14.5" x14ac:dyDescent="0.35">
      <c r="A732">
        <f t="shared" si="121"/>
        <v>731</v>
      </c>
      <c r="B732">
        <f t="shared" ca="1" si="122"/>
        <v>46096</v>
      </c>
      <c r="C732">
        <f t="shared" ca="1" si="123"/>
        <v>46157</v>
      </c>
      <c r="D732">
        <f t="shared" ca="1" si="124"/>
        <v>34</v>
      </c>
      <c r="E732">
        <f t="shared" ca="1" si="125"/>
        <v>0.84959537894289527</v>
      </c>
      <c r="F732">
        <f t="shared" ca="1" si="126"/>
        <v>122.01</v>
      </c>
      <c r="G732" t="str">
        <f t="shared" ca="1" si="127"/>
        <v>hipotecario</v>
      </c>
      <c r="H73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732" t="str">
        <f t="shared" ca="1" si="128"/>
        <v>Sí</v>
      </c>
      <c r="J73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32">
        <f ca="1">IF(Tabla2[[#This Row],[¿cliente deuda abierta?]]="Sí", Tabla2[[#This Row],[Deuda actual]]*Tabla2[[#This Row],[diferencia de días]], "0")</f>
        <v>4148.34</v>
      </c>
      <c r="L73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3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3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32">
        <f t="shared" ca="1" si="129"/>
        <v>1828.48</v>
      </c>
      <c r="P732">
        <f t="shared" ca="1" si="130"/>
        <v>98922.7</v>
      </c>
      <c r="Q732">
        <f t="shared" ca="1" si="131"/>
        <v>5</v>
      </c>
      <c r="R732">
        <f ca="1">((Tabla2[[#This Row],[Fantasma Comunicación]]+1)/(Tabla2[[#This Row],[Fantasma Comunicación]]+RANDBETWEEN(0,5)+2))-0.5</f>
        <v>4.5454545454545414E-2</v>
      </c>
      <c r="S732">
        <f ca="1">1+MAX(0,Tabla2[[#This Row],[Deuda actual]]/Tabla2[[#This Row],[Liquidez]]+Tabla2[[#This Row],[Liquidez]]/(Tabla2[[#This Row],[Activos]]+Tabla2[[#This Row],[Liquidez]])+Tabla2[[#This Row],[Comunicación]])</f>
        <v>1.1303305728880355</v>
      </c>
      <c r="T732">
        <f ca="1">Tabla2[[#This Row],[Deuda actual]]*EXP(Tabla2[[#This Row],[Ki]]*Tabla2[[#This Row],[diferencia de días]])*(1+Tabla2[[#This Row],[Hg]])</f>
        <v>132.54115126024257</v>
      </c>
    </row>
    <row r="733" spans="1:20" ht="14.5" x14ac:dyDescent="0.35">
      <c r="A733">
        <f t="shared" si="121"/>
        <v>732</v>
      </c>
      <c r="B733">
        <f t="shared" ca="1" si="122"/>
        <v>46093</v>
      </c>
      <c r="C733">
        <f t="shared" ca="1" si="123"/>
        <v>46157</v>
      </c>
      <c r="D733">
        <f t="shared" ca="1" si="124"/>
        <v>1</v>
      </c>
      <c r="E733">
        <f t="shared" ca="1" si="125"/>
        <v>0.99351540795400572</v>
      </c>
      <c r="F733">
        <f t="shared" ca="1" si="126"/>
        <v>373.67</v>
      </c>
      <c r="G733" t="str">
        <f t="shared" ca="1" si="127"/>
        <v>personal</v>
      </c>
      <c r="H73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33" t="str">
        <f t="shared" ca="1" si="128"/>
        <v>Sí</v>
      </c>
      <c r="J73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33">
        <f ca="1">IF(Tabla2[[#This Row],[¿cliente deuda abierta?]]="Sí", Tabla2[[#This Row],[Deuda actual]]*Tabla2[[#This Row],[diferencia de días]], "0")</f>
        <v>373.67</v>
      </c>
      <c r="L73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3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3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33">
        <f t="shared" ca="1" si="129"/>
        <v>1657</v>
      </c>
      <c r="P733">
        <f t="shared" ca="1" si="130"/>
        <v>430041.32</v>
      </c>
      <c r="Q733">
        <f t="shared" ca="1" si="131"/>
        <v>1</v>
      </c>
      <c r="R733">
        <f ca="1">((Tabla2[[#This Row],[Fantasma Comunicación]]+1)/(Tabla2[[#This Row],[Fantasma Comunicación]]+RANDBETWEEN(0,5)+2))-0.5</f>
        <v>-0.2142857142857143</v>
      </c>
      <c r="S733">
        <f ca="1">1+MAX(0,Tabla2[[#This Row],[Deuda actual]]/Tabla2[[#This Row],[Liquidez]]+Tabla2[[#This Row],[Liquidez]]/(Tabla2[[#This Row],[Activos]]+Tabla2[[#This Row],[Liquidez]])+Tabla2[[#This Row],[Comunicación]])</f>
        <v>1.0150625720502051</v>
      </c>
      <c r="T733">
        <f ca="1">Tabla2[[#This Row],[Deuda actual]]*EXP(Tabla2[[#This Row],[Ki]]*Tabla2[[#This Row],[diferencia de días]])*(1+Tabla2[[#This Row],[Hg]])</f>
        <v>392.43197854759319</v>
      </c>
    </row>
    <row r="734" spans="1:20" ht="14.5" x14ac:dyDescent="0.35">
      <c r="A734">
        <f t="shared" si="121"/>
        <v>733</v>
      </c>
      <c r="B734">
        <f t="shared" ca="1" si="122"/>
        <v>46140</v>
      </c>
      <c r="C734">
        <f t="shared" ca="1" si="123"/>
        <v>46157</v>
      </c>
      <c r="D734">
        <f t="shared" ca="1" si="124"/>
        <v>0</v>
      </c>
      <c r="E734">
        <f t="shared" ca="1" si="125"/>
        <v>0.94713703548313211</v>
      </c>
      <c r="F734">
        <f t="shared" ca="1" si="126"/>
        <v>3101.87</v>
      </c>
      <c r="G734" t="str">
        <f t="shared" ca="1" si="127"/>
        <v>personal</v>
      </c>
      <c r="H73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34" t="str">
        <f t="shared" ca="1" si="128"/>
        <v>Sí</v>
      </c>
      <c r="J73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34">
        <f ca="1">IF(Tabla2[[#This Row],[¿cliente deuda abierta?]]="Sí", Tabla2[[#This Row],[Deuda actual]]*Tabla2[[#This Row],[diferencia de días]], "0")</f>
        <v>0</v>
      </c>
      <c r="L73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3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34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734">
        <f t="shared" ca="1" si="129"/>
        <v>2379.41</v>
      </c>
      <c r="P734">
        <f t="shared" ca="1" si="130"/>
        <v>44917.01</v>
      </c>
      <c r="Q734">
        <f t="shared" ca="1" si="131"/>
        <v>4</v>
      </c>
      <c r="R734">
        <f ca="1">((Tabla2[[#This Row],[Fantasma Comunicación]]+1)/(Tabla2[[#This Row],[Fantasma Comunicación]]+RANDBETWEEN(0,5)+2))-0.5</f>
        <v>0.2142857142857143</v>
      </c>
      <c r="S734">
        <f ca="1">1+MAX(0,Tabla2[[#This Row],[Deuda actual]]/Tabla2[[#This Row],[Liquidez]]+Tabla2[[#This Row],[Liquidez]]/(Tabla2[[#This Row],[Activos]]+Tabla2[[#This Row],[Liquidez]])+Tabla2[[#This Row],[Comunicación]])</f>
        <v>2.56822406459372</v>
      </c>
      <c r="T734">
        <f ca="1">Tabla2[[#This Row],[Deuda actual]]*EXP(Tabla2[[#This Row],[Ki]]*Tabla2[[#This Row],[diferencia de días]])*(1+Tabla2[[#This Row],[Hg]])</f>
        <v>3101.87</v>
      </c>
    </row>
    <row r="735" spans="1:20" ht="14.5" x14ac:dyDescent="0.35">
      <c r="A735">
        <f t="shared" si="121"/>
        <v>734</v>
      </c>
      <c r="B735">
        <f t="shared" ca="1" si="122"/>
        <v>46085</v>
      </c>
      <c r="C735">
        <f t="shared" ca="1" si="123"/>
        <v>46157</v>
      </c>
      <c r="D735">
        <f t="shared" ca="1" si="124"/>
        <v>11</v>
      </c>
      <c r="E735">
        <f t="shared" ca="1" si="125"/>
        <v>0.97367477195900098</v>
      </c>
      <c r="F735">
        <f t="shared" ca="1" si="126"/>
        <v>554.16999999999996</v>
      </c>
      <c r="G735" t="str">
        <f t="shared" ca="1" si="127"/>
        <v>hipotecario</v>
      </c>
      <c r="H73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35" t="str">
        <f t="shared" ca="1" si="128"/>
        <v>Sí</v>
      </c>
      <c r="J73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35">
        <f ca="1">IF(Tabla2[[#This Row],[¿cliente deuda abierta?]]="Sí", Tabla2[[#This Row],[Deuda actual]]*Tabla2[[#This Row],[diferencia de días]], "0")</f>
        <v>6095.87</v>
      </c>
      <c r="L73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3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3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35">
        <f t="shared" ca="1" si="129"/>
        <v>2076.09</v>
      </c>
      <c r="P735">
        <f t="shared" ca="1" si="130"/>
        <v>102509.7</v>
      </c>
      <c r="Q735">
        <f t="shared" ca="1" si="131"/>
        <v>5</v>
      </c>
      <c r="R735">
        <f ca="1">((Tabla2[[#This Row],[Fantasma Comunicación]]+1)/(Tabla2[[#This Row],[Fantasma Comunicación]]+RANDBETWEEN(0,5)+2))-0.5</f>
        <v>4.5454545454545414E-2</v>
      </c>
      <c r="S735">
        <f ca="1">1+MAX(0,Tabla2[[#This Row],[Deuda actual]]/Tabla2[[#This Row],[Liquidez]]+Tabla2[[#This Row],[Liquidez]]/(Tabla2[[#This Row],[Activos]]+Tabla2[[#This Row],[Liquidez]])+Tabla2[[#This Row],[Comunicación]])</f>
        <v>1.3322347999697932</v>
      </c>
      <c r="T735">
        <f ca="1">Tabla2[[#This Row],[Deuda actual]]*EXP(Tabla2[[#This Row],[Ki]]*Tabla2[[#This Row],[diferencia de días]])*(1+Tabla2[[#This Row],[Hg]])</f>
        <v>583.16004187917849</v>
      </c>
    </row>
    <row r="736" spans="1:20" ht="14.5" x14ac:dyDescent="0.35">
      <c r="A736">
        <f t="shared" si="121"/>
        <v>735</v>
      </c>
      <c r="B736">
        <f t="shared" ca="1" si="122"/>
        <v>46105</v>
      </c>
      <c r="C736">
        <f t="shared" ca="1" si="123"/>
        <v>46157</v>
      </c>
      <c r="D736">
        <f t="shared" ca="1" si="124"/>
        <v>3</v>
      </c>
      <c r="E736">
        <f t="shared" ca="1" si="125"/>
        <v>0.52524840263236416</v>
      </c>
      <c r="F736">
        <f t="shared" ca="1" si="126"/>
        <v>773.2</v>
      </c>
      <c r="G736" t="str">
        <f t="shared" ca="1" si="127"/>
        <v>personal</v>
      </c>
      <c r="H73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36" t="str">
        <f t="shared" ca="1" si="128"/>
        <v>No</v>
      </c>
      <c r="J73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12000.87735102549</v>
      </c>
      <c r="K736" t="str">
        <f ca="1">IF(Tabla2[[#This Row],[¿cliente deuda abierta?]]="Sí", Tabla2[[#This Row],[Deuda actual]]*Tabla2[[#This Row],[diferencia de días]], "0")</f>
        <v>0</v>
      </c>
      <c r="L73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3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36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36">
        <f t="shared" ca="1" si="129"/>
        <v>1625.56</v>
      </c>
      <c r="P736">
        <f t="shared" ca="1" si="130"/>
        <v>213096.95</v>
      </c>
      <c r="Q736">
        <f t="shared" ca="1" si="131"/>
        <v>3</v>
      </c>
      <c r="R736">
        <f ca="1">((Tabla2[[#This Row],[Fantasma Comunicación]]+1)/(Tabla2[[#This Row],[Fantasma Comunicación]]+RANDBETWEEN(0,5)+2))-0.5</f>
        <v>0</v>
      </c>
      <c r="S736">
        <f ca="1">1+MAX(0,Tabla2[[#This Row],[Deuda actual]]/Tabla2[[#This Row],[Liquidez]]+Tabla2[[#This Row],[Liquidez]]/(Tabla2[[#This Row],[Activos]]+Tabla2[[#This Row],[Liquidez]])+Tabla2[[#This Row],[Comunicación]])</f>
        <v>1.4832219828820028</v>
      </c>
      <c r="T736">
        <f ca="1">Tabla2[[#This Row],[Deuda actual]]*EXP(Tabla2[[#This Row],[Ki]]*Tabla2[[#This Row],[diferencia de días]])*(1+Tabla2[[#This Row],[Hg]])</f>
        <v>696.29765328345547</v>
      </c>
    </row>
    <row r="737" spans="1:20" ht="14.5" x14ac:dyDescent="0.35">
      <c r="A737">
        <f t="shared" si="121"/>
        <v>736</v>
      </c>
      <c r="B737">
        <f t="shared" ca="1" si="122"/>
        <v>46127</v>
      </c>
      <c r="C737">
        <f t="shared" ca="1" si="123"/>
        <v>46157</v>
      </c>
      <c r="D737">
        <f t="shared" ca="1" si="124"/>
        <v>6</v>
      </c>
      <c r="E737">
        <f t="shared" ca="1" si="125"/>
        <v>0.10503997768572948</v>
      </c>
      <c r="F737">
        <f t="shared" ca="1" si="126"/>
        <v>193.88</v>
      </c>
      <c r="G737" t="str">
        <f t="shared" ca="1" si="127"/>
        <v>hipotecario</v>
      </c>
      <c r="H73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37" t="str">
        <f t="shared" ca="1" si="128"/>
        <v>Sí</v>
      </c>
      <c r="J73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37">
        <f ca="1">IF(Tabla2[[#This Row],[¿cliente deuda abierta?]]="Sí", Tabla2[[#This Row],[Deuda actual]]*Tabla2[[#This Row],[diferencia de días]], "0")</f>
        <v>1163.28</v>
      </c>
      <c r="L73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3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3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37">
        <f t="shared" ca="1" si="129"/>
        <v>1315.96</v>
      </c>
      <c r="P737">
        <f t="shared" ca="1" si="130"/>
        <v>153656.07999999999</v>
      </c>
      <c r="Q737">
        <f t="shared" ca="1" si="131"/>
        <v>0</v>
      </c>
      <c r="R737">
        <f ca="1">((Tabla2[[#This Row],[Fantasma Comunicación]]+1)/(Tabla2[[#This Row],[Fantasma Comunicación]]+RANDBETWEEN(0,5)+2))-0.5</f>
        <v>-0.35714285714285715</v>
      </c>
      <c r="S737">
        <f ca="1">1+MAX(0,Tabla2[[#This Row],[Deuda actual]]/Tabla2[[#This Row],[Liquidez]]+Tabla2[[#This Row],[Liquidez]]/(Tabla2[[#This Row],[Activos]]+Tabla2[[#This Row],[Liquidez]])+Tabla2[[#This Row],[Comunicación]])</f>
        <v>1</v>
      </c>
      <c r="T737">
        <f ca="1">Tabla2[[#This Row],[Deuda actual]]*EXP(Tabla2[[#This Row],[Ki]]*Tabla2[[#This Row],[diferencia de días]])*(1+Tabla2[[#This Row],[Hg]])</f>
        <v>203.8184354319269</v>
      </c>
    </row>
    <row r="738" spans="1:20" ht="14.5" x14ac:dyDescent="0.35">
      <c r="A738">
        <f t="shared" si="121"/>
        <v>737</v>
      </c>
      <c r="B738">
        <f t="shared" ca="1" si="122"/>
        <v>46103</v>
      </c>
      <c r="C738">
        <f t="shared" ca="1" si="123"/>
        <v>46157</v>
      </c>
      <c r="D738">
        <f t="shared" ca="1" si="124"/>
        <v>0</v>
      </c>
      <c r="E738">
        <f t="shared" ca="1" si="125"/>
        <v>0.6758161949488698</v>
      </c>
      <c r="F738">
        <f t="shared" ca="1" si="126"/>
        <v>482.02</v>
      </c>
      <c r="G738" t="str">
        <f t="shared" ca="1" si="127"/>
        <v>personal</v>
      </c>
      <c r="H73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38" t="str">
        <f t="shared" ca="1" si="128"/>
        <v>No</v>
      </c>
      <c r="J73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12001.344408833929</v>
      </c>
      <c r="K738" t="str">
        <f ca="1">IF(Tabla2[[#This Row],[¿cliente deuda abierta?]]="Sí", Tabla2[[#This Row],[Deuda actual]]*Tabla2[[#This Row],[diferencia de días]], "0")</f>
        <v>0</v>
      </c>
      <c r="L73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3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3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38">
        <f t="shared" ca="1" si="129"/>
        <v>1731.99</v>
      </c>
      <c r="P738">
        <f t="shared" ca="1" si="130"/>
        <v>118776.46</v>
      </c>
      <c r="Q738">
        <f t="shared" ca="1" si="131"/>
        <v>1</v>
      </c>
      <c r="R738">
        <f ca="1">((Tabla2[[#This Row],[Fantasma Comunicación]]+1)/(Tabla2[[#This Row],[Fantasma Comunicación]]+RANDBETWEEN(0,5)+2))-0.5</f>
        <v>-0.2142857142857143</v>
      </c>
      <c r="S738">
        <f ca="1">1+MAX(0,Tabla2[[#This Row],[Deuda actual]]/Tabla2[[#This Row],[Liquidez]]+Tabla2[[#This Row],[Liquidez]]/(Tabla2[[#This Row],[Activos]]+Tabla2[[#This Row],[Liquidez]])+Tabla2[[#This Row],[Comunicación]])</f>
        <v>1.078390786108909</v>
      </c>
      <c r="T738">
        <f ca="1">Tabla2[[#This Row],[Deuda actual]]*EXP(Tabla2[[#This Row],[Ki]]*Tabla2[[#This Row],[diferencia de días]])*(1+Tabla2[[#This Row],[Hg]])</f>
        <v>433.81799999999998</v>
      </c>
    </row>
    <row r="739" spans="1:20" ht="14.5" x14ac:dyDescent="0.35">
      <c r="A739">
        <f t="shared" si="121"/>
        <v>738</v>
      </c>
      <c r="B739">
        <f t="shared" ca="1" si="122"/>
        <v>46113</v>
      </c>
      <c r="C739">
        <f t="shared" ca="1" si="123"/>
        <v>46157</v>
      </c>
      <c r="D739">
        <f t="shared" ca="1" si="124"/>
        <v>4</v>
      </c>
      <c r="E739">
        <f t="shared" ca="1" si="125"/>
        <v>0.92024457769555446</v>
      </c>
      <c r="F739">
        <f t="shared" ca="1" si="126"/>
        <v>1535.15</v>
      </c>
      <c r="G739" t="str">
        <f t="shared" ca="1" si="127"/>
        <v>hipotecario</v>
      </c>
      <c r="H73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39" t="str">
        <f t="shared" ca="1" si="128"/>
        <v>Sí</v>
      </c>
      <c r="J73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39">
        <f ca="1">IF(Tabla2[[#This Row],[¿cliente deuda abierta?]]="Sí", Tabla2[[#This Row],[Deuda actual]]*Tabla2[[#This Row],[diferencia de días]], "0")</f>
        <v>6140.6</v>
      </c>
      <c r="L73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3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3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39">
        <f t="shared" ca="1" si="129"/>
        <v>1742.97</v>
      </c>
      <c r="P739">
        <f t="shared" ca="1" si="130"/>
        <v>141667.35999999999</v>
      </c>
      <c r="Q739">
        <f t="shared" ca="1" si="131"/>
        <v>5</v>
      </c>
      <c r="R739">
        <f ca="1">((Tabla2[[#This Row],[Fantasma Comunicación]]+1)/(Tabla2[[#This Row],[Fantasma Comunicación]]+RANDBETWEEN(0,5)+2))-0.5</f>
        <v>0</v>
      </c>
      <c r="S739">
        <f ca="1">1+MAX(0,Tabla2[[#This Row],[Deuda actual]]/Tabla2[[#This Row],[Liquidez]]+Tabla2[[#This Row],[Liquidez]]/(Tabla2[[#This Row],[Activos]]+Tabla2[[#This Row],[Liquidez]])+Tabla2[[#This Row],[Comunicación]])</f>
        <v>1.8929204642372628</v>
      </c>
      <c r="T739">
        <f ca="1">Tabla2[[#This Row],[Deuda actual]]*EXP(Tabla2[[#This Row],[Ki]]*Tabla2[[#This Row],[diferencia de días]])*(1+Tabla2[[#This Row],[Hg]])</f>
        <v>1613.197541947977</v>
      </c>
    </row>
    <row r="740" spans="1:20" ht="14.5" x14ac:dyDescent="0.35">
      <c r="A740">
        <f t="shared" si="121"/>
        <v>739</v>
      </c>
      <c r="B740">
        <f t="shared" ca="1" si="122"/>
        <v>46121</v>
      </c>
      <c r="C740">
        <f t="shared" ca="1" si="123"/>
        <v>46157</v>
      </c>
      <c r="D740">
        <f t="shared" ca="1" si="124"/>
        <v>20</v>
      </c>
      <c r="E740">
        <f t="shared" ca="1" si="125"/>
        <v>0.10613350166611268</v>
      </c>
      <c r="F740">
        <f t="shared" ca="1" si="126"/>
        <v>44.15</v>
      </c>
      <c r="G740" t="str">
        <f t="shared" ca="1" si="127"/>
        <v>personal</v>
      </c>
      <c r="H74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40" t="str">
        <f t="shared" ca="1" si="128"/>
        <v>Sí</v>
      </c>
      <c r="J74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40">
        <f ca="1">IF(Tabla2[[#This Row],[¿cliente deuda abierta?]]="Sí", Tabla2[[#This Row],[Deuda actual]]*Tabla2[[#This Row],[diferencia de días]], "0")</f>
        <v>883</v>
      </c>
      <c r="L74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4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4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40">
        <f t="shared" ca="1" si="129"/>
        <v>1560.24</v>
      </c>
      <c r="P740">
        <f t="shared" ca="1" si="130"/>
        <v>17645</v>
      </c>
      <c r="Q740">
        <f t="shared" ca="1" si="131"/>
        <v>2</v>
      </c>
      <c r="R740">
        <f ca="1">((Tabla2[[#This Row],[Fantasma Comunicación]]+1)/(Tabla2[[#This Row],[Fantasma Comunicación]]+RANDBETWEEN(0,5)+2))-0.5</f>
        <v>-0.125</v>
      </c>
      <c r="S740">
        <f ca="1">1+MAX(0,Tabla2[[#This Row],[Deuda actual]]/Tabla2[[#This Row],[Liquidez]]+Tabla2[[#This Row],[Liquidez]]/(Tabla2[[#This Row],[Activos]]+Tabla2[[#This Row],[Liquidez]])+Tabla2[[#This Row],[Comunicación]])</f>
        <v>1</v>
      </c>
      <c r="T740">
        <f ca="1">Tabla2[[#This Row],[Deuda actual]]*EXP(Tabla2[[#This Row],[Ki]]*Tabla2[[#This Row],[diferencia de días]])*(1+Tabla2[[#This Row],[Hg]])</f>
        <v>46.729847403764353</v>
      </c>
    </row>
    <row r="741" spans="1:20" ht="14.5" x14ac:dyDescent="0.35">
      <c r="A741">
        <f t="shared" si="121"/>
        <v>740</v>
      </c>
      <c r="B741">
        <f t="shared" ca="1" si="122"/>
        <v>46115</v>
      </c>
      <c r="C741">
        <f t="shared" ca="1" si="123"/>
        <v>46157</v>
      </c>
      <c r="D741">
        <f t="shared" ca="1" si="124"/>
        <v>34</v>
      </c>
      <c r="E741">
        <f t="shared" ca="1" si="125"/>
        <v>9.1726541601229505E-2</v>
      </c>
      <c r="F741">
        <f t="shared" ca="1" si="126"/>
        <v>896.35</v>
      </c>
      <c r="G741" t="str">
        <f t="shared" ca="1" si="127"/>
        <v>personal</v>
      </c>
      <c r="H74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741" t="str">
        <f t="shared" ca="1" si="128"/>
        <v>No</v>
      </c>
      <c r="J74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11998.882069085321</v>
      </c>
      <c r="K741" t="str">
        <f ca="1">IF(Tabla2[[#This Row],[¿cliente deuda abierta?]]="Sí", Tabla2[[#This Row],[Deuda actual]]*Tabla2[[#This Row],[diferencia de días]], "0")</f>
        <v>0</v>
      </c>
      <c r="L74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4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41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41">
        <f t="shared" ca="1" si="129"/>
        <v>1578.66</v>
      </c>
      <c r="P741">
        <f t="shared" ca="1" si="130"/>
        <v>66023.12</v>
      </c>
      <c r="Q741">
        <f t="shared" ca="1" si="131"/>
        <v>0</v>
      </c>
      <c r="R741">
        <f ca="1">((Tabla2[[#This Row],[Fantasma Comunicación]]+1)/(Tabla2[[#This Row],[Fantasma Comunicación]]+RANDBETWEEN(0,5)+2))-0.5</f>
        <v>-0.35714285714285715</v>
      </c>
      <c r="S741">
        <f ca="1">1+MAX(0,Tabla2[[#This Row],[Deuda actual]]/Tabla2[[#This Row],[Liquidez]]+Tabla2[[#This Row],[Liquidez]]/(Tabla2[[#This Row],[Activos]]+Tabla2[[#This Row],[Liquidez]])+Tabla2[[#This Row],[Comunicación]])</f>
        <v>1.2340011579555654</v>
      </c>
      <c r="T741">
        <f ca="1">Tabla2[[#This Row],[Deuda actual]]*EXP(Tabla2[[#This Row],[Ki]]*Tabla2[[#This Row],[diferencia de días]])*(1+Tabla2[[#This Row],[Hg]])</f>
        <v>834.61492101667363</v>
      </c>
    </row>
    <row r="742" spans="1:20" ht="14.5" x14ac:dyDescent="0.35">
      <c r="A742">
        <f t="shared" si="121"/>
        <v>741</v>
      </c>
      <c r="B742">
        <f t="shared" ca="1" si="122"/>
        <v>46126</v>
      </c>
      <c r="C742">
        <f t="shared" ca="1" si="123"/>
        <v>46157</v>
      </c>
      <c r="D742">
        <f t="shared" ca="1" si="124"/>
        <v>5</v>
      </c>
      <c r="E742">
        <f t="shared" ca="1" si="125"/>
        <v>0.26154385550564019</v>
      </c>
      <c r="F742">
        <f t="shared" ca="1" si="126"/>
        <v>240.92</v>
      </c>
      <c r="G742" t="str">
        <f t="shared" ca="1" si="127"/>
        <v>hipotecario</v>
      </c>
      <c r="H74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42" t="str">
        <f t="shared" ca="1" si="128"/>
        <v>Sí</v>
      </c>
      <c r="J74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42">
        <f ca="1">IF(Tabla2[[#This Row],[¿cliente deuda abierta?]]="Sí", Tabla2[[#This Row],[Deuda actual]]*Tabla2[[#This Row],[diferencia de días]], "0")</f>
        <v>1204.5999999999999</v>
      </c>
      <c r="L74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4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4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42">
        <f t="shared" ca="1" si="129"/>
        <v>1571.95</v>
      </c>
      <c r="P742">
        <f t="shared" ca="1" si="130"/>
        <v>298061.14</v>
      </c>
      <c r="Q742">
        <f t="shared" ca="1" si="131"/>
        <v>0</v>
      </c>
      <c r="R742">
        <f ca="1">((Tabla2[[#This Row],[Fantasma Comunicación]]+1)/(Tabla2[[#This Row],[Fantasma Comunicación]]+RANDBETWEEN(0,5)+2))-0.5</f>
        <v>-0.3</v>
      </c>
      <c r="S742">
        <f ca="1">1+MAX(0,Tabla2[[#This Row],[Deuda actual]]/Tabla2[[#This Row],[Liquidez]]+Tabla2[[#This Row],[Liquidez]]/(Tabla2[[#This Row],[Activos]]+Tabla2[[#This Row],[Liquidez]])+Tabla2[[#This Row],[Comunicación]])</f>
        <v>1</v>
      </c>
      <c r="T742">
        <f ca="1">Tabla2[[#This Row],[Deuda actual]]*EXP(Tabla2[[#This Row],[Ki]]*Tabla2[[#This Row],[diferencia de días]])*(1+Tabla2[[#This Row],[Hg]])</f>
        <v>253.21909252517156</v>
      </c>
    </row>
    <row r="743" spans="1:20" ht="14.5" x14ac:dyDescent="0.35">
      <c r="A743">
        <f t="shared" si="121"/>
        <v>742</v>
      </c>
      <c r="B743">
        <f t="shared" ca="1" si="122"/>
        <v>46120</v>
      </c>
      <c r="C743">
        <f t="shared" ca="1" si="123"/>
        <v>46157</v>
      </c>
      <c r="D743">
        <f t="shared" ca="1" si="124"/>
        <v>23</v>
      </c>
      <c r="E743">
        <f t="shared" ca="1" si="125"/>
        <v>0.71918291569744686</v>
      </c>
      <c r="F743">
        <f t="shared" ca="1" si="126"/>
        <v>5609.84</v>
      </c>
      <c r="G743" t="str">
        <f t="shared" ca="1" si="127"/>
        <v>personal</v>
      </c>
      <c r="H74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43" t="str">
        <f t="shared" ca="1" si="128"/>
        <v>Sí</v>
      </c>
      <c r="J74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43">
        <f ca="1">IF(Tabla2[[#This Row],[¿cliente deuda abierta?]]="Sí", Tabla2[[#This Row],[Deuda actual]]*Tabla2[[#This Row],[diferencia de días]], "0")</f>
        <v>129026.32</v>
      </c>
      <c r="L74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74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43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743">
        <f t="shared" ca="1" si="129"/>
        <v>1728.64</v>
      </c>
      <c r="P743">
        <f t="shared" ca="1" si="130"/>
        <v>70050.19</v>
      </c>
      <c r="Q743">
        <f t="shared" ca="1" si="131"/>
        <v>0</v>
      </c>
      <c r="R743">
        <f ca="1">((Tabla2[[#This Row],[Fantasma Comunicación]]+1)/(Tabla2[[#This Row],[Fantasma Comunicación]]+RANDBETWEEN(0,5)+2))-0.5</f>
        <v>-0.3</v>
      </c>
      <c r="S743">
        <f ca="1">1+MAX(0,Tabla2[[#This Row],[Deuda actual]]/Tabla2[[#This Row],[Liquidez]]+Tabla2[[#This Row],[Liquidez]]/(Tabla2[[#This Row],[Activos]]+Tabla2[[#This Row],[Liquidez]])+Tabla2[[#This Row],[Comunicación]])</f>
        <v>3.9693161137184112</v>
      </c>
      <c r="T743">
        <f ca="1">Tabla2[[#This Row],[Deuda actual]]*EXP(Tabla2[[#This Row],[Ki]]*Tabla2[[#This Row],[diferencia de días]])*(1+Tabla2[[#This Row],[Hg]])</f>
        <v>6510.9419660827589</v>
      </c>
    </row>
    <row r="744" spans="1:20" ht="14.5" x14ac:dyDescent="0.35">
      <c r="A744">
        <f t="shared" si="121"/>
        <v>743</v>
      </c>
      <c r="B744">
        <f t="shared" ca="1" si="122"/>
        <v>46099</v>
      </c>
      <c r="C744">
        <f t="shared" ca="1" si="123"/>
        <v>46157</v>
      </c>
      <c r="D744">
        <f t="shared" ca="1" si="124"/>
        <v>14</v>
      </c>
      <c r="E744">
        <f t="shared" ca="1" si="125"/>
        <v>0.54430871430809635</v>
      </c>
      <c r="F744">
        <f t="shared" ca="1" si="126"/>
        <v>4846.1499999999996</v>
      </c>
      <c r="G744" t="str">
        <f t="shared" ca="1" si="127"/>
        <v>hipotecario</v>
      </c>
      <c r="H74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44" t="str">
        <f t="shared" ca="1" si="128"/>
        <v>Sí</v>
      </c>
      <c r="J74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44">
        <f ca="1">IF(Tabla2[[#This Row],[¿cliente deuda abierta?]]="Sí", Tabla2[[#This Row],[Deuda actual]]*Tabla2[[#This Row],[diferencia de días]], "0")</f>
        <v>67846.099999999991</v>
      </c>
      <c r="L74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74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44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744">
        <f t="shared" ca="1" si="129"/>
        <v>1829.42</v>
      </c>
      <c r="P744">
        <f t="shared" ca="1" si="130"/>
        <v>52685.15</v>
      </c>
      <c r="Q744">
        <f t="shared" ca="1" si="131"/>
        <v>2</v>
      </c>
      <c r="R744">
        <f ca="1">((Tabla2[[#This Row],[Fantasma Comunicación]]+1)/(Tabla2[[#This Row],[Fantasma Comunicación]]+RANDBETWEEN(0,5)+2))-0.5</f>
        <v>-0.16666666666666669</v>
      </c>
      <c r="S744">
        <f ca="1">1+MAX(0,Tabla2[[#This Row],[Deuda actual]]/Tabla2[[#This Row],[Liquidez]]+Tabla2[[#This Row],[Liquidez]]/(Tabla2[[#This Row],[Activos]]+Tabla2[[#This Row],[Liquidez]])+Tabla2[[#This Row],[Comunicación]])</f>
        <v>3.5159006768295495</v>
      </c>
      <c r="T744">
        <f ca="1">Tabla2[[#This Row],[Deuda actual]]*EXP(Tabla2[[#This Row],[Ki]]*Tabla2[[#This Row],[diferencia de días]])*(1+Tabla2[[#This Row],[Hg]])</f>
        <v>5588.6989698484949</v>
      </c>
    </row>
    <row r="745" spans="1:20" ht="14.5" x14ac:dyDescent="0.35">
      <c r="A745">
        <f t="shared" si="121"/>
        <v>744</v>
      </c>
      <c r="B745">
        <f t="shared" ca="1" si="122"/>
        <v>46114</v>
      </c>
      <c r="C745">
        <f t="shared" ca="1" si="123"/>
        <v>46157</v>
      </c>
      <c r="D745">
        <f t="shared" ca="1" si="124"/>
        <v>13</v>
      </c>
      <c r="E745">
        <f t="shared" ca="1" si="125"/>
        <v>0.65642912630707506</v>
      </c>
      <c r="F745">
        <f t="shared" ca="1" si="126"/>
        <v>782.96</v>
      </c>
      <c r="G745" t="str">
        <f t="shared" ca="1" si="127"/>
        <v>hipotecario</v>
      </c>
      <c r="H74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45" t="str">
        <f t="shared" ca="1" si="128"/>
        <v>No</v>
      </c>
      <c r="J74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164999.44522707033</v>
      </c>
      <c r="K745" t="str">
        <f ca="1">IF(Tabla2[[#This Row],[¿cliente deuda abierta?]]="Sí", Tabla2[[#This Row],[Deuda actual]]*Tabla2[[#This Row],[diferencia de días]], "0")</f>
        <v>0</v>
      </c>
      <c r="L74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4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745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745">
        <f t="shared" ca="1" si="129"/>
        <v>1552.74</v>
      </c>
      <c r="P745">
        <f t="shared" ca="1" si="130"/>
        <v>44239.38</v>
      </c>
      <c r="Q745">
        <f t="shared" ca="1" si="131"/>
        <v>0</v>
      </c>
      <c r="R745">
        <f ca="1">((Tabla2[[#This Row],[Fantasma Comunicación]]+1)/(Tabla2[[#This Row],[Fantasma Comunicación]]+RANDBETWEEN(0,5)+2))-0.5</f>
        <v>-0.16666666666666669</v>
      </c>
      <c r="S745">
        <f ca="1">1+MAX(0,Tabla2[[#This Row],[Deuda actual]]/Tabla2[[#This Row],[Liquidez]]+Tabla2[[#This Row],[Liquidez]]/(Tabla2[[#This Row],[Activos]]+Tabla2[[#This Row],[Liquidez]])+Tabla2[[#This Row],[Comunicación]])</f>
        <v>1.3714858978629132</v>
      </c>
      <c r="T745">
        <f ca="1">Tabla2[[#This Row],[Deuda actual]]*EXP(Tabla2[[#This Row],[Ki]]*Tabla2[[#This Row],[diferencia de días]])*(1+Tabla2[[#This Row],[Hg]])</f>
        <v>627.998675759874</v>
      </c>
    </row>
    <row r="746" spans="1:20" ht="14.5" x14ac:dyDescent="0.35">
      <c r="A746">
        <f t="shared" si="121"/>
        <v>745</v>
      </c>
      <c r="B746">
        <f t="shared" ca="1" si="122"/>
        <v>46098</v>
      </c>
      <c r="C746">
        <f t="shared" ca="1" si="123"/>
        <v>46157</v>
      </c>
      <c r="D746">
        <f t="shared" ca="1" si="124"/>
        <v>0</v>
      </c>
      <c r="E746">
        <f t="shared" ca="1" si="125"/>
        <v>0.31591508677768987</v>
      </c>
      <c r="F746">
        <f t="shared" ca="1" si="126"/>
        <v>146.08000000000001</v>
      </c>
      <c r="G746" t="str">
        <f t="shared" ca="1" si="127"/>
        <v>hipotecario</v>
      </c>
      <c r="H74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46" t="str">
        <f t="shared" ca="1" si="128"/>
        <v>Sí</v>
      </c>
      <c r="J74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46">
        <f ca="1">IF(Tabla2[[#This Row],[¿cliente deuda abierta?]]="Sí", Tabla2[[#This Row],[Deuda actual]]*Tabla2[[#This Row],[diferencia de días]], "0")</f>
        <v>0</v>
      </c>
      <c r="L74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4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46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746">
        <f t="shared" ca="1" si="129"/>
        <v>1617.1</v>
      </c>
      <c r="P746">
        <f t="shared" ca="1" si="130"/>
        <v>519926.32</v>
      </c>
      <c r="Q746">
        <f t="shared" ca="1" si="131"/>
        <v>4</v>
      </c>
      <c r="R746">
        <f ca="1">((Tabla2[[#This Row],[Fantasma Comunicación]]+1)/(Tabla2[[#This Row],[Fantasma Comunicación]]+RANDBETWEEN(0,5)+2))-0.5</f>
        <v>0.33333333333333337</v>
      </c>
      <c r="S746">
        <f ca="1">1+MAX(0,Tabla2[[#This Row],[Deuda actual]]/Tabla2[[#This Row],[Liquidez]]+Tabla2[[#This Row],[Liquidez]]/(Tabla2[[#This Row],[Activos]]+Tabla2[[#This Row],[Liquidez]])+Tabla2[[#This Row],[Comunicación]])</f>
        <v>1.4267684875752069</v>
      </c>
      <c r="T746">
        <f ca="1">Tabla2[[#This Row],[Deuda actual]]*EXP(Tabla2[[#This Row],[Ki]]*Tabla2[[#This Row],[diferencia de días]])*(1+Tabla2[[#This Row],[Hg]])</f>
        <v>146.08000000000001</v>
      </c>
    </row>
    <row r="747" spans="1:20" ht="14.5" x14ac:dyDescent="0.35">
      <c r="A747">
        <f t="shared" si="121"/>
        <v>746</v>
      </c>
      <c r="B747">
        <f t="shared" ca="1" si="122"/>
        <v>46116</v>
      </c>
      <c r="C747">
        <f t="shared" ca="1" si="123"/>
        <v>46157</v>
      </c>
      <c r="D747">
        <f t="shared" ca="1" si="124"/>
        <v>15</v>
      </c>
      <c r="E747">
        <f t="shared" ca="1" si="125"/>
        <v>0.23709810097484385</v>
      </c>
      <c r="F747">
        <f t="shared" ca="1" si="126"/>
        <v>1184.6500000000001</v>
      </c>
      <c r="G747" t="str">
        <f t="shared" ca="1" si="127"/>
        <v>hipotecario</v>
      </c>
      <c r="H74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47" t="str">
        <f t="shared" ca="1" si="128"/>
        <v>Sí</v>
      </c>
      <c r="J74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47">
        <f ca="1">IF(Tabla2[[#This Row],[¿cliente deuda abierta?]]="Sí", Tabla2[[#This Row],[Deuda actual]]*Tabla2[[#This Row],[diferencia de días]], "0")</f>
        <v>17769.75</v>
      </c>
      <c r="L74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4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4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47">
        <f t="shared" ca="1" si="129"/>
        <v>1591.93</v>
      </c>
      <c r="P747">
        <f t="shared" ca="1" si="130"/>
        <v>182702.54</v>
      </c>
      <c r="Q747">
        <f t="shared" ca="1" si="131"/>
        <v>5</v>
      </c>
      <c r="R747">
        <f ca="1">((Tabla2[[#This Row],[Fantasma Comunicación]]+1)/(Tabla2[[#This Row],[Fantasma Comunicación]]+RANDBETWEEN(0,5)+2))-0.5</f>
        <v>0.16666666666666663</v>
      </c>
      <c r="S747">
        <f ca="1">1+MAX(0,Tabla2[[#This Row],[Deuda actual]]/Tabla2[[#This Row],[Liquidez]]+Tabla2[[#This Row],[Liquidez]]/(Tabla2[[#This Row],[Activos]]+Tabla2[[#This Row],[Liquidez]])+Tabla2[[#This Row],[Comunicación]])</f>
        <v>1.9194642411153957</v>
      </c>
      <c r="T747">
        <f ca="1">Tabla2[[#This Row],[Deuda actual]]*EXP(Tabla2[[#This Row],[Ki]]*Tabla2[[#This Row],[diferencia de días]])*(1+Tabla2[[#This Row],[Hg]])</f>
        <v>1251.3682297320206</v>
      </c>
    </row>
    <row r="748" spans="1:20" ht="14.5" x14ac:dyDescent="0.35">
      <c r="A748">
        <f t="shared" si="121"/>
        <v>747</v>
      </c>
      <c r="B748">
        <f t="shared" ca="1" si="122"/>
        <v>46113</v>
      </c>
      <c r="C748">
        <f t="shared" ca="1" si="123"/>
        <v>46157</v>
      </c>
      <c r="D748">
        <f t="shared" ca="1" si="124"/>
        <v>19</v>
      </c>
      <c r="E748">
        <f t="shared" ca="1" si="125"/>
        <v>0.28280699701291034</v>
      </c>
      <c r="F748">
        <f t="shared" ca="1" si="126"/>
        <v>62.48</v>
      </c>
      <c r="G748" t="str">
        <f t="shared" ca="1" si="127"/>
        <v>hipotecario</v>
      </c>
      <c r="H74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48" t="str">
        <f t="shared" ca="1" si="128"/>
        <v>Sí</v>
      </c>
      <c r="J74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48">
        <f ca="1">IF(Tabla2[[#This Row],[¿cliente deuda abierta?]]="Sí", Tabla2[[#This Row],[Deuda actual]]*Tabla2[[#This Row],[diferencia de días]], "0")</f>
        <v>1187.1199999999999</v>
      </c>
      <c r="L74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4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4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48">
        <f t="shared" ca="1" si="129"/>
        <v>2083.25</v>
      </c>
      <c r="P748">
        <f t="shared" ca="1" si="130"/>
        <v>230438.69</v>
      </c>
      <c r="Q748">
        <f t="shared" ca="1" si="131"/>
        <v>3</v>
      </c>
      <c r="R748">
        <f ca="1">((Tabla2[[#This Row],[Fantasma Comunicación]]+1)/(Tabla2[[#This Row],[Fantasma Comunicación]]+RANDBETWEEN(0,5)+2))-0.5</f>
        <v>0.16666666666666663</v>
      </c>
      <c r="S748">
        <f ca="1">1+MAX(0,Tabla2[[#This Row],[Deuda actual]]/Tabla2[[#This Row],[Liquidez]]+Tabla2[[#This Row],[Liquidez]]/(Tabla2[[#This Row],[Activos]]+Tabla2[[#This Row],[Liquidez]])+Tabla2[[#This Row],[Comunicación]])</f>
        <v>1.205617635928206</v>
      </c>
      <c r="T748">
        <f ca="1">Tabla2[[#This Row],[Deuda actual]]*EXP(Tabla2[[#This Row],[Ki]]*Tabla2[[#This Row],[diferencia de días]])*(1+Tabla2[[#This Row],[Hg]])</f>
        <v>66.104489852417018</v>
      </c>
    </row>
    <row r="749" spans="1:20" ht="14.5" x14ac:dyDescent="0.35">
      <c r="A749">
        <f t="shared" si="121"/>
        <v>748</v>
      </c>
      <c r="B749">
        <f t="shared" ca="1" si="122"/>
        <v>46095</v>
      </c>
      <c r="C749">
        <f t="shared" ca="1" si="123"/>
        <v>46157</v>
      </c>
      <c r="D749">
        <f t="shared" ca="1" si="124"/>
        <v>17</v>
      </c>
      <c r="E749">
        <f t="shared" ca="1" si="125"/>
        <v>0.39264358708712899</v>
      </c>
      <c r="F749">
        <f t="shared" ca="1" si="126"/>
        <v>6171.17</v>
      </c>
      <c r="G749" t="str">
        <f t="shared" ca="1" si="127"/>
        <v>hipotecario</v>
      </c>
      <c r="H74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49" t="str">
        <f t="shared" ca="1" si="128"/>
        <v>Sí</v>
      </c>
      <c r="J74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49">
        <f ca="1">IF(Tabla2[[#This Row],[¿cliente deuda abierta?]]="Sí", Tabla2[[#This Row],[Deuda actual]]*Tabla2[[#This Row],[diferencia de días]], "0")</f>
        <v>104909.89</v>
      </c>
      <c r="L74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74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49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749">
        <f t="shared" ca="1" si="129"/>
        <v>1505.39</v>
      </c>
      <c r="P749">
        <f t="shared" ca="1" si="130"/>
        <v>149663.5</v>
      </c>
      <c r="Q749">
        <f t="shared" ca="1" si="131"/>
        <v>3</v>
      </c>
      <c r="R749">
        <f ca="1">((Tabla2[[#This Row],[Fantasma Comunicación]]+1)/(Tabla2[[#This Row],[Fantasma Comunicación]]+RANDBETWEEN(0,5)+2))-0.5</f>
        <v>-5.555555555555558E-2</v>
      </c>
      <c r="S749">
        <f ca="1">1+MAX(0,Tabla2[[#This Row],[Deuda actual]]/Tabla2[[#This Row],[Liquidez]]+Tabla2[[#This Row],[Liquidez]]/(Tabla2[[#This Row],[Activos]]+Tabla2[[#This Row],[Liquidez]])+Tabla2[[#This Row],[Comunicación]])</f>
        <v>5.0537856606491118</v>
      </c>
      <c r="T749">
        <f ca="1">Tabla2[[#This Row],[Deuda actual]]*EXP(Tabla2[[#This Row],[Ki]]*Tabla2[[#This Row],[diferencia de días]])*(1+Tabla2[[#This Row],[Hg]])</f>
        <v>7145.2685010136256</v>
      </c>
    </row>
    <row r="750" spans="1:20" ht="14.5" x14ac:dyDescent="0.35">
      <c r="A750">
        <f t="shared" si="121"/>
        <v>749</v>
      </c>
      <c r="B750">
        <f t="shared" ca="1" si="122"/>
        <v>46129</v>
      </c>
      <c r="C750">
        <f t="shared" ca="1" si="123"/>
        <v>46157</v>
      </c>
      <c r="D750">
        <f t="shared" ca="1" si="124"/>
        <v>23</v>
      </c>
      <c r="E750">
        <f t="shared" ca="1" si="125"/>
        <v>0.18067671807509211</v>
      </c>
      <c r="F750">
        <f t="shared" ca="1" si="126"/>
        <v>5461.76</v>
      </c>
      <c r="G750" t="str">
        <f t="shared" ca="1" si="127"/>
        <v>personal</v>
      </c>
      <c r="H75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50" t="str">
        <f t="shared" ca="1" si="128"/>
        <v>Sí</v>
      </c>
      <c r="J75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50">
        <f ca="1">IF(Tabla2[[#This Row],[¿cliente deuda abierta?]]="Sí", Tabla2[[#This Row],[Deuda actual]]*Tabla2[[#This Row],[diferencia de días]], "0")</f>
        <v>125620.48000000001</v>
      </c>
      <c r="L75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75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50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750">
        <f t="shared" ca="1" si="129"/>
        <v>1445.92</v>
      </c>
      <c r="P750">
        <f t="shared" ca="1" si="130"/>
        <v>31876.67</v>
      </c>
      <c r="Q750">
        <f t="shared" ca="1" si="131"/>
        <v>4</v>
      </c>
      <c r="R750">
        <f ca="1">((Tabla2[[#This Row],[Fantasma Comunicación]]+1)/(Tabla2[[#This Row],[Fantasma Comunicación]]+RANDBETWEEN(0,5)+2))-0.5</f>
        <v>-4.545454545454547E-2</v>
      </c>
      <c r="S750">
        <f ca="1">1+MAX(0,Tabla2[[#This Row],[Deuda actual]]/Tabla2[[#This Row],[Liquidez]]+Tabla2[[#This Row],[Liquidez]]/(Tabla2[[#This Row],[Activos]]+Tabla2[[#This Row],[Liquidez]])+Tabla2[[#This Row],[Comunicación]])</f>
        <v>4.7752967829309707</v>
      </c>
      <c r="T750">
        <f ca="1">Tabla2[[#This Row],[Deuda actual]]*EXP(Tabla2[[#This Row],[Ki]]*Tabla2[[#This Row],[diferencia de días]])*(1+Tabla2[[#This Row],[Hg]])</f>
        <v>6339.0760507736713</v>
      </c>
    </row>
    <row r="751" spans="1:20" ht="14.5" x14ac:dyDescent="0.35">
      <c r="A751">
        <f t="shared" si="121"/>
        <v>750</v>
      </c>
      <c r="B751">
        <f t="shared" ca="1" si="122"/>
        <v>46123</v>
      </c>
      <c r="C751">
        <f t="shared" ca="1" si="123"/>
        <v>46157</v>
      </c>
      <c r="D751">
        <f t="shared" ca="1" si="124"/>
        <v>12</v>
      </c>
      <c r="E751">
        <f t="shared" ca="1" si="125"/>
        <v>0.86121769755082467</v>
      </c>
      <c r="F751">
        <f t="shared" ca="1" si="126"/>
        <v>1365.88</v>
      </c>
      <c r="G751" t="str">
        <f t="shared" ca="1" si="127"/>
        <v>hipotecario</v>
      </c>
      <c r="H75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51" t="str">
        <f t="shared" ca="1" si="128"/>
        <v>Sí</v>
      </c>
      <c r="J75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51">
        <f ca="1">IF(Tabla2[[#This Row],[¿cliente deuda abierta?]]="Sí", Tabla2[[#This Row],[Deuda actual]]*Tabla2[[#This Row],[diferencia de días]], "0")</f>
        <v>16390.560000000001</v>
      </c>
      <c r="L75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5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5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51">
        <f t="shared" ca="1" si="129"/>
        <v>1516.36</v>
      </c>
      <c r="P751">
        <f t="shared" ca="1" si="130"/>
        <v>145059.49</v>
      </c>
      <c r="Q751">
        <f t="shared" ca="1" si="131"/>
        <v>0</v>
      </c>
      <c r="R751">
        <f ca="1">((Tabla2[[#This Row],[Fantasma Comunicación]]+1)/(Tabla2[[#This Row],[Fantasma Comunicación]]+RANDBETWEEN(0,5)+2))-0.5</f>
        <v>0</v>
      </c>
      <c r="S751">
        <f ca="1">1+MAX(0,Tabla2[[#This Row],[Deuda actual]]/Tabla2[[#This Row],[Liquidez]]+Tabla2[[#This Row],[Liquidez]]/(Tabla2[[#This Row],[Activos]]+Tabla2[[#This Row],[Liquidez]])+Tabla2[[#This Row],[Comunicación]])</f>
        <v>1.9111075759396239</v>
      </c>
      <c r="T751">
        <f ca="1">Tabla2[[#This Row],[Deuda actual]]*EXP(Tabla2[[#This Row],[Ki]]*Tabla2[[#This Row],[diferencia de días]])*(1+Tabla2[[#This Row],[Hg]])</f>
        <v>1437.6201513274405</v>
      </c>
    </row>
    <row r="752" spans="1:20" ht="14.5" x14ac:dyDescent="0.35">
      <c r="A752">
        <f t="shared" si="121"/>
        <v>751</v>
      </c>
      <c r="B752">
        <f t="shared" ca="1" si="122"/>
        <v>46108</v>
      </c>
      <c r="C752">
        <f t="shared" ca="1" si="123"/>
        <v>46157</v>
      </c>
      <c r="D752">
        <f t="shared" ca="1" si="124"/>
        <v>15</v>
      </c>
      <c r="E752">
        <f t="shared" ca="1" si="125"/>
        <v>0.47813090820360438</v>
      </c>
      <c r="F752">
        <f t="shared" ca="1" si="126"/>
        <v>108.68</v>
      </c>
      <c r="G752" t="str">
        <f t="shared" ca="1" si="127"/>
        <v>personal</v>
      </c>
      <c r="H75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52" t="str">
        <f t="shared" ca="1" si="128"/>
        <v>Sí</v>
      </c>
      <c r="J75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52">
        <f ca="1">IF(Tabla2[[#This Row],[¿cliente deuda abierta?]]="Sí", Tabla2[[#This Row],[Deuda actual]]*Tabla2[[#This Row],[diferencia de días]], "0")</f>
        <v>1630.2</v>
      </c>
      <c r="L75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5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5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52">
        <f t="shared" ca="1" si="129"/>
        <v>1792.06</v>
      </c>
      <c r="P752">
        <f t="shared" ca="1" si="130"/>
        <v>130709.37</v>
      </c>
      <c r="Q752">
        <f t="shared" ca="1" si="131"/>
        <v>5</v>
      </c>
      <c r="R752">
        <f ca="1">((Tabla2[[#This Row],[Fantasma Comunicación]]+1)/(Tabla2[[#This Row],[Fantasma Comunicación]]+RANDBETWEEN(0,5)+2))-0.5</f>
        <v>0</v>
      </c>
      <c r="S752">
        <f ca="1">1+MAX(0,Tabla2[[#This Row],[Deuda actual]]/Tabla2[[#This Row],[Liquidez]]+Tabla2[[#This Row],[Liquidez]]/(Tabla2[[#This Row],[Activos]]+Tabla2[[#This Row],[Liquidez]])+Tabla2[[#This Row],[Comunicación]])</f>
        <v>1.0741701260602081</v>
      </c>
      <c r="T752">
        <f ca="1">Tabla2[[#This Row],[Deuda actual]]*EXP(Tabla2[[#This Row],[Ki]]*Tabla2[[#This Row],[diferencia de días]])*(1+Tabla2[[#This Row],[Hg]])</f>
        <v>114.80074216627357</v>
      </c>
    </row>
    <row r="753" spans="1:20" ht="14.5" x14ac:dyDescent="0.35">
      <c r="A753">
        <f t="shared" si="121"/>
        <v>752</v>
      </c>
      <c r="B753">
        <f t="shared" ca="1" si="122"/>
        <v>46137</v>
      </c>
      <c r="C753">
        <f t="shared" ca="1" si="123"/>
        <v>46157</v>
      </c>
      <c r="D753">
        <f t="shared" ca="1" si="124"/>
        <v>4</v>
      </c>
      <c r="E753">
        <f t="shared" ca="1" si="125"/>
        <v>0.78189909587533679</v>
      </c>
      <c r="F753">
        <f t="shared" ca="1" si="126"/>
        <v>372.58</v>
      </c>
      <c r="G753" t="str">
        <f t="shared" ca="1" si="127"/>
        <v>personal</v>
      </c>
      <c r="H75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53" t="str">
        <f t="shared" ca="1" si="128"/>
        <v>No</v>
      </c>
      <c r="J75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12001.959440528412</v>
      </c>
      <c r="K753" t="str">
        <f ca="1">IF(Tabla2[[#This Row],[¿cliente deuda abierta?]]="Sí", Tabla2[[#This Row],[Deuda actual]]*Tabla2[[#This Row],[diferencia de días]], "0")</f>
        <v>0</v>
      </c>
      <c r="L75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5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5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53">
        <f t="shared" ca="1" si="129"/>
        <v>1035.8499999999999</v>
      </c>
      <c r="P753">
        <f t="shared" ca="1" si="130"/>
        <v>66954.64</v>
      </c>
      <c r="Q753">
        <f t="shared" ca="1" si="131"/>
        <v>2</v>
      </c>
      <c r="R753">
        <f ca="1">((Tabla2[[#This Row],[Fantasma Comunicación]]+1)/(Tabla2[[#This Row],[Fantasma Comunicación]]+RANDBETWEEN(0,5)+2))-0.5</f>
        <v>0</v>
      </c>
      <c r="S753">
        <f ca="1">1+MAX(0,Tabla2[[#This Row],[Deuda actual]]/Tabla2[[#This Row],[Liquidez]]+Tabla2[[#This Row],[Liquidez]]/(Tabla2[[#This Row],[Activos]]+Tabla2[[#This Row],[Liquidez]])+Tabla2[[#This Row],[Comunicación]])</f>
        <v>1.3749205015436101</v>
      </c>
      <c r="T753">
        <f ca="1">Tabla2[[#This Row],[Deuda actual]]*EXP(Tabla2[[#This Row],[Ki]]*Tabla2[[#This Row],[diferencia de días]])*(1+Tabla2[[#This Row],[Hg]])</f>
        <v>335.59036493165985</v>
      </c>
    </row>
    <row r="754" spans="1:20" ht="14.5" x14ac:dyDescent="0.35">
      <c r="A754">
        <f t="shared" si="121"/>
        <v>753</v>
      </c>
      <c r="B754">
        <f t="shared" ca="1" si="122"/>
        <v>46129</v>
      </c>
      <c r="C754">
        <f t="shared" ca="1" si="123"/>
        <v>46157</v>
      </c>
      <c r="D754">
        <f t="shared" ca="1" si="124"/>
        <v>19</v>
      </c>
      <c r="E754">
        <f t="shared" ca="1" si="125"/>
        <v>0.68172009226346908</v>
      </c>
      <c r="F754">
        <f t="shared" ca="1" si="126"/>
        <v>1401.95</v>
      </c>
      <c r="G754" t="str">
        <f t="shared" ca="1" si="127"/>
        <v>hipotecario</v>
      </c>
      <c r="H75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54" t="str">
        <f t="shared" ca="1" si="128"/>
        <v>Sí</v>
      </c>
      <c r="J75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54">
        <f ca="1">IF(Tabla2[[#This Row],[¿cliente deuda abierta?]]="Sí", Tabla2[[#This Row],[Deuda actual]]*Tabla2[[#This Row],[diferencia de días]], "0")</f>
        <v>26637.05</v>
      </c>
      <c r="L75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5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5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54">
        <f t="shared" ca="1" si="129"/>
        <v>2266.13</v>
      </c>
      <c r="P754">
        <f t="shared" ca="1" si="130"/>
        <v>122550.09</v>
      </c>
      <c r="Q754">
        <f t="shared" ca="1" si="131"/>
        <v>2</v>
      </c>
      <c r="R754">
        <f ca="1">((Tabla2[[#This Row],[Fantasma Comunicación]]+1)/(Tabla2[[#This Row],[Fantasma Comunicación]]+RANDBETWEEN(0,5)+2))-0.5</f>
        <v>-0.125</v>
      </c>
      <c r="S754">
        <f ca="1">1+MAX(0,Tabla2[[#This Row],[Deuda actual]]/Tabla2[[#This Row],[Liquidez]]+Tabla2[[#This Row],[Liquidez]]/(Tabla2[[#This Row],[Activos]]+Tabla2[[#This Row],[Liquidez]])+Tabla2[[#This Row],[Comunicación]])</f>
        <v>1.5118095616181901</v>
      </c>
      <c r="T754">
        <f ca="1">Tabla2[[#This Row],[Deuda actual]]*EXP(Tabla2[[#This Row],[Ki]]*Tabla2[[#This Row],[diferencia de días]])*(1+Tabla2[[#This Row],[Hg]])</f>
        <v>1483.2776816356602</v>
      </c>
    </row>
    <row r="755" spans="1:20" ht="14.5" x14ac:dyDescent="0.35">
      <c r="A755">
        <f t="shared" si="121"/>
        <v>754</v>
      </c>
      <c r="B755">
        <f t="shared" ca="1" si="122"/>
        <v>46110</v>
      </c>
      <c r="C755">
        <f t="shared" ca="1" si="123"/>
        <v>46157</v>
      </c>
      <c r="D755">
        <f t="shared" ca="1" si="124"/>
        <v>35</v>
      </c>
      <c r="E755">
        <f t="shared" ca="1" si="125"/>
        <v>0.56527399652003374</v>
      </c>
      <c r="F755">
        <f t="shared" ca="1" si="126"/>
        <v>1386.27</v>
      </c>
      <c r="G755" t="str">
        <f t="shared" ca="1" si="127"/>
        <v>hipotecario</v>
      </c>
      <c r="H75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755" t="str">
        <f t="shared" ca="1" si="128"/>
        <v>Sí</v>
      </c>
      <c r="J75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55">
        <f ca="1">IF(Tabla2[[#This Row],[¿cliente deuda abierta?]]="Sí", Tabla2[[#This Row],[Deuda actual]]*Tabla2[[#This Row],[diferencia de días]], "0")</f>
        <v>48519.45</v>
      </c>
      <c r="L75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75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55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755">
        <f t="shared" ca="1" si="129"/>
        <v>1634.6</v>
      </c>
      <c r="P755">
        <f t="shared" ca="1" si="130"/>
        <v>124209.07</v>
      </c>
      <c r="Q755">
        <f t="shared" ca="1" si="131"/>
        <v>1</v>
      </c>
      <c r="R755">
        <f ca="1">((Tabla2[[#This Row],[Fantasma Comunicación]]+1)/(Tabla2[[#This Row],[Fantasma Comunicación]]+RANDBETWEEN(0,5)+2))-0.5</f>
        <v>-0.16666666666666669</v>
      </c>
      <c r="S755">
        <f ca="1">1+MAX(0,Tabla2[[#This Row],[Deuda actual]]/Tabla2[[#This Row],[Liquidez]]+Tabla2[[#This Row],[Liquidez]]/(Tabla2[[#This Row],[Activos]]+Tabla2[[#This Row],[Liquidez]])+Tabla2[[#This Row],[Comunicación]])</f>
        <v>1.6944015057514894</v>
      </c>
      <c r="T755">
        <f ca="1">Tabla2[[#This Row],[Deuda actual]]*EXP(Tabla2[[#This Row],[Ki]]*Tabla2[[#This Row],[diferencia de días]])*(1+Tabla2[[#This Row],[Hg]])</f>
        <v>1579.2133870894193</v>
      </c>
    </row>
    <row r="756" spans="1:20" ht="14.5" x14ac:dyDescent="0.35">
      <c r="A756">
        <f t="shared" si="121"/>
        <v>755</v>
      </c>
      <c r="B756">
        <f t="shared" ca="1" si="122"/>
        <v>46122</v>
      </c>
      <c r="C756">
        <f t="shared" ca="1" si="123"/>
        <v>46157</v>
      </c>
      <c r="D756">
        <f t="shared" ca="1" si="124"/>
        <v>23</v>
      </c>
      <c r="E756">
        <f t="shared" ca="1" si="125"/>
        <v>0.19995111313464908</v>
      </c>
      <c r="F756">
        <f t="shared" ca="1" si="126"/>
        <v>10000</v>
      </c>
      <c r="G756" t="str">
        <f t="shared" ca="1" si="127"/>
        <v>personal</v>
      </c>
      <c r="H75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56" t="str">
        <f t="shared" ca="1" si="128"/>
        <v>Sí</v>
      </c>
      <c r="J75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56">
        <f ca="1">IF(Tabla2[[#This Row],[¿cliente deuda abierta?]]="Sí", Tabla2[[#This Row],[Deuda actual]]*Tabla2[[#This Row],[diferencia de días]], "0")</f>
        <v>230000</v>
      </c>
      <c r="L75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0.2</v>
      </c>
      <c r="M75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56">
        <f ca="1">MAX(Tabla2[[#This Row],[VALORES DE Hg para actuales deudores]:[Valores de HG para deudores cerrados]])*IF(Tabla2[[#This Row],[VALORES DE Hg para actuales deudores]]&gt;Tabla2[[#This Row],[Valores de HG para deudores cerrados]],-1,1)</f>
        <v>0.2</v>
      </c>
      <c r="O756">
        <f t="shared" ca="1" si="129"/>
        <v>1338.08</v>
      </c>
      <c r="P756">
        <f t="shared" ca="1" si="130"/>
        <v>284155.90000000002</v>
      </c>
      <c r="Q756">
        <f t="shared" ca="1" si="131"/>
        <v>5</v>
      </c>
      <c r="R756">
        <f ca="1">((Tabla2[[#This Row],[Fantasma Comunicación]]+1)/(Tabla2[[#This Row],[Fantasma Comunicación]]+RANDBETWEEN(0,5)+2))-0.5</f>
        <v>0</v>
      </c>
      <c r="S756">
        <f ca="1">1+MAX(0,Tabla2[[#This Row],[Deuda actual]]/Tabla2[[#This Row],[Liquidez]]+Tabla2[[#This Row],[Liquidez]]/(Tabla2[[#This Row],[Activos]]+Tabla2[[#This Row],[Liquidez]])+Tabla2[[#This Row],[Comunicación]])</f>
        <v>8.478081608738556</v>
      </c>
      <c r="T756">
        <f ca="1">Tabla2[[#This Row],[Deuda actual]]*EXP(Tabla2[[#This Row],[Ki]]*Tabla2[[#This Row],[diferencia de días]])*(1+Tabla2[[#This Row],[Hg]])</f>
        <v>12110.909400964565</v>
      </c>
    </row>
    <row r="757" spans="1:20" ht="14.5" x14ac:dyDescent="0.35">
      <c r="A757">
        <f t="shared" si="121"/>
        <v>756</v>
      </c>
      <c r="B757">
        <f t="shared" ca="1" si="122"/>
        <v>46127</v>
      </c>
      <c r="C757">
        <f t="shared" ca="1" si="123"/>
        <v>46157</v>
      </c>
      <c r="D757">
        <f t="shared" ca="1" si="124"/>
        <v>18</v>
      </c>
      <c r="E757">
        <f t="shared" ca="1" si="125"/>
        <v>0.80492435769838744</v>
      </c>
      <c r="F757">
        <f t="shared" ca="1" si="126"/>
        <v>1018.33</v>
      </c>
      <c r="G757" t="str">
        <f t="shared" ca="1" si="127"/>
        <v>hipotecario</v>
      </c>
      <c r="H75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57" t="str">
        <f t="shared" ca="1" si="128"/>
        <v>No</v>
      </c>
      <c r="J75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165000.10265778206</v>
      </c>
      <c r="K757" t="str">
        <f ca="1">IF(Tabla2[[#This Row],[¿cliente deuda abierta?]]="Sí", Tabla2[[#This Row],[Deuda actual]]*Tabla2[[#This Row],[diferencia de días]], "0")</f>
        <v>0</v>
      </c>
      <c r="L75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5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75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757">
        <f t="shared" ca="1" si="129"/>
        <v>1629.86</v>
      </c>
      <c r="P757">
        <f t="shared" ca="1" si="130"/>
        <v>10288.76</v>
      </c>
      <c r="Q757">
        <f t="shared" ca="1" si="131"/>
        <v>3</v>
      </c>
      <c r="R757">
        <f ca="1">((Tabla2[[#This Row],[Fantasma Comunicación]]+1)/(Tabla2[[#This Row],[Fantasma Comunicación]]+RANDBETWEEN(0,5)+2))-0.5</f>
        <v>-5.555555555555558E-2</v>
      </c>
      <c r="S757">
        <f ca="1">1+MAX(0,Tabla2[[#This Row],[Deuda actual]]/Tabla2[[#This Row],[Liquidez]]+Tabla2[[#This Row],[Liquidez]]/(Tabla2[[#This Row],[Activos]]+Tabla2[[#This Row],[Liquidez]])+Tabla2[[#This Row],[Comunicación]])</f>
        <v>1.7059894923546546</v>
      </c>
      <c r="T757">
        <f ca="1">Tabla2[[#This Row],[Deuda actual]]*EXP(Tabla2[[#This Row],[Ki]]*Tabla2[[#This Row],[diferencia de días]])*(1+Tabla2[[#This Row],[Hg]])</f>
        <v>820.55074766085136</v>
      </c>
    </row>
    <row r="758" spans="1:20" ht="14.5" x14ac:dyDescent="0.35">
      <c r="A758">
        <f t="shared" si="121"/>
        <v>757</v>
      </c>
      <c r="B758">
        <f t="shared" ca="1" si="122"/>
        <v>46122</v>
      </c>
      <c r="C758">
        <f t="shared" ca="1" si="123"/>
        <v>46157</v>
      </c>
      <c r="D758">
        <f t="shared" ca="1" si="124"/>
        <v>9</v>
      </c>
      <c r="E758">
        <f t="shared" ca="1" si="125"/>
        <v>0.88860111769564398</v>
      </c>
      <c r="F758">
        <f t="shared" ca="1" si="126"/>
        <v>4134.34</v>
      </c>
      <c r="G758" t="str">
        <f t="shared" ca="1" si="127"/>
        <v>personal</v>
      </c>
      <c r="H75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58" t="str">
        <f t="shared" ca="1" si="128"/>
        <v>Sí</v>
      </c>
      <c r="J75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58">
        <f ca="1">IF(Tabla2[[#This Row],[¿cliente deuda abierta?]]="Sí", Tabla2[[#This Row],[Deuda actual]]*Tabla2[[#This Row],[diferencia de días]], "0")</f>
        <v>37209.06</v>
      </c>
      <c r="L75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75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58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758">
        <f t="shared" ca="1" si="129"/>
        <v>2062.3200000000002</v>
      </c>
      <c r="P758">
        <f t="shared" ca="1" si="130"/>
        <v>953846.06</v>
      </c>
      <c r="Q758">
        <f t="shared" ca="1" si="131"/>
        <v>2</v>
      </c>
      <c r="R758">
        <f ca="1">((Tabla2[[#This Row],[Fantasma Comunicación]]+1)/(Tabla2[[#This Row],[Fantasma Comunicación]]+RANDBETWEEN(0,5)+2))-0.5</f>
        <v>-0.125</v>
      </c>
      <c r="S758">
        <f ca="1">1+MAX(0,Tabla2[[#This Row],[Deuda actual]]/Tabla2[[#This Row],[Liquidez]]+Tabla2[[#This Row],[Liquidez]]/(Tabla2[[#This Row],[Activos]]+Tabla2[[#This Row],[Liquidez]])+Tabla2[[#This Row],[Comunicación]])</f>
        <v>2.8818608860415518</v>
      </c>
      <c r="T758">
        <f ca="1">Tabla2[[#This Row],[Deuda actual]]*EXP(Tabla2[[#This Row],[Ki]]*Tabla2[[#This Row],[diferencia de días]])*(1+Tabla2[[#This Row],[Hg]])</f>
        <v>4555.9673650163068</v>
      </c>
    </row>
    <row r="759" spans="1:20" ht="14.5" x14ac:dyDescent="0.35">
      <c r="A759">
        <f t="shared" si="121"/>
        <v>758</v>
      </c>
      <c r="B759">
        <f t="shared" ca="1" si="122"/>
        <v>46092</v>
      </c>
      <c r="C759">
        <f t="shared" ca="1" si="123"/>
        <v>46157</v>
      </c>
      <c r="D759">
        <f t="shared" ca="1" si="124"/>
        <v>35</v>
      </c>
      <c r="E759">
        <f t="shared" ca="1" si="125"/>
        <v>0.89101335473028354</v>
      </c>
      <c r="F759">
        <f t="shared" ca="1" si="126"/>
        <v>5032.5200000000004</v>
      </c>
      <c r="G759" t="str">
        <f t="shared" ca="1" si="127"/>
        <v>personal</v>
      </c>
      <c r="H75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759" t="str">
        <f t="shared" ca="1" si="128"/>
        <v>No</v>
      </c>
      <c r="J75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12001.448033752296</v>
      </c>
      <c r="K759" t="str">
        <f ca="1">IF(Tabla2[[#This Row],[¿cliente deuda abierta?]]="Sí", Tabla2[[#This Row],[Deuda actual]]*Tabla2[[#This Row],[diferencia de días]], "0")</f>
        <v>0</v>
      </c>
      <c r="L75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5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59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59">
        <f t="shared" ca="1" si="129"/>
        <v>2162.65</v>
      </c>
      <c r="P759">
        <f t="shared" ca="1" si="130"/>
        <v>197221.72</v>
      </c>
      <c r="Q759">
        <f t="shared" ca="1" si="131"/>
        <v>3</v>
      </c>
      <c r="R759">
        <f ca="1">((Tabla2[[#This Row],[Fantasma Comunicación]]+1)/(Tabla2[[#This Row],[Fantasma Comunicación]]+RANDBETWEEN(0,5)+2))-0.5</f>
        <v>0</v>
      </c>
      <c r="S759">
        <f ca="1">1+MAX(0,Tabla2[[#This Row],[Deuda actual]]/Tabla2[[#This Row],[Liquidez]]+Tabla2[[#This Row],[Liquidez]]/(Tabla2[[#This Row],[Activos]]+Tabla2[[#This Row],[Liquidez]])+Tabla2[[#This Row],[Comunicación]])</f>
        <v>3.3378621047126869</v>
      </c>
      <c r="T759">
        <f ca="1">Tabla2[[#This Row],[Deuda actual]]*EXP(Tabla2[[#This Row],[Ki]]*Tabla2[[#This Row],[diferencia de días]])*(1+Tabla2[[#This Row],[Hg]])</f>
        <v>4690.5992072354529</v>
      </c>
    </row>
    <row r="760" spans="1:20" ht="14.5" x14ac:dyDescent="0.35">
      <c r="A760">
        <f t="shared" si="121"/>
        <v>759</v>
      </c>
      <c r="B760">
        <f t="shared" ca="1" si="122"/>
        <v>46089</v>
      </c>
      <c r="C760">
        <f t="shared" ca="1" si="123"/>
        <v>46157</v>
      </c>
      <c r="D760">
        <f t="shared" ca="1" si="124"/>
        <v>1</v>
      </c>
      <c r="E760">
        <f t="shared" ca="1" si="125"/>
        <v>0.97646267823633914</v>
      </c>
      <c r="F760">
        <f t="shared" ca="1" si="126"/>
        <v>300.66000000000003</v>
      </c>
      <c r="G760" t="str">
        <f t="shared" ca="1" si="127"/>
        <v>personal</v>
      </c>
      <c r="H76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60" t="str">
        <f t="shared" ca="1" si="128"/>
        <v>Sí</v>
      </c>
      <c r="J76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60">
        <f ca="1">IF(Tabla2[[#This Row],[¿cliente deuda abierta?]]="Sí", Tabla2[[#This Row],[Deuda actual]]*Tabla2[[#This Row],[diferencia de días]], "0")</f>
        <v>300.66000000000003</v>
      </c>
      <c r="L76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6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6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60">
        <f t="shared" ca="1" si="129"/>
        <v>1634.16</v>
      </c>
      <c r="P760">
        <f t="shared" ca="1" si="130"/>
        <v>61223.99</v>
      </c>
      <c r="Q760">
        <f t="shared" ca="1" si="131"/>
        <v>2</v>
      </c>
      <c r="R760">
        <f ca="1">((Tabla2[[#This Row],[Fantasma Comunicación]]+1)/(Tabla2[[#This Row],[Fantasma Comunicación]]+RANDBETWEEN(0,5)+2))-0.5</f>
        <v>-0.16666666666666669</v>
      </c>
      <c r="S760">
        <f ca="1">1+MAX(0,Tabla2[[#This Row],[Deuda actual]]/Tabla2[[#This Row],[Liquidez]]+Tabla2[[#This Row],[Liquidez]]/(Tabla2[[#This Row],[Activos]]+Tabla2[[#This Row],[Liquidez]])+Tabla2[[#This Row],[Comunicación]])</f>
        <v>1.0433153491500675</v>
      </c>
      <c r="T760">
        <f ca="1">Tabla2[[#This Row],[Deuda actual]]*EXP(Tabla2[[#This Row],[Ki]]*Tabla2[[#This Row],[diferencia de días]])*(1+Tabla2[[#This Row],[Hg]])</f>
        <v>315.75614491428098</v>
      </c>
    </row>
    <row r="761" spans="1:20" ht="14.5" x14ac:dyDescent="0.35">
      <c r="A761">
        <f t="shared" si="121"/>
        <v>760</v>
      </c>
      <c r="B761">
        <f t="shared" ca="1" si="122"/>
        <v>46131</v>
      </c>
      <c r="C761">
        <f t="shared" ca="1" si="123"/>
        <v>46157</v>
      </c>
      <c r="D761">
        <f t="shared" ca="1" si="124"/>
        <v>14</v>
      </c>
      <c r="E761">
        <f t="shared" ca="1" si="125"/>
        <v>0.45572317067068269</v>
      </c>
      <c r="F761">
        <f t="shared" ca="1" si="126"/>
        <v>7305.17</v>
      </c>
      <c r="G761" t="str">
        <f t="shared" ca="1" si="127"/>
        <v>personal</v>
      </c>
      <c r="H76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61" t="str">
        <f t="shared" ca="1" si="128"/>
        <v>Sí</v>
      </c>
      <c r="J76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61">
        <f ca="1">IF(Tabla2[[#This Row],[¿cliente deuda abierta?]]="Sí", Tabla2[[#This Row],[Deuda actual]]*Tabla2[[#This Row],[diferencia de días]], "0")</f>
        <v>102272.38</v>
      </c>
      <c r="L76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76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61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761">
        <f t="shared" ca="1" si="129"/>
        <v>1548</v>
      </c>
      <c r="P761">
        <f t="shared" ca="1" si="130"/>
        <v>128039.77</v>
      </c>
      <c r="Q761">
        <f t="shared" ca="1" si="131"/>
        <v>3</v>
      </c>
      <c r="R761">
        <f ca="1">((Tabla2[[#This Row],[Fantasma Comunicación]]+1)/(Tabla2[[#This Row],[Fantasma Comunicación]]+RANDBETWEEN(0,5)+2))-0.5</f>
        <v>0.16666666666666663</v>
      </c>
      <c r="S761">
        <f ca="1">1+MAX(0,Tabla2[[#This Row],[Deuda actual]]/Tabla2[[#This Row],[Liquidez]]+Tabla2[[#This Row],[Liquidez]]/(Tabla2[[#This Row],[Activos]]+Tabla2[[#This Row],[Liquidez]])+Tabla2[[#This Row],[Comunicación]])</f>
        <v>5.8977143055657324</v>
      </c>
      <c r="T761">
        <f ca="1">Tabla2[[#This Row],[Deuda actual]]*EXP(Tabla2[[#This Row],[Ki]]*Tabla2[[#This Row],[diferencia de días]])*(1+Tabla2[[#This Row],[Hg]])</f>
        <v>8424.5011098641462</v>
      </c>
    </row>
    <row r="762" spans="1:20" ht="14.5" x14ac:dyDescent="0.35">
      <c r="A762">
        <f t="shared" si="121"/>
        <v>761</v>
      </c>
      <c r="B762">
        <f t="shared" ca="1" si="122"/>
        <v>46086</v>
      </c>
      <c r="C762">
        <f t="shared" ca="1" si="123"/>
        <v>46157</v>
      </c>
      <c r="D762">
        <f t="shared" ca="1" si="124"/>
        <v>21</v>
      </c>
      <c r="E762">
        <f t="shared" ca="1" si="125"/>
        <v>0.65689746013313</v>
      </c>
      <c r="F762">
        <f t="shared" ca="1" si="126"/>
        <v>4884.84</v>
      </c>
      <c r="G762" t="str">
        <f t="shared" ca="1" si="127"/>
        <v>hipotecario</v>
      </c>
      <c r="H76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62" t="str">
        <f t="shared" ca="1" si="128"/>
        <v>No</v>
      </c>
      <c r="J76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164999.90664988215</v>
      </c>
      <c r="K762" t="str">
        <f ca="1">IF(Tabla2[[#This Row],[¿cliente deuda abierta?]]="Sí", Tabla2[[#This Row],[Deuda actual]]*Tabla2[[#This Row],[diferencia de días]], "0")</f>
        <v>0</v>
      </c>
      <c r="L76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6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76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762">
        <f t="shared" ca="1" si="129"/>
        <v>1393.32</v>
      </c>
      <c r="P762">
        <f t="shared" ca="1" si="130"/>
        <v>62662.58</v>
      </c>
      <c r="Q762">
        <f t="shared" ca="1" si="131"/>
        <v>5</v>
      </c>
      <c r="R762">
        <f ca="1">((Tabla2[[#This Row],[Fantasma Comunicación]]+1)/(Tabla2[[#This Row],[Fantasma Comunicación]]+RANDBETWEEN(0,5)+2))-0.5</f>
        <v>0</v>
      </c>
      <c r="S762">
        <f ca="1">1+MAX(0,Tabla2[[#This Row],[Deuda actual]]/Tabla2[[#This Row],[Liquidez]]+Tabla2[[#This Row],[Liquidez]]/(Tabla2[[#This Row],[Activos]]+Tabla2[[#This Row],[Liquidez]])+Tabla2[[#This Row],[Comunicación]])</f>
        <v>4.5276512043002839</v>
      </c>
      <c r="T762">
        <f ca="1">Tabla2[[#This Row],[Deuda actual]]*EXP(Tabla2[[#This Row],[Ki]]*Tabla2[[#This Row],[diferencia de días]])*(1+Tabla2[[#This Row],[Hg]])</f>
        <v>3940.8363813714259</v>
      </c>
    </row>
    <row r="763" spans="1:20" ht="14.5" x14ac:dyDescent="0.35">
      <c r="A763">
        <f t="shared" si="121"/>
        <v>762</v>
      </c>
      <c r="B763">
        <f t="shared" ca="1" si="122"/>
        <v>46130</v>
      </c>
      <c r="C763">
        <f t="shared" ca="1" si="123"/>
        <v>46157</v>
      </c>
      <c r="D763">
        <f t="shared" ca="1" si="124"/>
        <v>12</v>
      </c>
      <c r="E763">
        <f t="shared" ca="1" si="125"/>
        <v>0.95210507114982068</v>
      </c>
      <c r="F763">
        <f t="shared" ca="1" si="126"/>
        <v>643.98</v>
      </c>
      <c r="G763" t="str">
        <f t="shared" ca="1" si="127"/>
        <v>personal</v>
      </c>
      <c r="H76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63" t="str">
        <f t="shared" ca="1" si="128"/>
        <v>No</v>
      </c>
      <c r="J76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12000.219384193608</v>
      </c>
      <c r="K763" t="str">
        <f ca="1">IF(Tabla2[[#This Row],[¿cliente deuda abierta?]]="Sí", Tabla2[[#This Row],[Deuda actual]]*Tabla2[[#This Row],[diferencia de días]], "0")</f>
        <v>0</v>
      </c>
      <c r="L76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6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6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63">
        <f t="shared" ca="1" si="129"/>
        <v>1638.39</v>
      </c>
      <c r="P763">
        <f t="shared" ca="1" si="130"/>
        <v>73972.570000000007</v>
      </c>
      <c r="Q763">
        <f t="shared" ca="1" si="131"/>
        <v>4</v>
      </c>
      <c r="R763">
        <f ca="1">((Tabla2[[#This Row],[Fantasma Comunicación]]+1)/(Tabla2[[#This Row],[Fantasma Comunicación]]+RANDBETWEEN(0,5)+2))-0.5</f>
        <v>0.2142857142857143</v>
      </c>
      <c r="S763">
        <f ca="1">1+MAX(0,Tabla2[[#This Row],[Deuda actual]]/Tabla2[[#This Row],[Liquidez]]+Tabla2[[#This Row],[Liquidez]]/(Tabla2[[#This Row],[Activos]]+Tabla2[[#This Row],[Liquidez]])+Tabla2[[#This Row],[Comunicación]])</f>
        <v>1.6290109965424426</v>
      </c>
      <c r="T763">
        <f ca="1">Tabla2[[#This Row],[Deuda actual]]*EXP(Tabla2[[#This Row],[Ki]]*Tabla2[[#This Row],[diferencia de días]])*(1+Tabla2[[#This Row],[Hg]])</f>
        <v>580.97466733231852</v>
      </c>
    </row>
    <row r="764" spans="1:20" ht="14.5" x14ac:dyDescent="0.35">
      <c r="A764">
        <f t="shared" si="121"/>
        <v>763</v>
      </c>
      <c r="B764">
        <f t="shared" ca="1" si="122"/>
        <v>46108</v>
      </c>
      <c r="C764">
        <f t="shared" ca="1" si="123"/>
        <v>46157</v>
      </c>
      <c r="D764">
        <f t="shared" ca="1" si="124"/>
        <v>16</v>
      </c>
      <c r="E764">
        <f t="shared" ca="1" si="125"/>
        <v>0.99631903730800553</v>
      </c>
      <c r="F764">
        <f t="shared" ca="1" si="126"/>
        <v>4483.95</v>
      </c>
      <c r="G764" t="str">
        <f t="shared" ca="1" si="127"/>
        <v>hipotecario</v>
      </c>
      <c r="H76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64" t="str">
        <f t="shared" ca="1" si="128"/>
        <v>Sí</v>
      </c>
      <c r="J76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64">
        <f ca="1">IF(Tabla2[[#This Row],[¿cliente deuda abierta?]]="Sí", Tabla2[[#This Row],[Deuda actual]]*Tabla2[[#This Row],[diferencia de días]], "0")</f>
        <v>71743.199999999997</v>
      </c>
      <c r="L76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76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64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764">
        <f t="shared" ca="1" si="129"/>
        <v>1941.77</v>
      </c>
      <c r="P764">
        <f t="shared" ca="1" si="130"/>
        <v>144738.82</v>
      </c>
      <c r="Q764">
        <f t="shared" ca="1" si="131"/>
        <v>0</v>
      </c>
      <c r="R764">
        <f ca="1">((Tabla2[[#This Row],[Fantasma Comunicación]]+1)/(Tabla2[[#This Row],[Fantasma Comunicación]]+RANDBETWEEN(0,5)+2))-0.5</f>
        <v>0</v>
      </c>
      <c r="S764">
        <f ca="1">1+MAX(0,Tabla2[[#This Row],[Deuda actual]]/Tabla2[[#This Row],[Liquidez]]+Tabla2[[#This Row],[Liquidez]]/(Tabla2[[#This Row],[Activos]]+Tabla2[[#This Row],[Liquidez]])+Tabla2[[#This Row],[Comunicación]])</f>
        <v>3.3224456628461558</v>
      </c>
      <c r="T764">
        <f ca="1">Tabla2[[#This Row],[Deuda actual]]*EXP(Tabla2[[#This Row],[Ki]]*Tabla2[[#This Row],[diferencia de días]])*(1+Tabla2[[#This Row],[Hg]])</f>
        <v>5189.6502036441098</v>
      </c>
    </row>
    <row r="765" spans="1:20" ht="14.5" x14ac:dyDescent="0.35">
      <c r="A765">
        <f t="shared" si="121"/>
        <v>764</v>
      </c>
      <c r="B765">
        <f t="shared" ca="1" si="122"/>
        <v>46132</v>
      </c>
      <c r="C765">
        <f t="shared" ca="1" si="123"/>
        <v>46157</v>
      </c>
      <c r="D765">
        <f t="shared" ca="1" si="124"/>
        <v>1</v>
      </c>
      <c r="E765">
        <f t="shared" ca="1" si="125"/>
        <v>0.29707988985380696</v>
      </c>
      <c r="F765">
        <f t="shared" ca="1" si="126"/>
        <v>1337.24</v>
      </c>
      <c r="G765" t="str">
        <f t="shared" ca="1" si="127"/>
        <v>hipotecario</v>
      </c>
      <c r="H76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65" t="str">
        <f t="shared" ca="1" si="128"/>
        <v>No</v>
      </c>
      <c r="J76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164998.66185444215</v>
      </c>
      <c r="K765" t="str">
        <f ca="1">IF(Tabla2[[#This Row],[¿cliente deuda abierta?]]="Sí", Tabla2[[#This Row],[Deuda actual]]*Tabla2[[#This Row],[diferencia de días]], "0")</f>
        <v>0</v>
      </c>
      <c r="L76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6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765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765">
        <f t="shared" ca="1" si="129"/>
        <v>1617.28</v>
      </c>
      <c r="P765">
        <f t="shared" ca="1" si="130"/>
        <v>177682.01</v>
      </c>
      <c r="Q765">
        <f t="shared" ca="1" si="131"/>
        <v>5</v>
      </c>
      <c r="R765">
        <f ca="1">((Tabla2[[#This Row],[Fantasma Comunicación]]+1)/(Tabla2[[#This Row],[Fantasma Comunicación]]+RANDBETWEEN(0,5)+2))-0.5</f>
        <v>0.3571428571428571</v>
      </c>
      <c r="S765">
        <f ca="1">1+MAX(0,Tabla2[[#This Row],[Deuda actual]]/Tabla2[[#This Row],[Liquidez]]+Tabla2[[#This Row],[Liquidez]]/(Tabla2[[#This Row],[Activos]]+Tabla2[[#This Row],[Liquidez]])+Tabla2[[#This Row],[Comunicación]])</f>
        <v>2.1930079326065277</v>
      </c>
      <c r="T765">
        <f ca="1">Tabla2[[#This Row],[Deuda actual]]*EXP(Tabla2[[#This Row],[Ki]]*Tabla2[[#This Row],[diferencia de días]])*(1+Tabla2[[#This Row],[Hg]])</f>
        <v>1070.0059797972665</v>
      </c>
    </row>
    <row r="766" spans="1:20" ht="14.5" x14ac:dyDescent="0.35">
      <c r="A766">
        <f t="shared" si="121"/>
        <v>765</v>
      </c>
      <c r="B766">
        <f t="shared" ca="1" si="122"/>
        <v>46094</v>
      </c>
      <c r="C766">
        <f t="shared" ca="1" si="123"/>
        <v>46157</v>
      </c>
      <c r="D766">
        <f t="shared" ca="1" si="124"/>
        <v>68</v>
      </c>
      <c r="E766">
        <f t="shared" ca="1" si="125"/>
        <v>0.92407017871184716</v>
      </c>
      <c r="F766">
        <f t="shared" ca="1" si="126"/>
        <v>6228.8</v>
      </c>
      <c r="G766" t="str">
        <f t="shared" ca="1" si="127"/>
        <v>personal</v>
      </c>
      <c r="H76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766" t="str">
        <f t="shared" ca="1" si="128"/>
        <v>Sí</v>
      </c>
      <c r="J76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66">
        <f ca="1">IF(Tabla2[[#This Row],[¿cliente deuda abierta?]]="Sí", Tabla2[[#This Row],[Deuda actual]]*Tabla2[[#This Row],[diferencia de días]], "0")</f>
        <v>423558.40000000002</v>
      </c>
      <c r="L76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0.2</v>
      </c>
      <c r="M76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66">
        <f ca="1">MAX(Tabla2[[#This Row],[VALORES DE Hg para actuales deudores]:[Valores de HG para deudores cerrados]])*IF(Tabla2[[#This Row],[VALORES DE Hg para actuales deudores]]&gt;Tabla2[[#This Row],[Valores de HG para deudores cerrados]],-1,1)</f>
        <v>0.2</v>
      </c>
      <c r="O766">
        <f t="shared" ca="1" si="129"/>
        <v>1581.75</v>
      </c>
      <c r="P766">
        <f t="shared" ca="1" si="130"/>
        <v>266591.40999999997</v>
      </c>
      <c r="Q766">
        <f t="shared" ca="1" si="131"/>
        <v>3</v>
      </c>
      <c r="R766">
        <f ca="1">((Tabla2[[#This Row],[Fantasma Comunicación]]+1)/(Tabla2[[#This Row],[Fantasma Comunicación]]+RANDBETWEEN(0,5)+2))-0.5</f>
        <v>-5.555555555555558E-2</v>
      </c>
      <c r="S766">
        <f ca="1">1+MAX(0,Tabla2[[#This Row],[Deuda actual]]/Tabla2[[#This Row],[Liquidez]]+Tabla2[[#This Row],[Liquidez]]/(Tabla2[[#This Row],[Activos]]+Tabla2[[#This Row],[Liquidez]])+Tabla2[[#This Row],[Comunicación]])</f>
        <v>4.8882595499477759</v>
      </c>
      <c r="T766">
        <f ca="1">Tabla2[[#This Row],[Deuda actual]]*EXP(Tabla2[[#This Row],[Ki]]*Tabla2[[#This Row],[diferencia de días]])*(1+Tabla2[[#This Row],[Hg]])</f>
        <v>8000.5097201431072</v>
      </c>
    </row>
    <row r="767" spans="1:20" ht="14.5" x14ac:dyDescent="0.35">
      <c r="A767">
        <f t="shared" si="121"/>
        <v>766</v>
      </c>
      <c r="B767">
        <f t="shared" ca="1" si="122"/>
        <v>46103</v>
      </c>
      <c r="C767">
        <f t="shared" ca="1" si="123"/>
        <v>46157</v>
      </c>
      <c r="D767">
        <f t="shared" ca="1" si="124"/>
        <v>20</v>
      </c>
      <c r="E767">
        <f t="shared" ca="1" si="125"/>
        <v>0.33620828444253026</v>
      </c>
      <c r="F767">
        <f t="shared" ca="1" si="126"/>
        <v>646.85</v>
      </c>
      <c r="G767" t="str">
        <f t="shared" ca="1" si="127"/>
        <v>personal</v>
      </c>
      <c r="H76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67" t="str">
        <f t="shared" ca="1" si="128"/>
        <v>Sí</v>
      </c>
      <c r="J76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67">
        <f ca="1">IF(Tabla2[[#This Row],[¿cliente deuda abierta?]]="Sí", Tabla2[[#This Row],[Deuda actual]]*Tabla2[[#This Row],[diferencia de días]], "0")</f>
        <v>12937</v>
      </c>
      <c r="L76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6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6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67">
        <f t="shared" ca="1" si="129"/>
        <v>1388.1</v>
      </c>
      <c r="P767">
        <f t="shared" ca="1" si="130"/>
        <v>58408.61</v>
      </c>
      <c r="Q767">
        <f t="shared" ca="1" si="131"/>
        <v>1</v>
      </c>
      <c r="R767">
        <f ca="1">((Tabla2[[#This Row],[Fantasma Comunicación]]+1)/(Tabla2[[#This Row],[Fantasma Comunicación]]+RANDBETWEEN(0,5)+2))-0.5</f>
        <v>-0.25</v>
      </c>
      <c r="S767">
        <f ca="1">1+MAX(0,Tabla2[[#This Row],[Deuda actual]]/Tabla2[[#This Row],[Liquidez]]+Tabla2[[#This Row],[Liquidez]]/(Tabla2[[#This Row],[Activos]]+Tabla2[[#This Row],[Liquidez]])+Tabla2[[#This Row],[Comunicación]])</f>
        <v>1.2392103378386876</v>
      </c>
      <c r="T767">
        <f ca="1">Tabla2[[#This Row],[Deuda actual]]*EXP(Tabla2[[#This Row],[Ki]]*Tabla2[[#This Row],[diferencia de días]])*(1+Tabla2[[#This Row],[Hg]])</f>
        <v>684.64783223386132</v>
      </c>
    </row>
    <row r="768" spans="1:20" ht="14.5" x14ac:dyDescent="0.35">
      <c r="A768">
        <f t="shared" si="121"/>
        <v>767</v>
      </c>
      <c r="B768">
        <f t="shared" ca="1" si="122"/>
        <v>46090</v>
      </c>
      <c r="C768">
        <f t="shared" ca="1" si="123"/>
        <v>46157</v>
      </c>
      <c r="D768">
        <f t="shared" ca="1" si="124"/>
        <v>77</v>
      </c>
      <c r="E768">
        <f t="shared" ca="1" si="125"/>
        <v>0.87121054465315562</v>
      </c>
      <c r="F768">
        <f t="shared" ca="1" si="126"/>
        <v>1004.32</v>
      </c>
      <c r="G768" t="str">
        <f t="shared" ca="1" si="127"/>
        <v>hipotecario</v>
      </c>
      <c r="H76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768" t="str">
        <f t="shared" ca="1" si="128"/>
        <v>Sí</v>
      </c>
      <c r="J76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68">
        <f ca="1">IF(Tabla2[[#This Row],[¿cliente deuda abierta?]]="Sí", Tabla2[[#This Row],[Deuda actual]]*Tabla2[[#This Row],[diferencia de días]], "0")</f>
        <v>77332.639999999999</v>
      </c>
      <c r="L76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76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68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768">
        <f t="shared" ca="1" si="129"/>
        <v>1716.37</v>
      </c>
      <c r="P768">
        <f t="shared" ca="1" si="130"/>
        <v>166948.92000000001</v>
      </c>
      <c r="Q768">
        <f t="shared" ca="1" si="131"/>
        <v>2</v>
      </c>
      <c r="R768">
        <f ca="1">((Tabla2[[#This Row],[Fantasma Comunicación]]+1)/(Tabla2[[#This Row],[Fantasma Comunicación]]+RANDBETWEEN(0,5)+2))-0.5</f>
        <v>0.25</v>
      </c>
      <c r="S768">
        <f ca="1">1+MAX(0,Tabla2[[#This Row],[Deuda actual]]/Tabla2[[#This Row],[Liquidez]]+Tabla2[[#This Row],[Liquidez]]/(Tabla2[[#This Row],[Activos]]+Tabla2[[#This Row],[Liquidez]])+Tabla2[[#This Row],[Comunicación]])</f>
        <v>1.8453180880866316</v>
      </c>
      <c r="T768">
        <f ca="1">Tabla2[[#This Row],[Deuda actual]]*EXP(Tabla2[[#This Row],[Ki]]*Tabla2[[#This Row],[diferencia de días]])*(1+Tabla2[[#This Row],[Hg]])</f>
        <v>1247.4140368870089</v>
      </c>
    </row>
    <row r="769" spans="1:20" ht="14.5" x14ac:dyDescent="0.35">
      <c r="A769">
        <f t="shared" si="121"/>
        <v>768</v>
      </c>
      <c r="B769">
        <f t="shared" ca="1" si="122"/>
        <v>46136</v>
      </c>
      <c r="C769">
        <f t="shared" ca="1" si="123"/>
        <v>46157</v>
      </c>
      <c r="D769">
        <f t="shared" ca="1" si="124"/>
        <v>9</v>
      </c>
      <c r="E769">
        <f t="shared" ca="1" si="125"/>
        <v>0.59061611683639181</v>
      </c>
      <c r="F769">
        <f t="shared" ca="1" si="126"/>
        <v>325.51</v>
      </c>
      <c r="G769" t="str">
        <f t="shared" ca="1" si="127"/>
        <v>hipotecario</v>
      </c>
      <c r="H76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69" t="str">
        <f t="shared" ca="1" si="128"/>
        <v>No</v>
      </c>
      <c r="J76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165000.53395030441</v>
      </c>
      <c r="K769" t="str">
        <f ca="1">IF(Tabla2[[#This Row],[¿cliente deuda abierta?]]="Sí", Tabla2[[#This Row],[Deuda actual]]*Tabla2[[#This Row],[diferencia de días]], "0")</f>
        <v>0</v>
      </c>
      <c r="L76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6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769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769">
        <f t="shared" ca="1" si="129"/>
        <v>1725.47</v>
      </c>
      <c r="P769">
        <f t="shared" ca="1" si="130"/>
        <v>130926.76</v>
      </c>
      <c r="Q769">
        <f t="shared" ca="1" si="131"/>
        <v>3</v>
      </c>
      <c r="R769">
        <f ca="1">((Tabla2[[#This Row],[Fantasma Comunicación]]+1)/(Tabla2[[#This Row],[Fantasma Comunicación]]+RANDBETWEEN(0,5)+2))-0.5</f>
        <v>0.16666666666666663</v>
      </c>
      <c r="S769">
        <f ca="1">1+MAX(0,Tabla2[[#This Row],[Deuda actual]]/Tabla2[[#This Row],[Liquidez]]+Tabla2[[#This Row],[Liquidez]]/(Tabla2[[#This Row],[Activos]]+Tabla2[[#This Row],[Liquidez]])+Tabla2[[#This Row],[Comunicación]])</f>
        <v>1.3683241863764128</v>
      </c>
      <c r="T769">
        <f ca="1">Tabla2[[#This Row],[Deuda actual]]*EXP(Tabla2[[#This Row],[Ki]]*Tabla2[[#This Row],[diferencia de días]])*(1+Tabla2[[#This Row],[Hg]])</f>
        <v>260.87715651419052</v>
      </c>
    </row>
    <row r="770" spans="1:20" ht="14.5" x14ac:dyDescent="0.35">
      <c r="A770">
        <f t="shared" ref="A770:A833" si="132">A769+1</f>
        <v>769</v>
      </c>
      <c r="B770">
        <f t="shared" ref="B770:B833" ca="1" si="133">RANDBETWEEN(DATE(2026,3,1), DATE(2026,5,1))</f>
        <v>46112</v>
      </c>
      <c r="C770">
        <f t="shared" ref="C770:C833" ca="1" si="134">TODAY()</f>
        <v>46157</v>
      </c>
      <c r="D770">
        <f t="shared" ref="D770:D833" ca="1" si="135">ROUND((-(15) * LN(RAND())),0)</f>
        <v>12</v>
      </c>
      <c r="E770">
        <f t="shared" ref="E770:E833" ca="1" si="136">RAND()</f>
        <v>0.67134413004668392</v>
      </c>
      <c r="F770">
        <f t="shared" ref="F770:F833" ca="1" si="137">ROUND(MIN(10000, _xlfn.LOGNORM.INV(RAND(), 69/10, 13/10)),2)</f>
        <v>273.18</v>
      </c>
      <c r="G770" t="str">
        <f t="shared" ref="G770:G833" ca="1" si="138">IF(RAND()&lt;=0.5,"personal","hipotecario")</f>
        <v>hipotecario</v>
      </c>
      <c r="H77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70" t="str">
        <f t="shared" ref="I770:I833" ca="1" si="139">IF(RAND()&lt;=0.65, "Sí", "No")</f>
        <v>No</v>
      </c>
      <c r="J77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165000.66265714151</v>
      </c>
      <c r="K770" t="str">
        <f ca="1">IF(Tabla2[[#This Row],[¿cliente deuda abierta?]]="Sí", Tabla2[[#This Row],[Deuda actual]]*Tabla2[[#This Row],[diferencia de días]], "0")</f>
        <v>0</v>
      </c>
      <c r="L77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7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77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770">
        <f t="shared" ref="O770:O833" ca="1" si="140">ROUND(1000*(_xlfn.LOGNORM.INV(RAND(), 0.5, 0.2)),2)</f>
        <v>2049.8200000000002</v>
      </c>
      <c r="P770">
        <f t="shared" ref="P770:P833" ca="1" si="141">ROUND(50000*(_xlfn.LOGNORM.INV(RAND(), 1, 0.75)),2)</f>
        <v>40982.800000000003</v>
      </c>
      <c r="Q770">
        <f t="shared" ref="Q770:Q833" ca="1" si="142">RANDBETWEEN(0,5)</f>
        <v>4</v>
      </c>
      <c r="R770">
        <f ca="1">((Tabla2[[#This Row],[Fantasma Comunicación]]+1)/(Tabla2[[#This Row],[Fantasma Comunicación]]+RANDBETWEEN(0,5)+2))-0.5</f>
        <v>0</v>
      </c>
      <c r="S770">
        <f ca="1">1+MAX(0,Tabla2[[#This Row],[Deuda actual]]/Tabla2[[#This Row],[Liquidez]]+Tabla2[[#This Row],[Liquidez]]/(Tabla2[[#This Row],[Activos]]+Tabla2[[#This Row],[Liquidez]])+Tabla2[[#This Row],[Comunicación]])</f>
        <v>1.1809043354729103</v>
      </c>
      <c r="T770">
        <f ca="1">Tabla2[[#This Row],[Deuda actual]]*EXP(Tabla2[[#This Row],[Ki]]*Tabla2[[#This Row],[diferencia de días]])*(1+Tabla2[[#This Row],[Hg]])</f>
        <v>219.06913551054765</v>
      </c>
    </row>
    <row r="771" spans="1:20" ht="14.5" x14ac:dyDescent="0.35">
      <c r="A771">
        <f t="shared" si="132"/>
        <v>770</v>
      </c>
      <c r="B771">
        <f t="shared" ca="1" si="133"/>
        <v>46141</v>
      </c>
      <c r="C771">
        <f t="shared" ca="1" si="134"/>
        <v>46157</v>
      </c>
      <c r="D771">
        <f t="shared" ca="1" si="135"/>
        <v>12</v>
      </c>
      <c r="E771">
        <f t="shared" ca="1" si="136"/>
        <v>0.34841374562461647</v>
      </c>
      <c r="F771">
        <f t="shared" ca="1" si="137"/>
        <v>10000</v>
      </c>
      <c r="G771" t="str">
        <f t="shared" ca="1" si="138"/>
        <v>hipotecario</v>
      </c>
      <c r="H77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71" t="str">
        <f t="shared" ca="1" si="139"/>
        <v>No</v>
      </c>
      <c r="J77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164999.41618750262</v>
      </c>
      <c r="K771" t="str">
        <f ca="1">IF(Tabla2[[#This Row],[¿cliente deuda abierta?]]="Sí", Tabla2[[#This Row],[Deuda actual]]*Tabla2[[#This Row],[diferencia de días]], "0")</f>
        <v>0</v>
      </c>
      <c r="L77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7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771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771">
        <f t="shared" ca="1" si="140"/>
        <v>1422.07</v>
      </c>
      <c r="P771">
        <f t="shared" ca="1" si="141"/>
        <v>75427.88</v>
      </c>
      <c r="Q771">
        <f t="shared" ca="1" si="142"/>
        <v>3</v>
      </c>
      <c r="R771">
        <f ca="1">((Tabla2[[#This Row],[Fantasma Comunicación]]+1)/(Tabla2[[#This Row],[Fantasma Comunicación]]+RANDBETWEEN(0,5)+2))-0.5</f>
        <v>0.16666666666666663</v>
      </c>
      <c r="S771">
        <f ca="1">1+MAX(0,Tabla2[[#This Row],[Deuda actual]]/Tabla2[[#This Row],[Liquidez]]+Tabla2[[#This Row],[Liquidez]]/(Tabla2[[#This Row],[Activos]]+Tabla2[[#This Row],[Liquidez]])+Tabla2[[#This Row],[Comunicación]])</f>
        <v>8.2171738120038249</v>
      </c>
      <c r="T771">
        <f ca="1">Tabla2[[#This Row],[Deuda actual]]*EXP(Tabla2[[#This Row],[Ki]]*Tabla2[[#This Row],[diferencia de días]])*(1+Tabla2[[#This Row],[Hg]])</f>
        <v>8019.2230584430645</v>
      </c>
    </row>
    <row r="772" spans="1:20" ht="14.5" x14ac:dyDescent="0.35">
      <c r="A772">
        <f t="shared" si="132"/>
        <v>771</v>
      </c>
      <c r="B772">
        <f t="shared" ca="1" si="133"/>
        <v>46093</v>
      </c>
      <c r="C772">
        <f t="shared" ca="1" si="134"/>
        <v>46157</v>
      </c>
      <c r="D772">
        <f t="shared" ca="1" si="135"/>
        <v>17</v>
      </c>
      <c r="E772">
        <f t="shared" ca="1" si="136"/>
        <v>4.0156108724906159E-2</v>
      </c>
      <c r="F772">
        <f t="shared" ca="1" si="137"/>
        <v>1006.92</v>
      </c>
      <c r="G772" t="str">
        <f t="shared" ca="1" si="138"/>
        <v>personal</v>
      </c>
      <c r="H77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72" t="str">
        <f t="shared" ca="1" si="139"/>
        <v>No</v>
      </c>
      <c r="J77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11999.184677145977</v>
      </c>
      <c r="K772" t="str">
        <f ca="1">IF(Tabla2[[#This Row],[¿cliente deuda abierta?]]="Sí", Tabla2[[#This Row],[Deuda actual]]*Tabla2[[#This Row],[diferencia de días]], "0")</f>
        <v>0</v>
      </c>
      <c r="L77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7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72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72">
        <f t="shared" ca="1" si="140"/>
        <v>2160.88</v>
      </c>
      <c r="P772">
        <f t="shared" ca="1" si="141"/>
        <v>110749.79</v>
      </c>
      <c r="Q772">
        <f t="shared" ca="1" si="142"/>
        <v>1</v>
      </c>
      <c r="R772">
        <f ca="1">((Tabla2[[#This Row],[Fantasma Comunicación]]+1)/(Tabla2[[#This Row],[Fantasma Comunicación]]+RANDBETWEEN(0,5)+2))-0.5</f>
        <v>-0.25</v>
      </c>
      <c r="S772">
        <f ca="1">1+MAX(0,Tabla2[[#This Row],[Deuda actual]]/Tabla2[[#This Row],[Liquidez]]+Tabla2[[#This Row],[Liquidez]]/(Tabla2[[#This Row],[Activos]]+Tabla2[[#This Row],[Liquidez]])+Tabla2[[#This Row],[Comunicación]])</f>
        <v>1.2351147852661379</v>
      </c>
      <c r="T772">
        <f ca="1">Tabla2[[#This Row],[Deuda actual]]*EXP(Tabla2[[#This Row],[Ki]]*Tabla2[[#This Row],[diferencia de días]])*(1+Tabla2[[#This Row],[Hg]])</f>
        <v>912.41134996338542</v>
      </c>
    </row>
    <row r="773" spans="1:20" ht="14.5" x14ac:dyDescent="0.35">
      <c r="A773">
        <f t="shared" si="132"/>
        <v>772</v>
      </c>
      <c r="B773">
        <f t="shared" ca="1" si="133"/>
        <v>46086</v>
      </c>
      <c r="C773">
        <f t="shared" ca="1" si="134"/>
        <v>46157</v>
      </c>
      <c r="D773">
        <f t="shared" ca="1" si="135"/>
        <v>9</v>
      </c>
      <c r="E773">
        <f t="shared" ca="1" si="136"/>
        <v>0.8033872948222347</v>
      </c>
      <c r="F773">
        <f t="shared" ca="1" si="137"/>
        <v>485.31</v>
      </c>
      <c r="G773" t="str">
        <f t="shared" ca="1" si="138"/>
        <v>hipotecario</v>
      </c>
      <c r="H77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73" t="str">
        <f t="shared" ca="1" si="139"/>
        <v>Sí</v>
      </c>
      <c r="J77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73">
        <f ca="1">IF(Tabla2[[#This Row],[¿cliente deuda abierta?]]="Sí", Tabla2[[#This Row],[Deuda actual]]*Tabla2[[#This Row],[diferencia de días]], "0")</f>
        <v>4367.79</v>
      </c>
      <c r="L77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7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7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73">
        <f t="shared" ca="1" si="140"/>
        <v>1383.42</v>
      </c>
      <c r="P773">
        <f t="shared" ca="1" si="141"/>
        <v>181990.56</v>
      </c>
      <c r="Q773">
        <f t="shared" ca="1" si="142"/>
        <v>1</v>
      </c>
      <c r="R773">
        <f ca="1">((Tabla2[[#This Row],[Fantasma Comunicación]]+1)/(Tabla2[[#This Row],[Fantasma Comunicación]]+RANDBETWEEN(0,5)+2))-0.5</f>
        <v>0</v>
      </c>
      <c r="S773">
        <f ca="1">1+MAX(0,Tabla2[[#This Row],[Deuda actual]]/Tabla2[[#This Row],[Liquidez]]+Tabla2[[#This Row],[Liquidez]]/(Tabla2[[#This Row],[Activos]]+Tabla2[[#This Row],[Liquidez]])+Tabla2[[#This Row],[Comunicación]])</f>
        <v>1.3583487825519835</v>
      </c>
      <c r="T773">
        <f ca="1">Tabla2[[#This Row],[Deuda actual]]*EXP(Tabla2[[#This Row],[Ki]]*Tabla2[[#This Row],[diferencia de días]])*(1+Tabla2[[#This Row],[Hg]])</f>
        <v>510.49356190784039</v>
      </c>
    </row>
    <row r="774" spans="1:20" ht="14.5" x14ac:dyDescent="0.35">
      <c r="A774">
        <f t="shared" si="132"/>
        <v>773</v>
      </c>
      <c r="B774">
        <f t="shared" ca="1" si="133"/>
        <v>46091</v>
      </c>
      <c r="C774">
        <f t="shared" ca="1" si="134"/>
        <v>46157</v>
      </c>
      <c r="D774">
        <f t="shared" ca="1" si="135"/>
        <v>13</v>
      </c>
      <c r="E774">
        <f t="shared" ca="1" si="136"/>
        <v>0.75063177876573595</v>
      </c>
      <c r="F774">
        <f t="shared" ca="1" si="137"/>
        <v>4056.48</v>
      </c>
      <c r="G774" t="str">
        <f t="shared" ca="1" si="138"/>
        <v>personal</v>
      </c>
      <c r="H77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74" t="str">
        <f t="shared" ca="1" si="139"/>
        <v>Sí</v>
      </c>
      <c r="J77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74">
        <f ca="1">IF(Tabla2[[#This Row],[¿cliente deuda abierta?]]="Sí", Tabla2[[#This Row],[Deuda actual]]*Tabla2[[#This Row],[diferencia de días]], "0")</f>
        <v>52734.239999999998</v>
      </c>
      <c r="L77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77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74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774">
        <f t="shared" ca="1" si="140"/>
        <v>1286.29</v>
      </c>
      <c r="P774">
        <f t="shared" ca="1" si="141"/>
        <v>185065.26</v>
      </c>
      <c r="Q774">
        <f t="shared" ca="1" si="142"/>
        <v>5</v>
      </c>
      <c r="R774">
        <f ca="1">((Tabla2[[#This Row],[Fantasma Comunicación]]+1)/(Tabla2[[#This Row],[Fantasma Comunicación]]+RANDBETWEEN(0,5)+2))-0.5</f>
        <v>0.25</v>
      </c>
      <c r="S774">
        <f ca="1">1+MAX(0,Tabla2[[#This Row],[Deuda actual]]/Tabla2[[#This Row],[Liquidez]]+Tabla2[[#This Row],[Liquidez]]/(Tabla2[[#This Row],[Activos]]+Tabla2[[#This Row],[Liquidez]])+Tabla2[[#This Row],[Comunicación]])</f>
        <v>4.4105303670722318</v>
      </c>
      <c r="T774">
        <f ca="1">Tabla2[[#This Row],[Deuda actual]]*EXP(Tabla2[[#This Row],[Ki]]*Tabla2[[#This Row],[diferencia de días]])*(1+Tabla2[[#This Row],[Hg]])</f>
        <v>4473.7446278722009</v>
      </c>
    </row>
    <row r="775" spans="1:20" ht="14.5" x14ac:dyDescent="0.35">
      <c r="A775">
        <f t="shared" si="132"/>
        <v>774</v>
      </c>
      <c r="B775">
        <f t="shared" ca="1" si="133"/>
        <v>46126</v>
      </c>
      <c r="C775">
        <f t="shared" ca="1" si="134"/>
        <v>46157</v>
      </c>
      <c r="D775">
        <f t="shared" ca="1" si="135"/>
        <v>14</v>
      </c>
      <c r="E775">
        <f t="shared" ca="1" si="136"/>
        <v>0.15452668483280474</v>
      </c>
      <c r="F775">
        <f t="shared" ca="1" si="137"/>
        <v>169.01</v>
      </c>
      <c r="G775" t="str">
        <f t="shared" ca="1" si="138"/>
        <v>personal</v>
      </c>
      <c r="H77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75" t="str">
        <f t="shared" ca="1" si="139"/>
        <v>No</v>
      </c>
      <c r="J77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12000.341319789715</v>
      </c>
      <c r="K775" t="str">
        <f ca="1">IF(Tabla2[[#This Row],[¿cliente deuda abierta?]]="Sí", Tabla2[[#This Row],[Deuda actual]]*Tabla2[[#This Row],[diferencia de días]], "0")</f>
        <v>0</v>
      </c>
      <c r="L77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7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7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75">
        <f t="shared" ca="1" si="140"/>
        <v>1514.7</v>
      </c>
      <c r="P775">
        <f t="shared" ca="1" si="141"/>
        <v>110173.22</v>
      </c>
      <c r="Q775">
        <f t="shared" ca="1" si="142"/>
        <v>3</v>
      </c>
      <c r="R775">
        <f ca="1">((Tabla2[[#This Row],[Fantasma Comunicación]]+1)/(Tabla2[[#This Row],[Fantasma Comunicación]]+RANDBETWEEN(0,5)+2))-0.5</f>
        <v>7.1428571428571397E-2</v>
      </c>
      <c r="S775">
        <f ca="1">1+MAX(0,Tabla2[[#This Row],[Deuda actual]]/Tabla2[[#This Row],[Liquidez]]+Tabla2[[#This Row],[Liquidez]]/(Tabla2[[#This Row],[Activos]]+Tabla2[[#This Row],[Liquidez]])+Tabla2[[#This Row],[Comunicación]])</f>
        <v>1.1965703186225731</v>
      </c>
      <c r="T775">
        <f ca="1">Tabla2[[#This Row],[Deuda actual]]*EXP(Tabla2[[#This Row],[Ki]]*Tabla2[[#This Row],[diferencia de días]])*(1+Tabla2[[#This Row],[Hg]])</f>
        <v>152.53550202418589</v>
      </c>
    </row>
    <row r="776" spans="1:20" ht="14.5" x14ac:dyDescent="0.35">
      <c r="A776">
        <f t="shared" si="132"/>
        <v>775</v>
      </c>
      <c r="B776">
        <f t="shared" ca="1" si="133"/>
        <v>46086</v>
      </c>
      <c r="C776">
        <f t="shared" ca="1" si="134"/>
        <v>46157</v>
      </c>
      <c r="D776">
        <f t="shared" ca="1" si="135"/>
        <v>6</v>
      </c>
      <c r="E776">
        <f t="shared" ca="1" si="136"/>
        <v>4.7635746947746416E-2</v>
      </c>
      <c r="F776">
        <f t="shared" ca="1" si="137"/>
        <v>1357.95</v>
      </c>
      <c r="G776" t="str">
        <f t="shared" ca="1" si="138"/>
        <v>hipotecario</v>
      </c>
      <c r="H77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76" t="str">
        <f t="shared" ca="1" si="139"/>
        <v>No</v>
      </c>
      <c r="J77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165000.76558896873</v>
      </c>
      <c r="K776" t="str">
        <f ca="1">IF(Tabla2[[#This Row],[¿cliente deuda abierta?]]="Sí", Tabla2[[#This Row],[Deuda actual]]*Tabla2[[#This Row],[diferencia de días]], "0")</f>
        <v>0</v>
      </c>
      <c r="L77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7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776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776">
        <f t="shared" ca="1" si="140"/>
        <v>1269.44</v>
      </c>
      <c r="P776">
        <f t="shared" ca="1" si="141"/>
        <v>276788.96999999997</v>
      </c>
      <c r="Q776">
        <f t="shared" ca="1" si="142"/>
        <v>5</v>
      </c>
      <c r="R776">
        <f ca="1">((Tabla2[[#This Row],[Fantasma Comunicación]]+1)/(Tabla2[[#This Row],[Fantasma Comunicación]]+RANDBETWEEN(0,5)+2))-0.5</f>
        <v>4.5454545454545414E-2</v>
      </c>
      <c r="S776">
        <f ca="1">1+MAX(0,Tabla2[[#This Row],[Deuda actual]]/Tabla2[[#This Row],[Liquidez]]+Tabla2[[#This Row],[Liquidez]]/(Tabla2[[#This Row],[Activos]]+Tabla2[[#This Row],[Liquidez]])+Tabla2[[#This Row],[Comunicación]])</f>
        <v>2.1197435748448967</v>
      </c>
      <c r="T776">
        <f ca="1">Tabla2[[#This Row],[Deuda actual]]*EXP(Tabla2[[#This Row],[Ki]]*Tabla2[[#This Row],[diferencia de días]])*(1+Tabla2[[#This Row],[Hg]])</f>
        <v>1087.6644144921656</v>
      </c>
    </row>
    <row r="777" spans="1:20" ht="14.5" x14ac:dyDescent="0.35">
      <c r="A777">
        <f t="shared" si="132"/>
        <v>776</v>
      </c>
      <c r="B777">
        <f t="shared" ca="1" si="133"/>
        <v>46127</v>
      </c>
      <c r="C777">
        <f t="shared" ca="1" si="134"/>
        <v>46157</v>
      </c>
      <c r="D777">
        <f t="shared" ca="1" si="135"/>
        <v>7</v>
      </c>
      <c r="E777">
        <f t="shared" ca="1" si="136"/>
        <v>0.66154439042916169</v>
      </c>
      <c r="F777">
        <f t="shared" ca="1" si="137"/>
        <v>836.88</v>
      </c>
      <c r="G777" t="str">
        <f t="shared" ca="1" si="138"/>
        <v>personal</v>
      </c>
      <c r="H77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77" t="str">
        <f t="shared" ca="1" si="139"/>
        <v>Sí</v>
      </c>
      <c r="J77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77">
        <f ca="1">IF(Tabla2[[#This Row],[¿cliente deuda abierta?]]="Sí", Tabla2[[#This Row],[Deuda actual]]*Tabla2[[#This Row],[diferencia de días]], "0")</f>
        <v>5858.16</v>
      </c>
      <c r="L77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7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7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77">
        <f t="shared" ca="1" si="140"/>
        <v>1986.91</v>
      </c>
      <c r="P777">
        <f t="shared" ca="1" si="141"/>
        <v>277690.43</v>
      </c>
      <c r="Q777">
        <f t="shared" ca="1" si="142"/>
        <v>0</v>
      </c>
      <c r="R777">
        <f ca="1">((Tabla2[[#This Row],[Fantasma Comunicación]]+1)/(Tabla2[[#This Row],[Fantasma Comunicación]]+RANDBETWEEN(0,5)+2))-0.5</f>
        <v>-0.25</v>
      </c>
      <c r="S777">
        <f ca="1">1+MAX(0,Tabla2[[#This Row],[Deuda actual]]/Tabla2[[#This Row],[Liquidez]]+Tabla2[[#This Row],[Liquidez]]/(Tabla2[[#This Row],[Activos]]+Tabla2[[#This Row],[Liquidez]])+Tabla2[[#This Row],[Comunicación]])</f>
        <v>1.1783010264415581</v>
      </c>
      <c r="T777">
        <f ca="1">Tabla2[[#This Row],[Deuda actual]]*EXP(Tabla2[[#This Row],[Ki]]*Tabla2[[#This Row],[diferencia de días]])*(1+Tabla2[[#This Row],[Hg]])</f>
        <v>879.95507515153042</v>
      </c>
    </row>
    <row r="778" spans="1:20" ht="14.5" x14ac:dyDescent="0.35">
      <c r="A778">
        <f t="shared" si="132"/>
        <v>777</v>
      </c>
      <c r="B778">
        <f t="shared" ca="1" si="133"/>
        <v>46092</v>
      </c>
      <c r="C778">
        <f t="shared" ca="1" si="134"/>
        <v>46157</v>
      </c>
      <c r="D778">
        <f t="shared" ca="1" si="135"/>
        <v>11</v>
      </c>
      <c r="E778">
        <f t="shared" ca="1" si="136"/>
        <v>0.44394519713646441</v>
      </c>
      <c r="F778">
        <f t="shared" ca="1" si="137"/>
        <v>161.80000000000001</v>
      </c>
      <c r="G778" t="str">
        <f t="shared" ca="1" si="138"/>
        <v>personal</v>
      </c>
      <c r="H77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78" t="str">
        <f t="shared" ca="1" si="139"/>
        <v>No</v>
      </c>
      <c r="J77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12000.372676595773</v>
      </c>
      <c r="K778" t="str">
        <f ca="1">IF(Tabla2[[#This Row],[¿cliente deuda abierta?]]="Sí", Tabla2[[#This Row],[Deuda actual]]*Tabla2[[#This Row],[diferencia de días]], "0")</f>
        <v>0</v>
      </c>
      <c r="L77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7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7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78">
        <f t="shared" ca="1" si="140"/>
        <v>1254.82</v>
      </c>
      <c r="P778">
        <f t="shared" ca="1" si="141"/>
        <v>352850.07</v>
      </c>
      <c r="Q778">
        <f t="shared" ca="1" si="142"/>
        <v>0</v>
      </c>
      <c r="R778">
        <f ca="1">((Tabla2[[#This Row],[Fantasma Comunicación]]+1)/(Tabla2[[#This Row],[Fantasma Comunicación]]+RANDBETWEEN(0,5)+2))-0.5</f>
        <v>-0.35714285714285715</v>
      </c>
      <c r="S778">
        <f ca="1">1+MAX(0,Tabla2[[#This Row],[Deuda actual]]/Tabla2[[#This Row],[Liquidez]]+Tabla2[[#This Row],[Liquidez]]/(Tabla2[[#This Row],[Activos]]+Tabla2[[#This Row],[Liquidez]])+Tabla2[[#This Row],[Comunicación]])</f>
        <v>1</v>
      </c>
      <c r="T778">
        <f ca="1">Tabla2[[#This Row],[Deuda actual]]*EXP(Tabla2[[#This Row],[Ki]]*Tabla2[[#This Row],[diferencia de días]])*(1+Tabla2[[#This Row],[Hg]])</f>
        <v>145.94071665896917</v>
      </c>
    </row>
    <row r="779" spans="1:20" ht="14.5" x14ac:dyDescent="0.35">
      <c r="A779">
        <f t="shared" si="132"/>
        <v>778</v>
      </c>
      <c r="B779">
        <f t="shared" ca="1" si="133"/>
        <v>46110</v>
      </c>
      <c r="C779">
        <f t="shared" ca="1" si="134"/>
        <v>46157</v>
      </c>
      <c r="D779">
        <f t="shared" ca="1" si="135"/>
        <v>20</v>
      </c>
      <c r="E779">
        <f t="shared" ca="1" si="136"/>
        <v>0.72743269118197218</v>
      </c>
      <c r="F779">
        <f t="shared" ca="1" si="137"/>
        <v>281.3</v>
      </c>
      <c r="G779" t="str">
        <f t="shared" ca="1" si="138"/>
        <v>hipotecario</v>
      </c>
      <c r="H77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79" t="str">
        <f t="shared" ca="1" si="139"/>
        <v>Sí</v>
      </c>
      <c r="J77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79">
        <f ca="1">IF(Tabla2[[#This Row],[¿cliente deuda abierta?]]="Sí", Tabla2[[#This Row],[Deuda actual]]*Tabla2[[#This Row],[diferencia de días]], "0")</f>
        <v>5626</v>
      </c>
      <c r="L77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7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7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79">
        <f t="shared" ca="1" si="140"/>
        <v>1870.49</v>
      </c>
      <c r="P779">
        <f t="shared" ca="1" si="141"/>
        <v>113278.88</v>
      </c>
      <c r="Q779">
        <f t="shared" ca="1" si="142"/>
        <v>3</v>
      </c>
      <c r="R779">
        <f ca="1">((Tabla2[[#This Row],[Fantasma Comunicación]]+1)/(Tabla2[[#This Row],[Fantasma Comunicación]]+RANDBETWEEN(0,5)+2))-0.5</f>
        <v>-9.9999999999999978E-2</v>
      </c>
      <c r="S779">
        <f ca="1">1+MAX(0,Tabla2[[#This Row],[Deuda actual]]/Tabla2[[#This Row],[Liquidez]]+Tabla2[[#This Row],[Liquidez]]/(Tabla2[[#This Row],[Activos]]+Tabla2[[#This Row],[Liquidez]])+Tabla2[[#This Row],[Comunicación]])</f>
        <v>1.0666324324568763</v>
      </c>
      <c r="T779">
        <f ca="1">Tabla2[[#This Row],[Deuda actual]]*EXP(Tabla2[[#This Row],[Ki]]*Tabla2[[#This Row],[diferencia de días]])*(1+Tabla2[[#This Row],[Hg]])</f>
        <v>297.73739693496981</v>
      </c>
    </row>
    <row r="780" spans="1:20" ht="14.5" x14ac:dyDescent="0.35">
      <c r="A780">
        <f t="shared" si="132"/>
        <v>779</v>
      </c>
      <c r="B780">
        <f t="shared" ca="1" si="133"/>
        <v>46109</v>
      </c>
      <c r="C780">
        <f t="shared" ca="1" si="134"/>
        <v>46157</v>
      </c>
      <c r="D780">
        <f t="shared" ca="1" si="135"/>
        <v>9</v>
      </c>
      <c r="E780">
        <f t="shared" ca="1" si="136"/>
        <v>0.14455473169875432</v>
      </c>
      <c r="F780">
        <f t="shared" ca="1" si="137"/>
        <v>1006.62</v>
      </c>
      <c r="G780" t="str">
        <f t="shared" ca="1" si="138"/>
        <v>personal</v>
      </c>
      <c r="H78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80" t="str">
        <f t="shared" ca="1" si="139"/>
        <v>Sí</v>
      </c>
      <c r="J78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80">
        <f ca="1">IF(Tabla2[[#This Row],[¿cliente deuda abierta?]]="Sí", Tabla2[[#This Row],[Deuda actual]]*Tabla2[[#This Row],[diferencia de días]], "0")</f>
        <v>9059.58</v>
      </c>
      <c r="L78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8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8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80">
        <f t="shared" ca="1" si="140"/>
        <v>1572.15</v>
      </c>
      <c r="P780">
        <f t="shared" ca="1" si="141"/>
        <v>52104.19</v>
      </c>
      <c r="Q780">
        <f t="shared" ca="1" si="142"/>
        <v>2</v>
      </c>
      <c r="R780">
        <f ca="1">((Tabla2[[#This Row],[Fantasma Comunicación]]+1)/(Tabla2[[#This Row],[Fantasma Comunicación]]+RANDBETWEEN(0,5)+2))-0.5</f>
        <v>9.9999999999999978E-2</v>
      </c>
      <c r="S780">
        <f ca="1">1+MAX(0,Tabla2[[#This Row],[Deuda actual]]/Tabla2[[#This Row],[Liquidez]]+Tabla2[[#This Row],[Liquidez]]/(Tabla2[[#This Row],[Activos]]+Tabla2[[#This Row],[Liquidez]])+Tabla2[[#This Row],[Comunicación]])</f>
        <v>1.769571856920632</v>
      </c>
      <c r="T780">
        <f ca="1">Tabla2[[#This Row],[Deuda actual]]*EXP(Tabla2[[#This Row],[Ki]]*Tabla2[[#This Row],[diferencia de días]])*(1+Tabla2[[#This Row],[Hg]])</f>
        <v>1058.8552250884391</v>
      </c>
    </row>
    <row r="781" spans="1:20" ht="14.5" x14ac:dyDescent="0.35">
      <c r="A781">
        <f t="shared" si="132"/>
        <v>780</v>
      </c>
      <c r="B781">
        <f t="shared" ca="1" si="133"/>
        <v>46127</v>
      </c>
      <c r="C781">
        <f t="shared" ca="1" si="134"/>
        <v>46157</v>
      </c>
      <c r="D781">
        <f t="shared" ca="1" si="135"/>
        <v>5</v>
      </c>
      <c r="E781">
        <f t="shared" ca="1" si="136"/>
        <v>0.76034030747628423</v>
      </c>
      <c r="F781">
        <f t="shared" ca="1" si="137"/>
        <v>434.89</v>
      </c>
      <c r="G781" t="str">
        <f t="shared" ca="1" si="138"/>
        <v>hipotecario</v>
      </c>
      <c r="H78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81" t="str">
        <f t="shared" ca="1" si="139"/>
        <v>Sí</v>
      </c>
      <c r="J78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81">
        <f ca="1">IF(Tabla2[[#This Row],[¿cliente deuda abierta?]]="Sí", Tabla2[[#This Row],[Deuda actual]]*Tabla2[[#This Row],[diferencia de días]], "0")</f>
        <v>2174.4499999999998</v>
      </c>
      <c r="L78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8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8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81">
        <f t="shared" ca="1" si="140"/>
        <v>1476.69</v>
      </c>
      <c r="P781">
        <f t="shared" ca="1" si="141"/>
        <v>97952.03</v>
      </c>
      <c r="Q781">
        <f t="shared" ca="1" si="142"/>
        <v>5</v>
      </c>
      <c r="R781">
        <f ca="1">((Tabla2[[#This Row],[Fantasma Comunicación]]+1)/(Tabla2[[#This Row],[Fantasma Comunicación]]+RANDBETWEEN(0,5)+2))-0.5</f>
        <v>4.5454545454545414E-2</v>
      </c>
      <c r="S781">
        <f ca="1">1+MAX(0,Tabla2[[#This Row],[Deuda actual]]/Tabla2[[#This Row],[Liquidez]]+Tabla2[[#This Row],[Liquidez]]/(Tabla2[[#This Row],[Activos]]+Tabla2[[#This Row],[Liquidez]])+Tabla2[[#This Row],[Comunicación]])</f>
        <v>1.3548095376306826</v>
      </c>
      <c r="T781">
        <f ca="1">Tabla2[[#This Row],[Deuda actual]]*EXP(Tabla2[[#This Row],[Ki]]*Tabla2[[#This Row],[diferencia de días]])*(1+Tabla2[[#This Row],[Hg]])</f>
        <v>457.09136289337482</v>
      </c>
    </row>
    <row r="782" spans="1:20" ht="14.5" x14ac:dyDescent="0.35">
      <c r="A782">
        <f t="shared" si="132"/>
        <v>781</v>
      </c>
      <c r="B782">
        <f t="shared" ca="1" si="133"/>
        <v>46089</v>
      </c>
      <c r="C782">
        <f t="shared" ca="1" si="134"/>
        <v>46157</v>
      </c>
      <c r="D782">
        <f t="shared" ca="1" si="135"/>
        <v>14</v>
      </c>
      <c r="E782">
        <f t="shared" ca="1" si="136"/>
        <v>0.67397124740184333</v>
      </c>
      <c r="F782">
        <f t="shared" ca="1" si="137"/>
        <v>431.65</v>
      </c>
      <c r="G782" t="str">
        <f t="shared" ca="1" si="138"/>
        <v>hipotecario</v>
      </c>
      <c r="H78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82" t="str">
        <f t="shared" ca="1" si="139"/>
        <v>No</v>
      </c>
      <c r="J78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165000.46812305792</v>
      </c>
      <c r="K782" t="str">
        <f ca="1">IF(Tabla2[[#This Row],[¿cliente deuda abierta?]]="Sí", Tabla2[[#This Row],[Deuda actual]]*Tabla2[[#This Row],[diferencia de días]], "0")</f>
        <v>0</v>
      </c>
      <c r="L78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8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78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782">
        <f t="shared" ca="1" si="140"/>
        <v>1256.6500000000001</v>
      </c>
      <c r="P782">
        <f t="shared" ca="1" si="141"/>
        <v>183331.87</v>
      </c>
      <c r="Q782">
        <f t="shared" ca="1" si="142"/>
        <v>1</v>
      </c>
      <c r="R782">
        <f ca="1">((Tabla2[[#This Row],[Fantasma Comunicación]]+1)/(Tabla2[[#This Row],[Fantasma Comunicación]]+RANDBETWEEN(0,5)+2))-0.5</f>
        <v>-0.2142857142857143</v>
      </c>
      <c r="S782">
        <f ca="1">1+MAX(0,Tabla2[[#This Row],[Deuda actual]]/Tabla2[[#This Row],[Liquidez]]+Tabla2[[#This Row],[Liquidez]]/(Tabla2[[#This Row],[Activos]]+Tabla2[[#This Row],[Liquidez]])+Tabla2[[#This Row],[Comunicación]])</f>
        <v>1.1360147498013453</v>
      </c>
      <c r="T782">
        <f ca="1">Tabla2[[#This Row],[Deuda actual]]*EXP(Tabla2[[#This Row],[Ki]]*Tabla2[[#This Row],[diferencia de días]])*(1+Tabla2[[#This Row],[Hg]])</f>
        <v>346.28825091869567</v>
      </c>
    </row>
    <row r="783" spans="1:20" ht="14.5" x14ac:dyDescent="0.35">
      <c r="A783">
        <f t="shared" si="132"/>
        <v>782</v>
      </c>
      <c r="B783">
        <f t="shared" ca="1" si="133"/>
        <v>46112</v>
      </c>
      <c r="C783">
        <f t="shared" ca="1" si="134"/>
        <v>46157</v>
      </c>
      <c r="D783">
        <f t="shared" ca="1" si="135"/>
        <v>37</v>
      </c>
      <c r="E783">
        <f t="shared" ca="1" si="136"/>
        <v>0.87877039332856133</v>
      </c>
      <c r="F783">
        <f t="shared" ca="1" si="137"/>
        <v>404.04</v>
      </c>
      <c r="G783" t="str">
        <f t="shared" ca="1" si="138"/>
        <v>hipotecario</v>
      </c>
      <c r="H78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783" t="str">
        <f t="shared" ca="1" si="139"/>
        <v>No</v>
      </c>
      <c r="J78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165000.50288450855</v>
      </c>
      <c r="K783" t="str">
        <f ca="1">IF(Tabla2[[#This Row],[¿cliente deuda abierta?]]="Sí", Tabla2[[#This Row],[Deuda actual]]*Tabla2[[#This Row],[diferencia de días]], "0")</f>
        <v>0</v>
      </c>
      <c r="L78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8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78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783">
        <f t="shared" ca="1" si="140"/>
        <v>1388.28</v>
      </c>
      <c r="P783">
        <f t="shared" ca="1" si="141"/>
        <v>48151.98</v>
      </c>
      <c r="Q783">
        <f t="shared" ca="1" si="142"/>
        <v>2</v>
      </c>
      <c r="R783">
        <f ca="1">((Tabla2[[#This Row],[Fantasma Comunicación]]+1)/(Tabla2[[#This Row],[Fantasma Comunicación]]+RANDBETWEEN(0,5)+2))-0.5</f>
        <v>-7.1428571428571452E-2</v>
      </c>
      <c r="S783">
        <f ca="1">1+MAX(0,Tabla2[[#This Row],[Deuda actual]]/Tabla2[[#This Row],[Liquidez]]+Tabla2[[#This Row],[Liquidez]]/(Tabla2[[#This Row],[Activos]]+Tabla2[[#This Row],[Liquidez]])+Tabla2[[#This Row],[Comunicación]])</f>
        <v>1.2476310872727638</v>
      </c>
      <c r="T783">
        <f ca="1">Tabla2[[#This Row],[Deuda actual]]*EXP(Tabla2[[#This Row],[Ki]]*Tabla2[[#This Row],[diferencia de días]])*(1+Tabla2[[#This Row],[Hg]])</f>
        <v>335.41559051155923</v>
      </c>
    </row>
    <row r="784" spans="1:20" ht="14.5" x14ac:dyDescent="0.35">
      <c r="A784">
        <f t="shared" si="132"/>
        <v>783</v>
      </c>
      <c r="B784">
        <f t="shared" ca="1" si="133"/>
        <v>46133</v>
      </c>
      <c r="C784">
        <f t="shared" ca="1" si="134"/>
        <v>46157</v>
      </c>
      <c r="D784">
        <f t="shared" ca="1" si="135"/>
        <v>10</v>
      </c>
      <c r="E784">
        <f t="shared" ca="1" si="136"/>
        <v>0.10223138163668988</v>
      </c>
      <c r="F784">
        <f t="shared" ca="1" si="137"/>
        <v>496.31</v>
      </c>
      <c r="G784" t="str">
        <f t="shared" ca="1" si="138"/>
        <v>personal</v>
      </c>
      <c r="H78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84" t="str">
        <f t="shared" ca="1" si="139"/>
        <v>Sí</v>
      </c>
      <c r="J78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84">
        <f ca="1">IF(Tabla2[[#This Row],[¿cliente deuda abierta?]]="Sí", Tabla2[[#This Row],[Deuda actual]]*Tabla2[[#This Row],[diferencia de días]], "0")</f>
        <v>4963.1000000000004</v>
      </c>
      <c r="L78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8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8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84">
        <f t="shared" ca="1" si="140"/>
        <v>2128.1</v>
      </c>
      <c r="P784">
        <f t="shared" ca="1" si="141"/>
        <v>206470.41</v>
      </c>
      <c r="Q784">
        <f t="shared" ca="1" si="142"/>
        <v>1</v>
      </c>
      <c r="R784">
        <f ca="1">((Tabla2[[#This Row],[Fantasma Comunicación]]+1)/(Tabla2[[#This Row],[Fantasma Comunicación]]+RANDBETWEEN(0,5)+2))-0.5</f>
        <v>0</v>
      </c>
      <c r="S784">
        <f ca="1">1+MAX(0,Tabla2[[#This Row],[Deuda actual]]/Tabla2[[#This Row],[Liquidez]]+Tabla2[[#This Row],[Liquidez]]/(Tabla2[[#This Row],[Activos]]+Tabla2[[#This Row],[Liquidez]])+Tabla2[[#This Row],[Comunicación]])</f>
        <v>1.2434193185321734</v>
      </c>
      <c r="T784">
        <f ca="1">Tabla2[[#This Row],[Deuda actual]]*EXP(Tabla2[[#This Row],[Ki]]*Tabla2[[#This Row],[diferencia de días]])*(1+Tabla2[[#This Row],[Hg]])</f>
        <v>522.16879394618161</v>
      </c>
    </row>
    <row r="785" spans="1:20" ht="14.5" x14ac:dyDescent="0.35">
      <c r="A785">
        <f t="shared" si="132"/>
        <v>784</v>
      </c>
      <c r="B785">
        <f t="shared" ca="1" si="133"/>
        <v>46136</v>
      </c>
      <c r="C785">
        <f t="shared" ca="1" si="134"/>
        <v>46157</v>
      </c>
      <c r="D785">
        <f t="shared" ca="1" si="135"/>
        <v>8</v>
      </c>
      <c r="E785">
        <f t="shared" ca="1" si="136"/>
        <v>0.21517574140325435</v>
      </c>
      <c r="F785">
        <f t="shared" ca="1" si="137"/>
        <v>290.36</v>
      </c>
      <c r="G785" t="str">
        <f t="shared" ca="1" si="138"/>
        <v>hipotecario</v>
      </c>
      <c r="H78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85" t="str">
        <f t="shared" ca="1" si="139"/>
        <v>Sí</v>
      </c>
      <c r="J78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85">
        <f ca="1">IF(Tabla2[[#This Row],[¿cliente deuda abierta?]]="Sí", Tabla2[[#This Row],[Deuda actual]]*Tabla2[[#This Row],[diferencia de días]], "0")</f>
        <v>2322.88</v>
      </c>
      <c r="L78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8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8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85">
        <f t="shared" ca="1" si="140"/>
        <v>1219.8599999999999</v>
      </c>
      <c r="P785">
        <f t="shared" ca="1" si="141"/>
        <v>211102.37</v>
      </c>
      <c r="Q785">
        <f t="shared" ca="1" si="142"/>
        <v>5</v>
      </c>
      <c r="R785">
        <f ca="1">((Tabla2[[#This Row],[Fantasma Comunicación]]+1)/(Tabla2[[#This Row],[Fantasma Comunicación]]+RANDBETWEEN(0,5)+2))-0.5</f>
        <v>0</v>
      </c>
      <c r="S785">
        <f ca="1">1+MAX(0,Tabla2[[#This Row],[Deuda actual]]/Tabla2[[#This Row],[Liquidez]]+Tabla2[[#This Row],[Liquidez]]/(Tabla2[[#This Row],[Activos]]+Tabla2[[#This Row],[Liquidez]])+Tabla2[[#This Row],[Comunicación]])</f>
        <v>1.2437726385921997</v>
      </c>
      <c r="T785">
        <f ca="1">Tabla2[[#This Row],[Deuda actual]]*EXP(Tabla2[[#This Row],[Ki]]*Tabla2[[#This Row],[diferencia de días]])*(1+Tabla2[[#This Row],[Hg]])</f>
        <v>305.36619525205333</v>
      </c>
    </row>
    <row r="786" spans="1:20" ht="14.5" x14ac:dyDescent="0.35">
      <c r="A786">
        <f t="shared" si="132"/>
        <v>785</v>
      </c>
      <c r="B786">
        <f t="shared" ca="1" si="133"/>
        <v>46089</v>
      </c>
      <c r="C786">
        <f t="shared" ca="1" si="134"/>
        <v>46157</v>
      </c>
      <c r="D786">
        <f t="shared" ca="1" si="135"/>
        <v>25</v>
      </c>
      <c r="E786">
        <f t="shared" ca="1" si="136"/>
        <v>0.75231136937843246</v>
      </c>
      <c r="F786">
        <f t="shared" ca="1" si="137"/>
        <v>3445.42</v>
      </c>
      <c r="G786" t="str">
        <f t="shared" ca="1" si="138"/>
        <v>personal</v>
      </c>
      <c r="H78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86" t="str">
        <f t="shared" ca="1" si="139"/>
        <v>No</v>
      </c>
      <c r="J78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11999.58400058814</v>
      </c>
      <c r="K786" t="str">
        <f ca="1">IF(Tabla2[[#This Row],[¿cliente deuda abierta?]]="Sí", Tabla2[[#This Row],[Deuda actual]]*Tabla2[[#This Row],[diferencia de días]], "0")</f>
        <v>0</v>
      </c>
      <c r="L78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8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86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86">
        <f t="shared" ca="1" si="140"/>
        <v>1463.67</v>
      </c>
      <c r="P786">
        <f t="shared" ca="1" si="141"/>
        <v>70861.17</v>
      </c>
      <c r="Q786">
        <f t="shared" ca="1" si="142"/>
        <v>2</v>
      </c>
      <c r="R786">
        <f ca="1">((Tabla2[[#This Row],[Fantasma Comunicación]]+1)/(Tabla2[[#This Row],[Fantasma Comunicación]]+RANDBETWEEN(0,5)+2))-0.5</f>
        <v>0.25</v>
      </c>
      <c r="S786">
        <f ca="1">1+MAX(0,Tabla2[[#This Row],[Deuda actual]]/Tabla2[[#This Row],[Liquidez]]+Tabla2[[#This Row],[Liquidez]]/(Tabla2[[#This Row],[Activos]]+Tabla2[[#This Row],[Liquidez]])+Tabla2[[#This Row],[Comunicación]])</f>
        <v>3.6241970127810297</v>
      </c>
      <c r="T786">
        <f ca="1">Tabla2[[#This Row],[Deuda actual]]*EXP(Tabla2[[#This Row],[Ki]]*Tabla2[[#This Row],[diferencia de días]])*(1+Tabla2[[#This Row],[Hg]])</f>
        <v>3132.0423420076208</v>
      </c>
    </row>
    <row r="787" spans="1:20" ht="14.5" x14ac:dyDescent="0.35">
      <c r="A787">
        <f t="shared" si="132"/>
        <v>786</v>
      </c>
      <c r="B787">
        <f t="shared" ca="1" si="133"/>
        <v>46141</v>
      </c>
      <c r="C787">
        <f t="shared" ca="1" si="134"/>
        <v>46157</v>
      </c>
      <c r="D787">
        <f t="shared" ca="1" si="135"/>
        <v>33</v>
      </c>
      <c r="E787">
        <f t="shared" ca="1" si="136"/>
        <v>0.60631072553174381</v>
      </c>
      <c r="F787">
        <f t="shared" ca="1" si="137"/>
        <v>1534.53</v>
      </c>
      <c r="G787" t="str">
        <f t="shared" ca="1" si="138"/>
        <v>hipotecario</v>
      </c>
      <c r="H78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787" t="str">
        <f t="shared" ca="1" si="139"/>
        <v>No</v>
      </c>
      <c r="J78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164999.59740243488</v>
      </c>
      <c r="K787" t="str">
        <f ca="1">IF(Tabla2[[#This Row],[¿cliente deuda abierta?]]="Sí", Tabla2[[#This Row],[Deuda actual]]*Tabla2[[#This Row],[diferencia de días]], "0")</f>
        <v>0</v>
      </c>
      <c r="L78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8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78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787">
        <f t="shared" ca="1" si="140"/>
        <v>2114.85</v>
      </c>
      <c r="P787">
        <f t="shared" ca="1" si="141"/>
        <v>400645.7</v>
      </c>
      <c r="Q787">
        <f t="shared" ca="1" si="142"/>
        <v>1</v>
      </c>
      <c r="R787">
        <f ca="1">((Tabla2[[#This Row],[Fantasma Comunicación]]+1)/(Tabla2[[#This Row],[Fantasma Comunicación]]+RANDBETWEEN(0,5)+2))-0.5</f>
        <v>-0.25</v>
      </c>
      <c r="S787">
        <f ca="1">1+MAX(0,Tabla2[[#This Row],[Deuda actual]]/Tabla2[[#This Row],[Liquidez]]+Tabla2[[#This Row],[Liquidez]]/(Tabla2[[#This Row],[Activos]]+Tabla2[[#This Row],[Liquidez]])+Tabla2[[#This Row],[Comunicación]])</f>
        <v>1.4808484467727088</v>
      </c>
      <c r="T787">
        <f ca="1">Tabla2[[#This Row],[Deuda actual]]*EXP(Tabla2[[#This Row],[Ki]]*Tabla2[[#This Row],[diferencia de días]])*(1+Tabla2[[#This Row],[Hg]])</f>
        <v>1268.8114471855686</v>
      </c>
    </row>
    <row r="788" spans="1:20" ht="14.5" x14ac:dyDescent="0.35">
      <c r="A788">
        <f t="shared" si="132"/>
        <v>787</v>
      </c>
      <c r="B788">
        <f t="shared" ca="1" si="133"/>
        <v>46142</v>
      </c>
      <c r="C788">
        <f t="shared" ca="1" si="134"/>
        <v>46157</v>
      </c>
      <c r="D788">
        <f t="shared" ca="1" si="135"/>
        <v>4</v>
      </c>
      <c r="E788">
        <f t="shared" ca="1" si="136"/>
        <v>0.49466162386305412</v>
      </c>
      <c r="F788">
        <f t="shared" ca="1" si="137"/>
        <v>168.95</v>
      </c>
      <c r="G788" t="str">
        <f t="shared" ca="1" si="138"/>
        <v>personal</v>
      </c>
      <c r="H78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88" t="str">
        <f t="shared" ca="1" si="139"/>
        <v>No</v>
      </c>
      <c r="J78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11999.583878338917</v>
      </c>
      <c r="K788" t="str">
        <f ca="1">IF(Tabla2[[#This Row],[¿cliente deuda abierta?]]="Sí", Tabla2[[#This Row],[Deuda actual]]*Tabla2[[#This Row],[diferencia de días]], "0")</f>
        <v>0</v>
      </c>
      <c r="L78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8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8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88">
        <f t="shared" ca="1" si="140"/>
        <v>1752.48</v>
      </c>
      <c r="P788">
        <f t="shared" ca="1" si="141"/>
        <v>84922.98</v>
      </c>
      <c r="Q788">
        <f t="shared" ca="1" si="142"/>
        <v>3</v>
      </c>
      <c r="R788">
        <f ca="1">((Tabla2[[#This Row],[Fantasma Comunicación]]+1)/(Tabla2[[#This Row],[Fantasma Comunicación]]+RANDBETWEEN(0,5)+2))-0.5</f>
        <v>-5.555555555555558E-2</v>
      </c>
      <c r="S788">
        <f ca="1">1+MAX(0,Tabla2[[#This Row],[Deuda actual]]/Tabla2[[#This Row],[Liquidez]]+Tabla2[[#This Row],[Liquidez]]/(Tabla2[[#This Row],[Activos]]+Tabla2[[#This Row],[Liquidez]])+Tabla2[[#This Row],[Comunicación]])</f>
        <v>1.0610695518180471</v>
      </c>
      <c r="T788">
        <f ca="1">Tabla2[[#This Row],[Deuda actual]]*EXP(Tabla2[[#This Row],[Ki]]*Tabla2[[#This Row],[diferencia de días]])*(1+Tabla2[[#This Row],[Hg]])</f>
        <v>152.17669267057795</v>
      </c>
    </row>
    <row r="789" spans="1:20" ht="14.5" x14ac:dyDescent="0.35">
      <c r="A789">
        <f t="shared" si="132"/>
        <v>788</v>
      </c>
      <c r="B789">
        <f t="shared" ca="1" si="133"/>
        <v>46138</v>
      </c>
      <c r="C789">
        <f t="shared" ca="1" si="134"/>
        <v>46157</v>
      </c>
      <c r="D789">
        <f t="shared" ca="1" si="135"/>
        <v>2</v>
      </c>
      <c r="E789">
        <f t="shared" ca="1" si="136"/>
        <v>0.57020861508333842</v>
      </c>
      <c r="F789">
        <f t="shared" ca="1" si="137"/>
        <v>1293.1099999999999</v>
      </c>
      <c r="G789" t="str">
        <f t="shared" ca="1" si="138"/>
        <v>hipotecario</v>
      </c>
      <c r="H78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89" t="str">
        <f t="shared" ca="1" si="139"/>
        <v>Sí</v>
      </c>
      <c r="J78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89">
        <f ca="1">IF(Tabla2[[#This Row],[¿cliente deuda abierta?]]="Sí", Tabla2[[#This Row],[Deuda actual]]*Tabla2[[#This Row],[diferencia de días]], "0")</f>
        <v>2586.2199999999998</v>
      </c>
      <c r="L78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8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8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89">
        <f t="shared" ca="1" si="140"/>
        <v>1627.51</v>
      </c>
      <c r="P789">
        <f t="shared" ca="1" si="141"/>
        <v>291843.78000000003</v>
      </c>
      <c r="Q789">
        <f t="shared" ca="1" si="142"/>
        <v>2</v>
      </c>
      <c r="R789">
        <f ca="1">((Tabla2[[#This Row],[Fantasma Comunicación]]+1)/(Tabla2[[#This Row],[Fantasma Comunicación]]+RANDBETWEEN(0,5)+2))-0.5</f>
        <v>0</v>
      </c>
      <c r="S789">
        <f ca="1">1+MAX(0,Tabla2[[#This Row],[Deuda actual]]/Tabla2[[#This Row],[Liquidez]]+Tabla2[[#This Row],[Liquidez]]/(Tabla2[[#This Row],[Activos]]+Tabla2[[#This Row],[Liquidez]])+Tabla2[[#This Row],[Comunicación]])</f>
        <v>1.8000784738418174</v>
      </c>
      <c r="T789">
        <f ca="1">Tabla2[[#This Row],[Deuda actual]]*EXP(Tabla2[[#This Row],[Ki]]*Tabla2[[#This Row],[diferencia de días]])*(1+Tabla2[[#This Row],[Hg]])</f>
        <v>1358.3087148357245</v>
      </c>
    </row>
    <row r="790" spans="1:20" ht="14.5" x14ac:dyDescent="0.35">
      <c r="A790">
        <f t="shared" si="132"/>
        <v>789</v>
      </c>
      <c r="B790">
        <f t="shared" ca="1" si="133"/>
        <v>46116</v>
      </c>
      <c r="C790">
        <f t="shared" ca="1" si="134"/>
        <v>46157</v>
      </c>
      <c r="D790">
        <f t="shared" ca="1" si="135"/>
        <v>6</v>
      </c>
      <c r="E790">
        <f t="shared" ca="1" si="136"/>
        <v>0.13758068679455016</v>
      </c>
      <c r="F790">
        <f t="shared" ca="1" si="137"/>
        <v>860.56</v>
      </c>
      <c r="G790" t="str">
        <f t="shared" ca="1" si="138"/>
        <v>hipotecario</v>
      </c>
      <c r="H79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90" t="str">
        <f t="shared" ca="1" si="139"/>
        <v>Sí</v>
      </c>
      <c r="J79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90">
        <f ca="1">IF(Tabla2[[#This Row],[¿cliente deuda abierta?]]="Sí", Tabla2[[#This Row],[Deuda actual]]*Tabla2[[#This Row],[diferencia de días]], "0")</f>
        <v>5163.3599999999997</v>
      </c>
      <c r="L79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9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9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90">
        <f t="shared" ca="1" si="140"/>
        <v>1861.03</v>
      </c>
      <c r="P790">
        <f t="shared" ca="1" si="141"/>
        <v>123237.91</v>
      </c>
      <c r="Q790">
        <f t="shared" ca="1" si="142"/>
        <v>3</v>
      </c>
      <c r="R790">
        <f ca="1">((Tabla2[[#This Row],[Fantasma Comunicación]]+1)/(Tabla2[[#This Row],[Fantasma Comunicación]]+RANDBETWEEN(0,5)+2))-0.5</f>
        <v>-5.555555555555558E-2</v>
      </c>
      <c r="S790">
        <f ca="1">1+MAX(0,Tabla2[[#This Row],[Deuda actual]]/Tabla2[[#This Row],[Liquidez]]+Tabla2[[#This Row],[Liquidez]]/(Tabla2[[#This Row],[Activos]]+Tabla2[[#This Row],[Liquidez]])+Tabla2[[#This Row],[Comunicación]])</f>
        <v>1.4217315100062815</v>
      </c>
      <c r="T790">
        <f ca="1">Tabla2[[#This Row],[Deuda actual]]*EXP(Tabla2[[#This Row],[Ki]]*Tabla2[[#This Row],[diferencia de días]])*(1+Tabla2[[#This Row],[Hg]])</f>
        <v>904.6729564436713</v>
      </c>
    </row>
    <row r="791" spans="1:20" ht="14.5" x14ac:dyDescent="0.35">
      <c r="A791">
        <f t="shared" si="132"/>
        <v>790</v>
      </c>
      <c r="B791">
        <f t="shared" ca="1" si="133"/>
        <v>46088</v>
      </c>
      <c r="C791">
        <f t="shared" ca="1" si="134"/>
        <v>46157</v>
      </c>
      <c r="D791">
        <f t="shared" ca="1" si="135"/>
        <v>15</v>
      </c>
      <c r="E791">
        <f t="shared" ca="1" si="136"/>
        <v>0.79407686009990497</v>
      </c>
      <c r="F791">
        <f t="shared" ca="1" si="137"/>
        <v>1217.2</v>
      </c>
      <c r="G791" t="str">
        <f t="shared" ca="1" si="138"/>
        <v>personal</v>
      </c>
      <c r="H79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91" t="str">
        <f t="shared" ca="1" si="139"/>
        <v>No</v>
      </c>
      <c r="J79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12000.130923973591</v>
      </c>
      <c r="K791" t="str">
        <f ca="1">IF(Tabla2[[#This Row],[¿cliente deuda abierta?]]="Sí", Tabla2[[#This Row],[Deuda actual]]*Tabla2[[#This Row],[diferencia de días]], "0")</f>
        <v>0</v>
      </c>
      <c r="L79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9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91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91">
        <f t="shared" ca="1" si="140"/>
        <v>1697.93</v>
      </c>
      <c r="P791">
        <f t="shared" ca="1" si="141"/>
        <v>63471.41</v>
      </c>
      <c r="Q791">
        <f t="shared" ca="1" si="142"/>
        <v>2</v>
      </c>
      <c r="R791">
        <f ca="1">((Tabla2[[#This Row],[Fantasma Comunicación]]+1)/(Tabla2[[#This Row],[Fantasma Comunicación]]+RANDBETWEEN(0,5)+2))-0.5</f>
        <v>9.9999999999999978E-2</v>
      </c>
      <c r="S791">
        <f ca="1">1+MAX(0,Tabla2[[#This Row],[Deuda actual]]/Tabla2[[#This Row],[Liquidez]]+Tabla2[[#This Row],[Liquidez]]/(Tabla2[[#This Row],[Activos]]+Tabla2[[#This Row],[Liquidez]])+Tabla2[[#This Row],[Comunicación]])</f>
        <v>1.842927021173117</v>
      </c>
      <c r="T791">
        <f ca="1">Tabla2[[#This Row],[Deuda actual]]*EXP(Tabla2[[#This Row],[Ki]]*Tabla2[[#This Row],[diferencia de días]])*(1+Tabla2[[#This Row],[Hg]])</f>
        <v>1102.0726381365071</v>
      </c>
    </row>
    <row r="792" spans="1:20" ht="14.5" x14ac:dyDescent="0.35">
      <c r="A792">
        <f t="shared" si="132"/>
        <v>791</v>
      </c>
      <c r="B792">
        <f t="shared" ca="1" si="133"/>
        <v>46115</v>
      </c>
      <c r="C792">
        <f t="shared" ca="1" si="134"/>
        <v>46157</v>
      </c>
      <c r="D792">
        <f t="shared" ca="1" si="135"/>
        <v>4</v>
      </c>
      <c r="E792">
        <f t="shared" ca="1" si="136"/>
        <v>0.2579636039867329</v>
      </c>
      <c r="F792">
        <f t="shared" ca="1" si="137"/>
        <v>334.05</v>
      </c>
      <c r="G792" t="str">
        <f t="shared" ca="1" si="138"/>
        <v>hipotecario</v>
      </c>
      <c r="H79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92" t="str">
        <f t="shared" ca="1" si="139"/>
        <v>Sí</v>
      </c>
      <c r="J79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92">
        <f ca="1">IF(Tabla2[[#This Row],[¿cliente deuda abierta?]]="Sí", Tabla2[[#This Row],[Deuda actual]]*Tabla2[[#This Row],[diferencia de días]], "0")</f>
        <v>1336.2</v>
      </c>
      <c r="L79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9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9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92">
        <f t="shared" ca="1" si="140"/>
        <v>2494.6999999999998</v>
      </c>
      <c r="P792">
        <f t="shared" ca="1" si="141"/>
        <v>128390.88</v>
      </c>
      <c r="Q792">
        <f t="shared" ca="1" si="142"/>
        <v>1</v>
      </c>
      <c r="R792">
        <f ca="1">((Tabla2[[#This Row],[Fantasma Comunicación]]+1)/(Tabla2[[#This Row],[Fantasma Comunicación]]+RANDBETWEEN(0,5)+2))-0.5</f>
        <v>-0.16666666666666669</v>
      </c>
      <c r="S792">
        <f ca="1">1+MAX(0,Tabla2[[#This Row],[Deuda actual]]/Tabla2[[#This Row],[Liquidez]]+Tabla2[[#This Row],[Liquidez]]/(Tabla2[[#This Row],[Activos]]+Tabla2[[#This Row],[Liquidez]])+Tabla2[[#This Row],[Comunicación]])</f>
        <v>1</v>
      </c>
      <c r="T792">
        <f ca="1">Tabla2[[#This Row],[Deuda actual]]*EXP(Tabla2[[#This Row],[Ki]]*Tabla2[[#This Row],[diferencia de días]])*(1+Tabla2[[#This Row],[Hg]])</f>
        <v>351.03321427073689</v>
      </c>
    </row>
    <row r="793" spans="1:20" ht="14.5" x14ac:dyDescent="0.35">
      <c r="A793">
        <f t="shared" si="132"/>
        <v>792</v>
      </c>
      <c r="B793">
        <f t="shared" ca="1" si="133"/>
        <v>46112</v>
      </c>
      <c r="C793">
        <f t="shared" ca="1" si="134"/>
        <v>46157</v>
      </c>
      <c r="D793">
        <f t="shared" ca="1" si="135"/>
        <v>90</v>
      </c>
      <c r="E793">
        <f t="shared" ca="1" si="136"/>
        <v>5.7328576792935904E-2</v>
      </c>
      <c r="F793">
        <f t="shared" ca="1" si="137"/>
        <v>6839.24</v>
      </c>
      <c r="G793" t="str">
        <f t="shared" ca="1" si="138"/>
        <v>personal</v>
      </c>
      <c r="H79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0</v>
      </c>
      <c r="I793" t="str">
        <f t="shared" ca="1" si="139"/>
        <v>Sí</v>
      </c>
      <c r="J79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93">
        <f ca="1">IF(Tabla2[[#This Row],[¿cliente deuda abierta?]]="Sí", Tabla2[[#This Row],[Deuda actual]]*Tabla2[[#This Row],[diferencia de días]], "0")</f>
        <v>615531.6</v>
      </c>
      <c r="L79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0.5</v>
      </c>
      <c r="M79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93">
        <f ca="1">MAX(Tabla2[[#This Row],[VALORES DE Hg para actuales deudores]:[Valores de HG para deudores cerrados]])*IF(Tabla2[[#This Row],[VALORES DE Hg para actuales deudores]]&gt;Tabla2[[#This Row],[Valores de HG para deudores cerrados]],-1,1)</f>
        <v>0.5</v>
      </c>
      <c r="O793">
        <f t="shared" ca="1" si="140"/>
        <v>1091.3699999999999</v>
      </c>
      <c r="P793">
        <f t="shared" ca="1" si="141"/>
        <v>152410.91</v>
      </c>
      <c r="Q793">
        <f t="shared" ca="1" si="142"/>
        <v>1</v>
      </c>
      <c r="R793">
        <f ca="1">((Tabla2[[#This Row],[Fantasma Comunicación]]+1)/(Tabla2[[#This Row],[Fantasma Comunicación]]+RANDBETWEEN(0,5)+2))-0.5</f>
        <v>-0.16666666666666669</v>
      </c>
      <c r="S793">
        <f ca="1">1+MAX(0,Tabla2[[#This Row],[Deuda actual]]/Tabla2[[#This Row],[Liquidez]]+Tabla2[[#This Row],[Liquidez]]/(Tabla2[[#This Row],[Activos]]+Tabla2[[#This Row],[Liquidez]])+Tabla2[[#This Row],[Comunicación]])</f>
        <v>7.1070988013208698</v>
      </c>
      <c r="T793">
        <f ca="1">Tabla2[[#This Row],[Deuda actual]]*EXP(Tabla2[[#This Row],[Ki]]*Tabla2[[#This Row],[diferencia de días]])*(1+Tabla2[[#This Row],[Hg]])</f>
        <v>10258.86</v>
      </c>
    </row>
    <row r="794" spans="1:20" ht="14.5" x14ac:dyDescent="0.35">
      <c r="A794">
        <f t="shared" si="132"/>
        <v>793</v>
      </c>
      <c r="B794">
        <f t="shared" ca="1" si="133"/>
        <v>46126</v>
      </c>
      <c r="C794">
        <f t="shared" ca="1" si="134"/>
        <v>46157</v>
      </c>
      <c r="D794">
        <f t="shared" ca="1" si="135"/>
        <v>31</v>
      </c>
      <c r="E794">
        <f t="shared" ca="1" si="136"/>
        <v>0.26165046512916346</v>
      </c>
      <c r="F794">
        <f t="shared" ca="1" si="137"/>
        <v>112.37</v>
      </c>
      <c r="G794" t="str">
        <f t="shared" ca="1" si="138"/>
        <v>personal</v>
      </c>
      <c r="H79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794" t="str">
        <f t="shared" ca="1" si="139"/>
        <v>No</v>
      </c>
      <c r="J79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12000.597112865142</v>
      </c>
      <c r="K794" t="str">
        <f ca="1">IF(Tabla2[[#This Row],[¿cliente deuda abierta?]]="Sí", Tabla2[[#This Row],[Deuda actual]]*Tabla2[[#This Row],[diferencia de días]], "0")</f>
        <v>0</v>
      </c>
      <c r="L79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9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9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94">
        <f t="shared" ca="1" si="140"/>
        <v>1480.33</v>
      </c>
      <c r="P794">
        <f t="shared" ca="1" si="141"/>
        <v>201907.23</v>
      </c>
      <c r="Q794">
        <f t="shared" ca="1" si="142"/>
        <v>4</v>
      </c>
      <c r="R794">
        <f ca="1">((Tabla2[[#This Row],[Fantasma Comunicación]]+1)/(Tabla2[[#This Row],[Fantasma Comunicación]]+RANDBETWEEN(0,5)+2))-0.5</f>
        <v>0.125</v>
      </c>
      <c r="S794">
        <f ca="1">1+MAX(0,Tabla2[[#This Row],[Deuda actual]]/Tabla2[[#This Row],[Liquidez]]+Tabla2[[#This Row],[Liquidez]]/(Tabla2[[#This Row],[Activos]]+Tabla2[[#This Row],[Liquidez]])+Tabla2[[#This Row],[Comunicación]])</f>
        <v>1.2081871204935384</v>
      </c>
      <c r="T794">
        <f ca="1">Tabla2[[#This Row],[Deuda actual]]*EXP(Tabla2[[#This Row],[Ki]]*Tabla2[[#This Row],[diferencia de días]])*(1+Tabla2[[#This Row],[Hg]])</f>
        <v>104.31722346455571</v>
      </c>
    </row>
    <row r="795" spans="1:20" ht="14.5" x14ac:dyDescent="0.35">
      <c r="A795">
        <f t="shared" si="132"/>
        <v>794</v>
      </c>
      <c r="B795">
        <f t="shared" ca="1" si="133"/>
        <v>46088</v>
      </c>
      <c r="C795">
        <f t="shared" ca="1" si="134"/>
        <v>46157</v>
      </c>
      <c r="D795">
        <f t="shared" ca="1" si="135"/>
        <v>9</v>
      </c>
      <c r="E795">
        <f t="shared" ca="1" si="136"/>
        <v>0.90172433265661545</v>
      </c>
      <c r="F795">
        <f t="shared" ca="1" si="137"/>
        <v>1324.34</v>
      </c>
      <c r="G795" t="str">
        <f t="shared" ca="1" si="138"/>
        <v>hipotecario</v>
      </c>
      <c r="H79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95" t="str">
        <f t="shared" ca="1" si="139"/>
        <v>No</v>
      </c>
      <c r="J79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165000.17416630767</v>
      </c>
      <c r="K795" t="str">
        <f ca="1">IF(Tabla2[[#This Row],[¿cliente deuda abierta?]]="Sí", Tabla2[[#This Row],[Deuda actual]]*Tabla2[[#This Row],[diferencia de días]], "0")</f>
        <v>0</v>
      </c>
      <c r="L79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9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795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795">
        <f t="shared" ca="1" si="140"/>
        <v>1563.04</v>
      </c>
      <c r="P795">
        <f t="shared" ca="1" si="141"/>
        <v>260170.68</v>
      </c>
      <c r="Q795">
        <f t="shared" ca="1" si="142"/>
        <v>4</v>
      </c>
      <c r="R795">
        <f ca="1">((Tabla2[[#This Row],[Fantasma Comunicación]]+1)/(Tabla2[[#This Row],[Fantasma Comunicación]]+RANDBETWEEN(0,5)+2))-0.5</f>
        <v>0</v>
      </c>
      <c r="S795">
        <f ca="1">1+MAX(0,Tabla2[[#This Row],[Deuda actual]]/Tabla2[[#This Row],[Liquidez]]+Tabla2[[#This Row],[Liquidez]]/(Tabla2[[#This Row],[Activos]]+Tabla2[[#This Row],[Liquidez]])+Tabla2[[#This Row],[Comunicación]])</f>
        <v>1.8532566493340172</v>
      </c>
      <c r="T795">
        <f ca="1">Tabla2[[#This Row],[Deuda actual]]*EXP(Tabla2[[#This Row],[Ki]]*Tabla2[[#This Row],[diferencia de días]])*(1+Tabla2[[#This Row],[Hg]])</f>
        <v>1061.3807669749103</v>
      </c>
    </row>
    <row r="796" spans="1:20" ht="14.5" x14ac:dyDescent="0.35">
      <c r="A796">
        <f t="shared" si="132"/>
        <v>795</v>
      </c>
      <c r="B796">
        <f t="shared" ca="1" si="133"/>
        <v>46129</v>
      </c>
      <c r="C796">
        <f t="shared" ca="1" si="134"/>
        <v>46157</v>
      </c>
      <c r="D796">
        <f t="shared" ca="1" si="135"/>
        <v>13</v>
      </c>
      <c r="E796">
        <f t="shared" ca="1" si="136"/>
        <v>0.6006953125789386</v>
      </c>
      <c r="F796">
        <f t="shared" ca="1" si="137"/>
        <v>225.58</v>
      </c>
      <c r="G796" t="str">
        <f t="shared" ca="1" si="138"/>
        <v>personal</v>
      </c>
      <c r="H79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96" t="str">
        <f t="shared" ca="1" si="139"/>
        <v>Sí</v>
      </c>
      <c r="J79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796">
        <f ca="1">IF(Tabla2[[#This Row],[¿cliente deuda abierta?]]="Sí", Tabla2[[#This Row],[Deuda actual]]*Tabla2[[#This Row],[diferencia de días]], "0")</f>
        <v>2932.54</v>
      </c>
      <c r="L79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79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79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796">
        <f t="shared" ca="1" si="140"/>
        <v>1268.94</v>
      </c>
      <c r="P796">
        <f t="shared" ca="1" si="141"/>
        <v>455944.69</v>
      </c>
      <c r="Q796">
        <f t="shared" ca="1" si="142"/>
        <v>1</v>
      </c>
      <c r="R796">
        <f ca="1">((Tabla2[[#This Row],[Fantasma Comunicación]]+1)/(Tabla2[[#This Row],[Fantasma Comunicación]]+RANDBETWEEN(0,5)+2))-0.5</f>
        <v>0</v>
      </c>
      <c r="S796">
        <f ca="1">1+MAX(0,Tabla2[[#This Row],[Deuda actual]]/Tabla2[[#This Row],[Liquidez]]+Tabla2[[#This Row],[Liquidez]]/(Tabla2[[#This Row],[Activos]]+Tabla2[[#This Row],[Liquidez]])+Tabla2[[#This Row],[Comunicación]])</f>
        <v>1.1805457991357506</v>
      </c>
      <c r="T796">
        <f ca="1">Tabla2[[#This Row],[Deuda actual]]*EXP(Tabla2[[#This Row],[Ki]]*Tabla2[[#This Row],[diferencia de días]])*(1+Tabla2[[#This Row],[Hg]])</f>
        <v>237.47563467771022</v>
      </c>
    </row>
    <row r="797" spans="1:20" ht="14.5" x14ac:dyDescent="0.35">
      <c r="A797">
        <f t="shared" si="132"/>
        <v>796</v>
      </c>
      <c r="B797">
        <f t="shared" ca="1" si="133"/>
        <v>46084</v>
      </c>
      <c r="C797">
        <f t="shared" ca="1" si="134"/>
        <v>46157</v>
      </c>
      <c r="D797">
        <f t="shared" ca="1" si="135"/>
        <v>15</v>
      </c>
      <c r="E797">
        <f t="shared" ca="1" si="136"/>
        <v>0.49646093724726947</v>
      </c>
      <c r="F797">
        <f t="shared" ca="1" si="137"/>
        <v>16.79</v>
      </c>
      <c r="G797" t="str">
        <f t="shared" ca="1" si="138"/>
        <v>personal</v>
      </c>
      <c r="H79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797" t="str">
        <f t="shared" ca="1" si="139"/>
        <v>No</v>
      </c>
      <c r="J79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12000.638538607009</v>
      </c>
      <c r="K797" t="str">
        <f ca="1">IF(Tabla2[[#This Row],[¿cliente deuda abierta?]]="Sí", Tabla2[[#This Row],[Deuda actual]]*Tabla2[[#This Row],[diferencia de días]], "0")</f>
        <v>0</v>
      </c>
      <c r="L79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9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97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97">
        <f t="shared" ca="1" si="140"/>
        <v>2205.15</v>
      </c>
      <c r="P797">
        <f t="shared" ca="1" si="141"/>
        <v>83374.070000000007</v>
      </c>
      <c r="Q797">
        <f t="shared" ca="1" si="142"/>
        <v>5</v>
      </c>
      <c r="R797">
        <f ca="1">((Tabla2[[#This Row],[Fantasma Comunicación]]+1)/(Tabla2[[#This Row],[Fantasma Comunicación]]+RANDBETWEEN(0,5)+2))-0.5</f>
        <v>0.3571428571428571</v>
      </c>
      <c r="S797">
        <f ca="1">1+MAX(0,Tabla2[[#This Row],[Deuda actual]]/Tabla2[[#This Row],[Liquidez]]+Tabla2[[#This Row],[Liquidez]]/(Tabla2[[#This Row],[Activos]]+Tabla2[[#This Row],[Liquidez]])+Tabla2[[#This Row],[Comunicación]])</f>
        <v>1.390524204992178</v>
      </c>
      <c r="T797">
        <f ca="1">Tabla2[[#This Row],[Deuda actual]]*EXP(Tabla2[[#This Row],[Ki]]*Tabla2[[#This Row],[diferencia de días]])*(1+Tabla2[[#This Row],[Hg]])</f>
        <v>15.201938542812975</v>
      </c>
    </row>
    <row r="798" spans="1:20" ht="14.5" x14ac:dyDescent="0.35">
      <c r="A798">
        <f t="shared" si="132"/>
        <v>797</v>
      </c>
      <c r="B798">
        <f t="shared" ca="1" si="133"/>
        <v>46130</v>
      </c>
      <c r="C798">
        <f t="shared" ca="1" si="134"/>
        <v>46157</v>
      </c>
      <c r="D798">
        <f t="shared" ca="1" si="135"/>
        <v>10</v>
      </c>
      <c r="E798">
        <f t="shared" ca="1" si="136"/>
        <v>0.62658580438257316</v>
      </c>
      <c r="F798">
        <f t="shared" ca="1" si="137"/>
        <v>909.34</v>
      </c>
      <c r="G798" t="str">
        <f t="shared" ca="1" si="138"/>
        <v>personal</v>
      </c>
      <c r="H79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98" t="str">
        <f t="shared" ca="1" si="139"/>
        <v>No</v>
      </c>
      <c r="J79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11999.384348646898</v>
      </c>
      <c r="K798" t="str">
        <f ca="1">IF(Tabla2[[#This Row],[¿cliente deuda abierta?]]="Sí", Tabla2[[#This Row],[Deuda actual]]*Tabla2[[#This Row],[diferencia de días]], "0")</f>
        <v>0</v>
      </c>
      <c r="L79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9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79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798">
        <f t="shared" ca="1" si="140"/>
        <v>1419.98</v>
      </c>
      <c r="P798">
        <f t="shared" ca="1" si="141"/>
        <v>359036.36</v>
      </c>
      <c r="Q798">
        <f t="shared" ca="1" si="142"/>
        <v>1</v>
      </c>
      <c r="R798">
        <f ca="1">((Tabla2[[#This Row],[Fantasma Comunicación]]+1)/(Tabla2[[#This Row],[Fantasma Comunicación]]+RANDBETWEEN(0,5)+2))-0.5</f>
        <v>-9.9999999999999978E-2</v>
      </c>
      <c r="S798">
        <f ca="1">1+MAX(0,Tabla2[[#This Row],[Deuda actual]]/Tabla2[[#This Row],[Liquidez]]+Tabla2[[#This Row],[Liquidez]]/(Tabla2[[#This Row],[Activos]]+Tabla2[[#This Row],[Liquidez]])+Tabla2[[#This Row],[Comunicación]])</f>
        <v>1.5443286965254406</v>
      </c>
      <c r="T798">
        <f ca="1">Tabla2[[#This Row],[Deuda actual]]*EXP(Tabla2[[#This Row],[Ki]]*Tabla2[[#This Row],[diferencia de días]])*(1+Tabla2[[#This Row],[Hg]])</f>
        <v>820.04444990375384</v>
      </c>
    </row>
    <row r="799" spans="1:20" ht="14.5" x14ac:dyDescent="0.35">
      <c r="A799">
        <f t="shared" si="132"/>
        <v>798</v>
      </c>
      <c r="B799">
        <f t="shared" ca="1" si="133"/>
        <v>46106</v>
      </c>
      <c r="C799">
        <f t="shared" ca="1" si="134"/>
        <v>46157</v>
      </c>
      <c r="D799">
        <f t="shared" ca="1" si="135"/>
        <v>4</v>
      </c>
      <c r="E799">
        <f t="shared" ca="1" si="136"/>
        <v>9.8672698177420082E-2</v>
      </c>
      <c r="F799">
        <f t="shared" ca="1" si="137"/>
        <v>1083.3900000000001</v>
      </c>
      <c r="G799" t="str">
        <f t="shared" ca="1" si="138"/>
        <v>hipotecario</v>
      </c>
      <c r="H79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799" t="str">
        <f t="shared" ca="1" si="139"/>
        <v>No</v>
      </c>
      <c r="J79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164999.36726415934</v>
      </c>
      <c r="K799" t="str">
        <f ca="1">IF(Tabla2[[#This Row],[¿cliente deuda abierta?]]="Sí", Tabla2[[#This Row],[Deuda actual]]*Tabla2[[#This Row],[diferencia de días]], "0")</f>
        <v>0</v>
      </c>
      <c r="L79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79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799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799">
        <f t="shared" ca="1" si="140"/>
        <v>1386.39</v>
      </c>
      <c r="P799">
        <f t="shared" ca="1" si="141"/>
        <v>290901.19</v>
      </c>
      <c r="Q799">
        <f t="shared" ca="1" si="142"/>
        <v>0</v>
      </c>
      <c r="R799">
        <f ca="1">((Tabla2[[#This Row],[Fantasma Comunicación]]+1)/(Tabla2[[#This Row],[Fantasma Comunicación]]+RANDBETWEEN(0,5)+2))-0.5</f>
        <v>-0.33333333333333337</v>
      </c>
      <c r="S799">
        <f ca="1">1+MAX(0,Tabla2[[#This Row],[Deuda actual]]/Tabla2[[#This Row],[Liquidez]]+Tabla2[[#This Row],[Liquidez]]/(Tabla2[[#This Row],[Activos]]+Tabla2[[#This Row],[Liquidez]])+Tabla2[[#This Row],[Comunicación]])</f>
        <v>1.4528566852292621</v>
      </c>
      <c r="T799">
        <f ca="1">Tabla2[[#This Row],[Deuda actual]]*EXP(Tabla2[[#This Row],[Ki]]*Tabla2[[#This Row],[diferencia de días]])*(1+Tabla2[[#This Row],[Hg]])</f>
        <v>867.40564702181427</v>
      </c>
    </row>
    <row r="800" spans="1:20" ht="14.5" x14ac:dyDescent="0.35">
      <c r="A800">
        <f t="shared" si="132"/>
        <v>799</v>
      </c>
      <c r="B800">
        <f t="shared" ca="1" si="133"/>
        <v>46100</v>
      </c>
      <c r="C800">
        <f t="shared" ca="1" si="134"/>
        <v>46157</v>
      </c>
      <c r="D800">
        <f t="shared" ca="1" si="135"/>
        <v>4</v>
      </c>
      <c r="E800">
        <f t="shared" ca="1" si="136"/>
        <v>0.44215200309599179</v>
      </c>
      <c r="F800">
        <f t="shared" ca="1" si="137"/>
        <v>1639.16</v>
      </c>
      <c r="G800" t="str">
        <f t="shared" ca="1" si="138"/>
        <v>hipotecario</v>
      </c>
      <c r="H80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00" t="str">
        <f t="shared" ca="1" si="139"/>
        <v>No</v>
      </c>
      <c r="J80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164998.75211269464</v>
      </c>
      <c r="K800" t="str">
        <f ca="1">IF(Tabla2[[#This Row],[¿cliente deuda abierta?]]="Sí", Tabla2[[#This Row],[Deuda actual]]*Tabla2[[#This Row],[diferencia de días]], "0")</f>
        <v>0</v>
      </c>
      <c r="L80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0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80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800">
        <f t="shared" ca="1" si="140"/>
        <v>1648</v>
      </c>
      <c r="P800">
        <f t="shared" ca="1" si="141"/>
        <v>47340.7</v>
      </c>
      <c r="Q800">
        <f t="shared" ca="1" si="142"/>
        <v>4</v>
      </c>
      <c r="R800">
        <f ca="1">((Tabla2[[#This Row],[Fantasma Comunicación]]+1)/(Tabla2[[#This Row],[Fantasma Comunicación]]+RANDBETWEEN(0,5)+2))-0.5</f>
        <v>-4.545454545454547E-2</v>
      </c>
      <c r="S800">
        <f ca="1">1+MAX(0,Tabla2[[#This Row],[Deuda actual]]/Tabla2[[#This Row],[Liquidez]]+Tabla2[[#This Row],[Liquidez]]/(Tabla2[[#This Row],[Activos]]+Tabla2[[#This Row],[Liquidez]])+Tabla2[[#This Row],[Comunicación]])</f>
        <v>1.9828217878274652</v>
      </c>
      <c r="T800">
        <f ca="1">Tabla2[[#This Row],[Deuda actual]]*EXP(Tabla2[[#This Row],[Ki]]*Tabla2[[#This Row],[diferencia de días]])*(1+Tabla2[[#This Row],[Hg]])</f>
        <v>1312.3774821368825</v>
      </c>
    </row>
    <row r="801" spans="1:20" ht="14.5" x14ac:dyDescent="0.35">
      <c r="A801">
        <f t="shared" si="132"/>
        <v>800</v>
      </c>
      <c r="B801">
        <f t="shared" ca="1" si="133"/>
        <v>46108</v>
      </c>
      <c r="C801">
        <f t="shared" ca="1" si="134"/>
        <v>46157</v>
      </c>
      <c r="D801">
        <f t="shared" ca="1" si="135"/>
        <v>25</v>
      </c>
      <c r="E801">
        <f t="shared" ca="1" si="136"/>
        <v>0.41359644664029749</v>
      </c>
      <c r="F801">
        <f t="shared" ca="1" si="137"/>
        <v>918.75</v>
      </c>
      <c r="G801" t="str">
        <f t="shared" ca="1" si="138"/>
        <v>hipotecario</v>
      </c>
      <c r="H80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01" t="str">
        <f t="shared" ca="1" si="139"/>
        <v>No</v>
      </c>
      <c r="J80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165000.27514699314</v>
      </c>
      <c r="K801" t="str">
        <f ca="1">IF(Tabla2[[#This Row],[¿cliente deuda abierta?]]="Sí", Tabla2[[#This Row],[Deuda actual]]*Tabla2[[#This Row],[diferencia de días]], "0")</f>
        <v>0</v>
      </c>
      <c r="L80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0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801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801">
        <f t="shared" ca="1" si="140"/>
        <v>1711.67</v>
      </c>
      <c r="P801">
        <f t="shared" ca="1" si="141"/>
        <v>284004.05</v>
      </c>
      <c r="Q801">
        <f t="shared" ca="1" si="142"/>
        <v>1</v>
      </c>
      <c r="R801">
        <f ca="1">((Tabla2[[#This Row],[Fantasma Comunicación]]+1)/(Tabla2[[#This Row],[Fantasma Comunicación]]+RANDBETWEEN(0,5)+2))-0.5</f>
        <v>0</v>
      </c>
      <c r="S801">
        <f ca="1">1+MAX(0,Tabla2[[#This Row],[Deuda actual]]/Tabla2[[#This Row],[Liquidez]]+Tabla2[[#This Row],[Liquidez]]/(Tabla2[[#This Row],[Activos]]+Tabla2[[#This Row],[Liquidez]])+Tabla2[[#This Row],[Comunicación]])</f>
        <v>1.542747315887159</v>
      </c>
      <c r="T801">
        <f ca="1">Tabla2[[#This Row],[Deuda actual]]*EXP(Tabla2[[#This Row],[Ki]]*Tabla2[[#This Row],[diferencia de días]])*(1+Tabla2[[#This Row],[Hg]])</f>
        <v>742.38687280686349</v>
      </c>
    </row>
    <row r="802" spans="1:20" ht="14.5" x14ac:dyDescent="0.35">
      <c r="A802">
        <f t="shared" si="132"/>
        <v>801</v>
      </c>
      <c r="B802">
        <f t="shared" ca="1" si="133"/>
        <v>46091</v>
      </c>
      <c r="C802">
        <f t="shared" ca="1" si="134"/>
        <v>46157</v>
      </c>
      <c r="D802">
        <f t="shared" ca="1" si="135"/>
        <v>2</v>
      </c>
      <c r="E802">
        <f t="shared" ca="1" si="136"/>
        <v>0.33417197368010176</v>
      </c>
      <c r="F802">
        <f t="shared" ca="1" si="137"/>
        <v>3073.13</v>
      </c>
      <c r="G802" t="str">
        <f t="shared" ca="1" si="138"/>
        <v>hipotecario</v>
      </c>
      <c r="H80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02" t="str">
        <f t="shared" ca="1" si="139"/>
        <v>Sí</v>
      </c>
      <c r="J80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02">
        <f ca="1">IF(Tabla2[[#This Row],[¿cliente deuda abierta?]]="Sí", Tabla2[[#This Row],[Deuda actual]]*Tabla2[[#This Row],[diferencia de días]], "0")</f>
        <v>6146.26</v>
      </c>
      <c r="L80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0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0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02">
        <f t="shared" ca="1" si="140"/>
        <v>1494.96</v>
      </c>
      <c r="P802">
        <f t="shared" ca="1" si="141"/>
        <v>101192.66</v>
      </c>
      <c r="Q802">
        <f t="shared" ca="1" si="142"/>
        <v>1</v>
      </c>
      <c r="R802">
        <f ca="1">((Tabla2[[#This Row],[Fantasma Comunicación]]+1)/(Tabla2[[#This Row],[Fantasma Comunicación]]+RANDBETWEEN(0,5)+2))-0.5</f>
        <v>0.16666666666666663</v>
      </c>
      <c r="S802">
        <f ca="1">1+MAX(0,Tabla2[[#This Row],[Deuda actual]]/Tabla2[[#This Row],[Liquidez]]+Tabla2[[#This Row],[Liquidez]]/(Tabla2[[#This Row],[Activos]]+Tabla2[[#This Row],[Liquidez]])+Tabla2[[#This Row],[Comunicación]])</f>
        <v>3.2368853462621199</v>
      </c>
      <c r="T802">
        <f ca="1">Tabla2[[#This Row],[Deuda actual]]*EXP(Tabla2[[#This Row],[Ki]]*Tabla2[[#This Row],[diferencia de días]])*(1+Tabla2[[#This Row],[Hg]])</f>
        <v>3228.0774727773432</v>
      </c>
    </row>
    <row r="803" spans="1:20" ht="14.5" x14ac:dyDescent="0.35">
      <c r="A803">
        <f t="shared" si="132"/>
        <v>802</v>
      </c>
      <c r="B803">
        <f t="shared" ca="1" si="133"/>
        <v>46086</v>
      </c>
      <c r="C803">
        <f t="shared" ca="1" si="134"/>
        <v>46157</v>
      </c>
      <c r="D803">
        <f t="shared" ca="1" si="135"/>
        <v>21</v>
      </c>
      <c r="E803">
        <f t="shared" ca="1" si="136"/>
        <v>0.84529150455806457</v>
      </c>
      <c r="F803">
        <f t="shared" ca="1" si="137"/>
        <v>2170.09</v>
      </c>
      <c r="G803" t="str">
        <f t="shared" ca="1" si="138"/>
        <v>personal</v>
      </c>
      <c r="H80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03" t="str">
        <f t="shared" ca="1" si="139"/>
        <v>Sí</v>
      </c>
      <c r="J80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03">
        <f ca="1">IF(Tabla2[[#This Row],[¿cliente deuda abierta?]]="Sí", Tabla2[[#This Row],[Deuda actual]]*Tabla2[[#This Row],[diferencia de días]], "0")</f>
        <v>45571.89</v>
      </c>
      <c r="L80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80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03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803">
        <f t="shared" ca="1" si="140"/>
        <v>1696.26</v>
      </c>
      <c r="P803">
        <f t="shared" ca="1" si="141"/>
        <v>278293.01</v>
      </c>
      <c r="Q803">
        <f t="shared" ca="1" si="142"/>
        <v>0</v>
      </c>
      <c r="R803">
        <f ca="1">((Tabla2[[#This Row],[Fantasma Comunicación]]+1)/(Tabla2[[#This Row],[Fantasma Comunicación]]+RANDBETWEEN(0,5)+2))-0.5</f>
        <v>-0.25</v>
      </c>
      <c r="S803">
        <f ca="1">1+MAX(0,Tabla2[[#This Row],[Deuda actual]]/Tabla2[[#This Row],[Liquidez]]+Tabla2[[#This Row],[Liquidez]]/(Tabla2[[#This Row],[Activos]]+Tabla2[[#This Row],[Liquidez]])+Tabla2[[#This Row],[Comunicación]])</f>
        <v>2.0353963767641643</v>
      </c>
      <c r="T803">
        <f ca="1">Tabla2[[#This Row],[Deuda actual]]*EXP(Tabla2[[#This Row],[Ki]]*Tabla2[[#This Row],[diferencia de días]])*(1+Tabla2[[#This Row],[Hg]])</f>
        <v>2407.2350847559364</v>
      </c>
    </row>
    <row r="804" spans="1:20" ht="14.5" x14ac:dyDescent="0.35">
      <c r="A804">
        <f t="shared" si="132"/>
        <v>803</v>
      </c>
      <c r="B804">
        <f t="shared" ca="1" si="133"/>
        <v>46099</v>
      </c>
      <c r="C804">
        <f t="shared" ca="1" si="134"/>
        <v>46157</v>
      </c>
      <c r="D804">
        <f t="shared" ca="1" si="135"/>
        <v>28</v>
      </c>
      <c r="E804">
        <f t="shared" ca="1" si="136"/>
        <v>0.74185036249624858</v>
      </c>
      <c r="F804">
        <f t="shared" ca="1" si="137"/>
        <v>3724.53</v>
      </c>
      <c r="G804" t="str">
        <f t="shared" ca="1" si="138"/>
        <v>personal</v>
      </c>
      <c r="H80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04" t="str">
        <f t="shared" ca="1" si="139"/>
        <v>Sí</v>
      </c>
      <c r="J80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04">
        <f ca="1">IF(Tabla2[[#This Row],[¿cliente deuda abierta?]]="Sí", Tabla2[[#This Row],[Deuda actual]]*Tabla2[[#This Row],[diferencia de días]], "0")</f>
        <v>104286.84000000001</v>
      </c>
      <c r="L80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80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04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804">
        <f t="shared" ca="1" si="140"/>
        <v>2157.5700000000002</v>
      </c>
      <c r="P804">
        <f t="shared" ca="1" si="141"/>
        <v>318827.17</v>
      </c>
      <c r="Q804">
        <f t="shared" ca="1" si="142"/>
        <v>0</v>
      </c>
      <c r="R804">
        <f ca="1">((Tabla2[[#This Row],[Fantasma Comunicación]]+1)/(Tabla2[[#This Row],[Fantasma Comunicación]]+RANDBETWEEN(0,5)+2))-0.5</f>
        <v>-0.3</v>
      </c>
      <c r="S804">
        <f ca="1">1+MAX(0,Tabla2[[#This Row],[Deuda actual]]/Tabla2[[#This Row],[Liquidez]]+Tabla2[[#This Row],[Liquidez]]/(Tabla2[[#This Row],[Activos]]+Tabla2[[#This Row],[Liquidez]])+Tabla2[[#This Row],[Comunicación]])</f>
        <v>2.4329832100318161</v>
      </c>
      <c r="T804">
        <f ca="1">Tabla2[[#This Row],[Deuda actual]]*EXP(Tabla2[[#This Row],[Ki]]*Tabla2[[#This Row],[diferencia de días]])*(1+Tabla2[[#This Row],[Hg]])</f>
        <v>4331.4510950478489</v>
      </c>
    </row>
    <row r="805" spans="1:20" ht="14.5" x14ac:dyDescent="0.35">
      <c r="A805">
        <f t="shared" si="132"/>
        <v>804</v>
      </c>
      <c r="B805">
        <f t="shared" ca="1" si="133"/>
        <v>46117</v>
      </c>
      <c r="C805">
        <f t="shared" ca="1" si="134"/>
        <v>46157</v>
      </c>
      <c r="D805">
        <f t="shared" ca="1" si="135"/>
        <v>6</v>
      </c>
      <c r="E805">
        <f t="shared" ca="1" si="136"/>
        <v>0.53356809270335548</v>
      </c>
      <c r="F805">
        <f t="shared" ca="1" si="137"/>
        <v>2899.12</v>
      </c>
      <c r="G805" t="str">
        <f t="shared" ca="1" si="138"/>
        <v>personal</v>
      </c>
      <c r="H80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05" t="str">
        <f t="shared" ca="1" si="139"/>
        <v>Sí</v>
      </c>
      <c r="J80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05">
        <f ca="1">IF(Tabla2[[#This Row],[¿cliente deuda abierta?]]="Sí", Tabla2[[#This Row],[Deuda actual]]*Tabla2[[#This Row],[diferencia de días]], "0")</f>
        <v>17394.72</v>
      </c>
      <c r="L80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0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0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05">
        <f t="shared" ca="1" si="140"/>
        <v>1990.5</v>
      </c>
      <c r="P805">
        <f t="shared" ca="1" si="141"/>
        <v>172674.1</v>
      </c>
      <c r="Q805">
        <f t="shared" ca="1" si="142"/>
        <v>2</v>
      </c>
      <c r="R805">
        <f ca="1">((Tabla2[[#This Row],[Fantasma Comunicación]]+1)/(Tabla2[[#This Row],[Fantasma Comunicación]]+RANDBETWEEN(0,5)+2))-0.5</f>
        <v>0.25</v>
      </c>
      <c r="S805">
        <f ca="1">1+MAX(0,Tabla2[[#This Row],[Deuda actual]]/Tabla2[[#This Row],[Liquidez]]+Tabla2[[#This Row],[Liquidez]]/(Tabla2[[#This Row],[Activos]]+Tabla2[[#This Row],[Liquidez]])+Tabla2[[#This Row],[Comunicación]])</f>
        <v>2.7178743989970924</v>
      </c>
      <c r="T805">
        <f ca="1">Tabla2[[#This Row],[Deuda actual]]*EXP(Tabla2[[#This Row],[Ki]]*Tabla2[[#This Row],[diferencia de días]])*(1+Tabla2[[#This Row],[Hg]])</f>
        <v>3047.7310838116769</v>
      </c>
    </row>
    <row r="806" spans="1:20" ht="14.5" x14ac:dyDescent="0.35">
      <c r="A806">
        <f t="shared" si="132"/>
        <v>805</v>
      </c>
      <c r="B806">
        <f t="shared" ca="1" si="133"/>
        <v>46112</v>
      </c>
      <c r="C806">
        <f t="shared" ca="1" si="134"/>
        <v>46157</v>
      </c>
      <c r="D806">
        <f t="shared" ca="1" si="135"/>
        <v>12</v>
      </c>
      <c r="E806">
        <f t="shared" ca="1" si="136"/>
        <v>0.57315975807074215</v>
      </c>
      <c r="F806">
        <f t="shared" ca="1" si="137"/>
        <v>388.88</v>
      </c>
      <c r="G806" t="str">
        <f t="shared" ca="1" si="138"/>
        <v>personal</v>
      </c>
      <c r="H80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06" t="str">
        <f t="shared" ca="1" si="139"/>
        <v>Sí</v>
      </c>
      <c r="J80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06">
        <f ca="1">IF(Tabla2[[#This Row],[¿cliente deuda abierta?]]="Sí", Tabla2[[#This Row],[Deuda actual]]*Tabla2[[#This Row],[diferencia de días]], "0")</f>
        <v>4666.5599999999995</v>
      </c>
      <c r="L80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0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0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06">
        <f t="shared" ca="1" si="140"/>
        <v>1275.46</v>
      </c>
      <c r="P806">
        <f t="shared" ca="1" si="141"/>
        <v>328423.55</v>
      </c>
      <c r="Q806">
        <f t="shared" ca="1" si="142"/>
        <v>5</v>
      </c>
      <c r="R806">
        <f ca="1">((Tabla2[[#This Row],[Fantasma Comunicación]]+1)/(Tabla2[[#This Row],[Fantasma Comunicación]]+RANDBETWEEN(0,5)+2))-0.5</f>
        <v>4.5454545454545414E-2</v>
      </c>
      <c r="S806">
        <f ca="1">1+MAX(0,Tabla2[[#This Row],[Deuda actual]]/Tabla2[[#This Row],[Liquidez]]+Tabla2[[#This Row],[Liquidez]]/(Tabla2[[#This Row],[Activos]]+Tabla2[[#This Row],[Liquidez]])+Tabla2[[#This Row],[Comunicación]])</f>
        <v>1.3542170248595862</v>
      </c>
      <c r="T806">
        <f ca="1">Tabla2[[#This Row],[Deuda actual]]*EXP(Tabla2[[#This Row],[Ki]]*Tabla2[[#This Row],[diferencia de días]])*(1+Tabla2[[#This Row],[Hg]])</f>
        <v>409.30515451446325</v>
      </c>
    </row>
    <row r="807" spans="1:20" ht="14.5" x14ac:dyDescent="0.35">
      <c r="A807">
        <f t="shared" si="132"/>
        <v>806</v>
      </c>
      <c r="B807">
        <f t="shared" ca="1" si="133"/>
        <v>46133</v>
      </c>
      <c r="C807">
        <f t="shared" ca="1" si="134"/>
        <v>46157</v>
      </c>
      <c r="D807">
        <f t="shared" ca="1" si="135"/>
        <v>2</v>
      </c>
      <c r="E807">
        <f t="shared" ca="1" si="136"/>
        <v>0.92640505701878095</v>
      </c>
      <c r="F807">
        <f t="shared" ca="1" si="137"/>
        <v>4990.6899999999996</v>
      </c>
      <c r="G807" t="str">
        <f t="shared" ca="1" si="138"/>
        <v>personal</v>
      </c>
      <c r="H80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07" t="str">
        <f t="shared" ca="1" si="139"/>
        <v>No</v>
      </c>
      <c r="J80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12000.196828165446</v>
      </c>
      <c r="K807" t="str">
        <f ca="1">IF(Tabla2[[#This Row],[¿cliente deuda abierta?]]="Sí", Tabla2[[#This Row],[Deuda actual]]*Tabla2[[#This Row],[diferencia de días]], "0")</f>
        <v>0</v>
      </c>
      <c r="L80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0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07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07">
        <f t="shared" ca="1" si="140"/>
        <v>1412.53</v>
      </c>
      <c r="P807">
        <f t="shared" ca="1" si="141"/>
        <v>73739.91</v>
      </c>
      <c r="Q807">
        <f t="shared" ca="1" si="142"/>
        <v>3</v>
      </c>
      <c r="R807">
        <f ca="1">((Tabla2[[#This Row],[Fantasma Comunicación]]+1)/(Tabla2[[#This Row],[Fantasma Comunicación]]+RANDBETWEEN(0,5)+2))-0.5</f>
        <v>0.16666666666666663</v>
      </c>
      <c r="S807">
        <f ca="1">1+MAX(0,Tabla2[[#This Row],[Deuda actual]]/Tabla2[[#This Row],[Liquidez]]+Tabla2[[#This Row],[Liquidez]]/(Tabla2[[#This Row],[Activos]]+Tabla2[[#This Row],[Liquidez]])+Tabla2[[#This Row],[Comunicación]])</f>
        <v>4.7186190153654426</v>
      </c>
      <c r="T807">
        <f ca="1">Tabla2[[#This Row],[Deuda actual]]*EXP(Tabla2[[#This Row],[Ki]]*Tabla2[[#This Row],[diferencia de días]])*(1+Tabla2[[#This Row],[Hg]])</f>
        <v>4493.4180077775954</v>
      </c>
    </row>
    <row r="808" spans="1:20" ht="14.5" x14ac:dyDescent="0.35">
      <c r="A808">
        <f t="shared" si="132"/>
        <v>807</v>
      </c>
      <c r="B808">
        <f t="shared" ca="1" si="133"/>
        <v>46142</v>
      </c>
      <c r="C808">
        <f t="shared" ca="1" si="134"/>
        <v>46157</v>
      </c>
      <c r="D808">
        <f t="shared" ca="1" si="135"/>
        <v>27</v>
      </c>
      <c r="E808">
        <f t="shared" ca="1" si="136"/>
        <v>4.8792750083205605E-2</v>
      </c>
      <c r="F808">
        <f t="shared" ca="1" si="137"/>
        <v>127.88</v>
      </c>
      <c r="G808" t="str">
        <f t="shared" ca="1" si="138"/>
        <v>personal</v>
      </c>
      <c r="H80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08" t="str">
        <f t="shared" ca="1" si="139"/>
        <v>Sí</v>
      </c>
      <c r="J80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08">
        <f ca="1">IF(Tabla2[[#This Row],[¿cliente deuda abierta?]]="Sí", Tabla2[[#This Row],[Deuda actual]]*Tabla2[[#This Row],[diferencia de días]], "0")</f>
        <v>3452.7599999999998</v>
      </c>
      <c r="L80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0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0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08">
        <f t="shared" ca="1" si="140"/>
        <v>1906.32</v>
      </c>
      <c r="P808">
        <f t="shared" ca="1" si="141"/>
        <v>156572.67000000001</v>
      </c>
      <c r="Q808">
        <f t="shared" ca="1" si="142"/>
        <v>2</v>
      </c>
      <c r="R808">
        <f ca="1">((Tabla2[[#This Row],[Fantasma Comunicación]]+1)/(Tabla2[[#This Row],[Fantasma Comunicación]]+RANDBETWEEN(0,5)+2))-0.5</f>
        <v>-0.16666666666666669</v>
      </c>
      <c r="S808">
        <f ca="1">1+MAX(0,Tabla2[[#This Row],[Deuda actual]]/Tabla2[[#This Row],[Liquidez]]+Tabla2[[#This Row],[Liquidez]]/(Tabla2[[#This Row],[Activos]]+Tabla2[[#This Row],[Liquidez]])+Tabla2[[#This Row],[Comunicación]])</f>
        <v>1</v>
      </c>
      <c r="T808">
        <f ca="1">Tabla2[[#This Row],[Deuda actual]]*EXP(Tabla2[[#This Row],[Ki]]*Tabla2[[#This Row],[diferencia de días]])*(1+Tabla2[[#This Row],[Hg]])</f>
        <v>135.7320183270555</v>
      </c>
    </row>
    <row r="809" spans="1:20" ht="14.5" x14ac:dyDescent="0.35">
      <c r="A809">
        <f t="shared" si="132"/>
        <v>808</v>
      </c>
      <c r="B809">
        <f t="shared" ca="1" si="133"/>
        <v>46135</v>
      </c>
      <c r="C809">
        <f t="shared" ca="1" si="134"/>
        <v>46157</v>
      </c>
      <c r="D809">
        <f t="shared" ca="1" si="135"/>
        <v>2</v>
      </c>
      <c r="E809">
        <f t="shared" ca="1" si="136"/>
        <v>0.67228905948695639</v>
      </c>
      <c r="F809">
        <f t="shared" ca="1" si="137"/>
        <v>2561.04</v>
      </c>
      <c r="G809" t="str">
        <f t="shared" ca="1" si="138"/>
        <v>hipotecario</v>
      </c>
      <c r="H80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09" t="str">
        <f t="shared" ca="1" si="139"/>
        <v>Sí</v>
      </c>
      <c r="J80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09">
        <f ca="1">IF(Tabla2[[#This Row],[¿cliente deuda abierta?]]="Sí", Tabla2[[#This Row],[Deuda actual]]*Tabla2[[#This Row],[diferencia de días]], "0")</f>
        <v>5122.08</v>
      </c>
      <c r="L80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0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0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09">
        <f t="shared" ca="1" si="140"/>
        <v>1556.68</v>
      </c>
      <c r="P809">
        <f t="shared" ca="1" si="141"/>
        <v>561715.99</v>
      </c>
      <c r="Q809">
        <f t="shared" ca="1" si="142"/>
        <v>0</v>
      </c>
      <c r="R809">
        <f ca="1">((Tabla2[[#This Row],[Fantasma Comunicación]]+1)/(Tabla2[[#This Row],[Fantasma Comunicación]]+RANDBETWEEN(0,5)+2))-0.5</f>
        <v>0</v>
      </c>
      <c r="S809">
        <f ca="1">1+MAX(0,Tabla2[[#This Row],[Deuda actual]]/Tabla2[[#This Row],[Liquidez]]+Tabla2[[#This Row],[Liquidez]]/(Tabla2[[#This Row],[Activos]]+Tabla2[[#This Row],[Liquidez]])+Tabla2[[#This Row],[Comunicación]])</f>
        <v>2.6479572520692636</v>
      </c>
      <c r="T809">
        <f ca="1">Tabla2[[#This Row],[Deuda actual]]*EXP(Tabla2[[#This Row],[Ki]]*Tabla2[[#This Row],[diferencia de días]])*(1+Tabla2[[#This Row],[Hg]])</f>
        <v>2690.1678519560469</v>
      </c>
    </row>
    <row r="810" spans="1:20" ht="14.5" x14ac:dyDescent="0.35">
      <c r="A810">
        <f t="shared" si="132"/>
        <v>809</v>
      </c>
      <c r="B810">
        <f t="shared" ca="1" si="133"/>
        <v>46131</v>
      </c>
      <c r="C810">
        <f t="shared" ca="1" si="134"/>
        <v>46157</v>
      </c>
      <c r="D810">
        <f t="shared" ca="1" si="135"/>
        <v>4</v>
      </c>
      <c r="E810">
        <f t="shared" ca="1" si="136"/>
        <v>0.41679197867500672</v>
      </c>
      <c r="F810">
        <f t="shared" ca="1" si="137"/>
        <v>79.23</v>
      </c>
      <c r="G810" t="str">
        <f t="shared" ca="1" si="138"/>
        <v>personal</v>
      </c>
      <c r="H81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10" t="str">
        <f t="shared" ca="1" si="139"/>
        <v>Sí</v>
      </c>
      <c r="J81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10">
        <f ca="1">IF(Tabla2[[#This Row],[¿cliente deuda abierta?]]="Sí", Tabla2[[#This Row],[Deuda actual]]*Tabla2[[#This Row],[diferencia de días]], "0")</f>
        <v>316.92</v>
      </c>
      <c r="L81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1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1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10">
        <f t="shared" ca="1" si="140"/>
        <v>1948.86</v>
      </c>
      <c r="P810">
        <f t="shared" ca="1" si="141"/>
        <v>202881.81</v>
      </c>
      <c r="Q810">
        <f t="shared" ca="1" si="142"/>
        <v>0</v>
      </c>
      <c r="R810">
        <f ca="1">((Tabla2[[#This Row],[Fantasma Comunicación]]+1)/(Tabla2[[#This Row],[Fantasma Comunicación]]+RANDBETWEEN(0,5)+2))-0.5</f>
        <v>0</v>
      </c>
      <c r="S810">
        <f ca="1">1+MAX(0,Tabla2[[#This Row],[Deuda actual]]/Tabla2[[#This Row],[Liquidez]]+Tabla2[[#This Row],[Liquidez]]/(Tabla2[[#This Row],[Activos]]+Tabla2[[#This Row],[Liquidez]])+Tabla2[[#This Row],[Comunicación]])</f>
        <v>1.0501690296159172</v>
      </c>
      <c r="T810">
        <f ca="1">Tabla2[[#This Row],[Deuda actual]]*EXP(Tabla2[[#This Row],[Ki]]*Tabla2[[#This Row],[diferencia de días]])*(1+Tabla2[[#This Row],[Hg]])</f>
        <v>83.258079828380431</v>
      </c>
    </row>
    <row r="811" spans="1:20" ht="14.5" x14ac:dyDescent="0.35">
      <c r="A811">
        <f t="shared" si="132"/>
        <v>810</v>
      </c>
      <c r="B811">
        <f t="shared" ca="1" si="133"/>
        <v>46123</v>
      </c>
      <c r="C811">
        <f t="shared" ca="1" si="134"/>
        <v>46157</v>
      </c>
      <c r="D811">
        <f t="shared" ca="1" si="135"/>
        <v>23</v>
      </c>
      <c r="E811">
        <f t="shared" ca="1" si="136"/>
        <v>0.8248565010641169</v>
      </c>
      <c r="F811">
        <f t="shared" ca="1" si="137"/>
        <v>70.88</v>
      </c>
      <c r="G811" t="str">
        <f t="shared" ca="1" si="138"/>
        <v>hipotecario</v>
      </c>
      <c r="H81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11" t="str">
        <f t="shared" ca="1" si="139"/>
        <v>No</v>
      </c>
      <c r="J81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165000.3766400794</v>
      </c>
      <c r="K811" t="str">
        <f ca="1">IF(Tabla2[[#This Row],[¿cliente deuda abierta?]]="Sí", Tabla2[[#This Row],[Deuda actual]]*Tabla2[[#This Row],[diferencia de días]], "0")</f>
        <v>0</v>
      </c>
      <c r="L81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1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811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811">
        <f t="shared" ca="1" si="140"/>
        <v>1919.68</v>
      </c>
      <c r="P811">
        <f t="shared" ca="1" si="141"/>
        <v>202781.35</v>
      </c>
      <c r="Q811">
        <f t="shared" ca="1" si="142"/>
        <v>1</v>
      </c>
      <c r="R811">
        <f ca="1">((Tabla2[[#This Row],[Fantasma Comunicación]]+1)/(Tabla2[[#This Row],[Fantasma Comunicación]]+RANDBETWEEN(0,5)+2))-0.5</f>
        <v>-0.2142857142857143</v>
      </c>
      <c r="S811">
        <f ca="1">1+MAX(0,Tabla2[[#This Row],[Deuda actual]]/Tabla2[[#This Row],[Liquidez]]+Tabla2[[#This Row],[Liquidez]]/(Tabla2[[#This Row],[Activos]]+Tabla2[[#This Row],[Liquidez]])+Tabla2[[#This Row],[Comunicación]])</f>
        <v>1</v>
      </c>
      <c r="T811">
        <f ca="1">Tabla2[[#This Row],[Deuda actual]]*EXP(Tabla2[[#This Row],[Ki]]*Tabla2[[#This Row],[diferencia de días]])*(1+Tabla2[[#This Row],[Hg]])</f>
        <v>57.22808388935789</v>
      </c>
    </row>
    <row r="812" spans="1:20" ht="14.5" x14ac:dyDescent="0.35">
      <c r="A812">
        <f t="shared" si="132"/>
        <v>811</v>
      </c>
      <c r="B812">
        <f t="shared" ca="1" si="133"/>
        <v>46098</v>
      </c>
      <c r="C812">
        <f t="shared" ca="1" si="134"/>
        <v>46157</v>
      </c>
      <c r="D812">
        <f t="shared" ca="1" si="135"/>
        <v>55</v>
      </c>
      <c r="E812">
        <f t="shared" ca="1" si="136"/>
        <v>0.64581129317917929</v>
      </c>
      <c r="F812">
        <f t="shared" ca="1" si="137"/>
        <v>4139.8900000000003</v>
      </c>
      <c r="G812" t="str">
        <f t="shared" ca="1" si="138"/>
        <v>hipotecario</v>
      </c>
      <c r="H81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812" t="str">
        <f t="shared" ca="1" si="139"/>
        <v>No</v>
      </c>
      <c r="J81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165000.27931875765</v>
      </c>
      <c r="K812" t="str">
        <f ca="1">IF(Tabla2[[#This Row],[¿cliente deuda abierta?]]="Sí", Tabla2[[#This Row],[Deuda actual]]*Tabla2[[#This Row],[diferencia de días]], "0")</f>
        <v>0</v>
      </c>
      <c r="L81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1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81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812">
        <f t="shared" ca="1" si="140"/>
        <v>2083.5500000000002</v>
      </c>
      <c r="P812">
        <f t="shared" ca="1" si="141"/>
        <v>94367.48</v>
      </c>
      <c r="Q812">
        <f t="shared" ca="1" si="142"/>
        <v>5</v>
      </c>
      <c r="R812">
        <f ca="1">((Tabla2[[#This Row],[Fantasma Comunicación]]+1)/(Tabla2[[#This Row],[Fantasma Comunicación]]+RANDBETWEEN(0,5)+2))-0.5</f>
        <v>9.9999999999999978E-2</v>
      </c>
      <c r="S812">
        <f ca="1">1+MAX(0,Tabla2[[#This Row],[Deuda actual]]/Tabla2[[#This Row],[Liquidez]]+Tabla2[[#This Row],[Liquidez]]/(Tabla2[[#This Row],[Activos]]+Tabla2[[#This Row],[Liquidez]])+Tabla2[[#This Row],[Comunicación]])</f>
        <v>3.1085427121454683</v>
      </c>
      <c r="T812">
        <f ca="1">Tabla2[[#This Row],[Deuda actual]]*EXP(Tabla2[[#This Row],[Ki]]*Tabla2[[#This Row],[diferencia de días]])*(1+Tabla2[[#This Row],[Hg]])</f>
        <v>3596.7320385468929</v>
      </c>
    </row>
    <row r="813" spans="1:20" ht="14.5" x14ac:dyDescent="0.35">
      <c r="A813">
        <f t="shared" si="132"/>
        <v>812</v>
      </c>
      <c r="B813">
        <f t="shared" ca="1" si="133"/>
        <v>46135</v>
      </c>
      <c r="C813">
        <f t="shared" ca="1" si="134"/>
        <v>46157</v>
      </c>
      <c r="D813">
        <f t="shared" ca="1" si="135"/>
        <v>0</v>
      </c>
      <c r="E813">
        <f t="shared" ca="1" si="136"/>
        <v>0.12206370519168364</v>
      </c>
      <c r="F813">
        <f t="shared" ca="1" si="137"/>
        <v>651.48</v>
      </c>
      <c r="G813" t="str">
        <f t="shared" ca="1" si="138"/>
        <v>personal</v>
      </c>
      <c r="H81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13" t="str">
        <f t="shared" ca="1" si="139"/>
        <v>Sí</v>
      </c>
      <c r="J81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13">
        <f ca="1">IF(Tabla2[[#This Row],[¿cliente deuda abierta?]]="Sí", Tabla2[[#This Row],[Deuda actual]]*Tabla2[[#This Row],[diferencia de días]], "0")</f>
        <v>0</v>
      </c>
      <c r="L81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1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13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813">
        <f t="shared" ca="1" si="140"/>
        <v>2256.09</v>
      </c>
      <c r="P813">
        <f t="shared" ca="1" si="141"/>
        <v>170234.76</v>
      </c>
      <c r="Q813">
        <f t="shared" ca="1" si="142"/>
        <v>1</v>
      </c>
      <c r="R813">
        <f ca="1">((Tabla2[[#This Row],[Fantasma Comunicación]]+1)/(Tabla2[[#This Row],[Fantasma Comunicación]]+RANDBETWEEN(0,5)+2))-0.5</f>
        <v>0.16666666666666663</v>
      </c>
      <c r="S813">
        <f ca="1">1+MAX(0,Tabla2[[#This Row],[Deuda actual]]/Tabla2[[#This Row],[Liquidez]]+Tabla2[[#This Row],[Liquidez]]/(Tabla2[[#This Row],[Activos]]+Tabla2[[#This Row],[Liquidez]])+Tabla2[[#This Row],[Comunicación]])</f>
        <v>1.468511218917619</v>
      </c>
      <c r="T813">
        <f ca="1">Tabla2[[#This Row],[Deuda actual]]*EXP(Tabla2[[#This Row],[Ki]]*Tabla2[[#This Row],[diferencia de días]])*(1+Tabla2[[#This Row],[Hg]])</f>
        <v>651.48</v>
      </c>
    </row>
    <row r="814" spans="1:20" ht="14.5" x14ac:dyDescent="0.35">
      <c r="A814">
        <f t="shared" si="132"/>
        <v>813</v>
      </c>
      <c r="B814">
        <f t="shared" ca="1" si="133"/>
        <v>46116</v>
      </c>
      <c r="C814">
        <f t="shared" ca="1" si="134"/>
        <v>46157</v>
      </c>
      <c r="D814">
        <f t="shared" ca="1" si="135"/>
        <v>42</v>
      </c>
      <c r="E814">
        <f t="shared" ca="1" si="136"/>
        <v>0.72456516697281392</v>
      </c>
      <c r="F814">
        <f t="shared" ca="1" si="137"/>
        <v>1731.21</v>
      </c>
      <c r="G814" t="str">
        <f t="shared" ca="1" si="138"/>
        <v>personal</v>
      </c>
      <c r="H81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814" t="str">
        <f t="shared" ca="1" si="139"/>
        <v>No</v>
      </c>
      <c r="J81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12000.962142348795</v>
      </c>
      <c r="K814" t="str">
        <f ca="1">IF(Tabla2[[#This Row],[¿cliente deuda abierta?]]="Sí", Tabla2[[#This Row],[Deuda actual]]*Tabla2[[#This Row],[diferencia de días]], "0")</f>
        <v>0</v>
      </c>
      <c r="L81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1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1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14">
        <f t="shared" ca="1" si="140"/>
        <v>1346.73</v>
      </c>
      <c r="P814">
        <f t="shared" ca="1" si="141"/>
        <v>209668.62</v>
      </c>
      <c r="Q814">
        <f t="shared" ca="1" si="142"/>
        <v>2</v>
      </c>
      <c r="R814">
        <f ca="1">((Tabla2[[#This Row],[Fantasma Comunicación]]+1)/(Tabla2[[#This Row],[Fantasma Comunicación]]+RANDBETWEEN(0,5)+2))-0.5</f>
        <v>-7.1428571428571452E-2</v>
      </c>
      <c r="S814">
        <f ca="1">1+MAX(0,Tabla2[[#This Row],[Deuda actual]]/Tabla2[[#This Row],[Liquidez]]+Tabla2[[#This Row],[Liquidez]]/(Tabla2[[#This Row],[Activos]]+Tabla2[[#This Row],[Liquidez]])+Tabla2[[#This Row],[Comunicación]])</f>
        <v>2.2204450948266858</v>
      </c>
      <c r="T814">
        <f ca="1">Tabla2[[#This Row],[Deuda actual]]*EXP(Tabla2[[#This Row],[Ki]]*Tabla2[[#This Row],[diferencia de días]])*(1+Tabla2[[#This Row],[Hg]])</f>
        <v>1624.922415502298</v>
      </c>
    </row>
    <row r="815" spans="1:20" ht="14.5" x14ac:dyDescent="0.35">
      <c r="A815">
        <f t="shared" si="132"/>
        <v>814</v>
      </c>
      <c r="B815">
        <f t="shared" ca="1" si="133"/>
        <v>46096</v>
      </c>
      <c r="C815">
        <f t="shared" ca="1" si="134"/>
        <v>46157</v>
      </c>
      <c r="D815">
        <f t="shared" ca="1" si="135"/>
        <v>12</v>
      </c>
      <c r="E815">
        <f t="shared" ca="1" si="136"/>
        <v>0.86784683786892447</v>
      </c>
      <c r="F815">
        <f t="shared" ca="1" si="137"/>
        <v>475.66</v>
      </c>
      <c r="G815" t="str">
        <f t="shared" ca="1" si="138"/>
        <v>personal</v>
      </c>
      <c r="H81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15" t="str">
        <f t="shared" ca="1" si="139"/>
        <v>No</v>
      </c>
      <c r="J81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11997.852422424317</v>
      </c>
      <c r="K815" t="str">
        <f ca="1">IF(Tabla2[[#This Row],[¿cliente deuda abierta?]]="Sí", Tabla2[[#This Row],[Deuda actual]]*Tabla2[[#This Row],[diferencia de días]], "0")</f>
        <v>0</v>
      </c>
      <c r="L81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1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1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15">
        <f t="shared" ca="1" si="140"/>
        <v>1887.97</v>
      </c>
      <c r="P815">
        <f t="shared" ca="1" si="141"/>
        <v>103214.16</v>
      </c>
      <c r="Q815">
        <f t="shared" ca="1" si="142"/>
        <v>1</v>
      </c>
      <c r="R815">
        <f ca="1">((Tabla2[[#This Row],[Fantasma Comunicación]]+1)/(Tabla2[[#This Row],[Fantasma Comunicación]]+RANDBETWEEN(0,5)+2))-0.5</f>
        <v>-0.16666666666666669</v>
      </c>
      <c r="S815">
        <f ca="1">1+MAX(0,Tabla2[[#This Row],[Deuda actual]]/Tabla2[[#This Row],[Liquidez]]+Tabla2[[#This Row],[Liquidez]]/(Tabla2[[#This Row],[Activos]]+Tabla2[[#This Row],[Liquidez]])+Tabla2[[#This Row],[Comunicación]])</f>
        <v>1.1032390904461682</v>
      </c>
      <c r="T815">
        <f ca="1">Tabla2[[#This Row],[Deuda actual]]*EXP(Tabla2[[#This Row],[Ki]]*Tabla2[[#This Row],[diferencia de días]])*(1+Tabla2[[#This Row],[Hg]])</f>
        <v>429.12265949764065</v>
      </c>
    </row>
    <row r="816" spans="1:20" ht="14.5" x14ac:dyDescent="0.35">
      <c r="A816">
        <f t="shared" si="132"/>
        <v>815</v>
      </c>
      <c r="B816">
        <f t="shared" ca="1" si="133"/>
        <v>46091</v>
      </c>
      <c r="C816">
        <f t="shared" ca="1" si="134"/>
        <v>46157</v>
      </c>
      <c r="D816">
        <f t="shared" ca="1" si="135"/>
        <v>2</v>
      </c>
      <c r="E816">
        <f t="shared" ca="1" si="136"/>
        <v>0.87466840966964665</v>
      </c>
      <c r="F816">
        <f t="shared" ca="1" si="137"/>
        <v>174.05</v>
      </c>
      <c r="G816" t="str">
        <f t="shared" ca="1" si="138"/>
        <v>personal</v>
      </c>
      <c r="H81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16" t="str">
        <f t="shared" ca="1" si="139"/>
        <v>Sí</v>
      </c>
      <c r="J81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16">
        <f ca="1">IF(Tabla2[[#This Row],[¿cliente deuda abierta?]]="Sí", Tabla2[[#This Row],[Deuda actual]]*Tabla2[[#This Row],[diferencia de días]], "0")</f>
        <v>348.1</v>
      </c>
      <c r="L81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1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1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16">
        <f t="shared" ca="1" si="140"/>
        <v>1500.27</v>
      </c>
      <c r="P816">
        <f t="shared" ca="1" si="141"/>
        <v>218358.49</v>
      </c>
      <c r="Q816">
        <f t="shared" ca="1" si="142"/>
        <v>3</v>
      </c>
      <c r="R816">
        <f ca="1">((Tabla2[[#This Row],[Fantasma Comunicación]]+1)/(Tabla2[[#This Row],[Fantasma Comunicación]]+RANDBETWEEN(0,5)+2))-0.5</f>
        <v>7.1428571428571397E-2</v>
      </c>
      <c r="S816">
        <f ca="1">1+MAX(0,Tabla2[[#This Row],[Deuda actual]]/Tabla2[[#This Row],[Liquidez]]+Tabla2[[#This Row],[Liquidez]]/(Tabla2[[#This Row],[Activos]]+Tabla2[[#This Row],[Liquidez]])+Tabla2[[#This Row],[Comunicación]])</f>
        <v>1.1942648124847741</v>
      </c>
      <c r="T816">
        <f ca="1">Tabla2[[#This Row],[Deuda actual]]*EXP(Tabla2[[#This Row],[Ki]]*Tabla2[[#This Row],[diferencia de días]])*(1+Tabla2[[#This Row],[Hg]])</f>
        <v>182.8256156221496</v>
      </c>
    </row>
    <row r="817" spans="1:20" ht="14.5" x14ac:dyDescent="0.35">
      <c r="A817">
        <f t="shared" si="132"/>
        <v>816</v>
      </c>
      <c r="B817">
        <f t="shared" ca="1" si="133"/>
        <v>46119</v>
      </c>
      <c r="C817">
        <f t="shared" ca="1" si="134"/>
        <v>46157</v>
      </c>
      <c r="D817">
        <f t="shared" ca="1" si="135"/>
        <v>12</v>
      </c>
      <c r="E817">
        <f t="shared" ca="1" si="136"/>
        <v>0.32384305293604865</v>
      </c>
      <c r="F817">
        <f t="shared" ca="1" si="137"/>
        <v>1440.47</v>
      </c>
      <c r="G817" t="str">
        <f t="shared" ca="1" si="138"/>
        <v>hipotecario</v>
      </c>
      <c r="H81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17" t="str">
        <f t="shared" ca="1" si="139"/>
        <v>Sí</v>
      </c>
      <c r="J81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17">
        <f ca="1">IF(Tabla2[[#This Row],[¿cliente deuda abierta?]]="Sí", Tabla2[[#This Row],[Deuda actual]]*Tabla2[[#This Row],[diferencia de días]], "0")</f>
        <v>17285.64</v>
      </c>
      <c r="L81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1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1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17">
        <f t="shared" ca="1" si="140"/>
        <v>2408.9899999999998</v>
      </c>
      <c r="P817">
        <f t="shared" ca="1" si="141"/>
        <v>413240.61</v>
      </c>
      <c r="Q817">
        <f t="shared" ca="1" si="142"/>
        <v>2</v>
      </c>
      <c r="R817">
        <f ca="1">((Tabla2[[#This Row],[Fantasma Comunicación]]+1)/(Tabla2[[#This Row],[Fantasma Comunicación]]+RANDBETWEEN(0,5)+2))-0.5</f>
        <v>-0.125</v>
      </c>
      <c r="S817">
        <f ca="1">1+MAX(0,Tabla2[[#This Row],[Deuda actual]]/Tabla2[[#This Row],[Liquidez]]+Tabla2[[#This Row],[Liquidez]]/(Tabla2[[#This Row],[Activos]]+Tabla2[[#This Row],[Liquidez]])+Tabla2[[#This Row],[Comunicación]])</f>
        <v>1.4787517129829968</v>
      </c>
      <c r="T817">
        <f ca="1">Tabla2[[#This Row],[Deuda actual]]*EXP(Tabla2[[#This Row],[Ki]]*Tabla2[[#This Row],[diferencia de días]])*(1+Tabla2[[#This Row],[Hg]])</f>
        <v>1516.127843868157</v>
      </c>
    </row>
    <row r="818" spans="1:20" ht="14.5" x14ac:dyDescent="0.35">
      <c r="A818">
        <f t="shared" si="132"/>
        <v>817</v>
      </c>
      <c r="B818">
        <f t="shared" ca="1" si="133"/>
        <v>46085</v>
      </c>
      <c r="C818">
        <f t="shared" ca="1" si="134"/>
        <v>46157</v>
      </c>
      <c r="D818">
        <f t="shared" ca="1" si="135"/>
        <v>7</v>
      </c>
      <c r="E818">
        <f t="shared" ca="1" si="136"/>
        <v>0.77210743134742621</v>
      </c>
      <c r="F818">
        <f t="shared" ca="1" si="137"/>
        <v>1406.21</v>
      </c>
      <c r="G818" t="str">
        <f t="shared" ca="1" si="138"/>
        <v>personal</v>
      </c>
      <c r="H81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18" t="str">
        <f t="shared" ca="1" si="139"/>
        <v>No</v>
      </c>
      <c r="J81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11999.73624289956</v>
      </c>
      <c r="K818" t="str">
        <f ca="1">IF(Tabla2[[#This Row],[¿cliente deuda abierta?]]="Sí", Tabla2[[#This Row],[Deuda actual]]*Tabla2[[#This Row],[diferencia de días]], "0")</f>
        <v>0</v>
      </c>
      <c r="L81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1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1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18">
        <f t="shared" ca="1" si="140"/>
        <v>1602.19</v>
      </c>
      <c r="P818">
        <f t="shared" ca="1" si="141"/>
        <v>97135.12</v>
      </c>
      <c r="Q818">
        <f t="shared" ca="1" si="142"/>
        <v>1</v>
      </c>
      <c r="R818">
        <f ca="1">((Tabla2[[#This Row],[Fantasma Comunicación]]+1)/(Tabla2[[#This Row],[Fantasma Comunicación]]+RANDBETWEEN(0,5)+2))-0.5</f>
        <v>-0.16666666666666669</v>
      </c>
      <c r="S818">
        <f ca="1">1+MAX(0,Tabla2[[#This Row],[Deuda actual]]/Tabla2[[#This Row],[Liquidez]]+Tabla2[[#This Row],[Liquidez]]/(Tabla2[[#This Row],[Activos]]+Tabla2[[#This Row],[Liquidez]])+Tabla2[[#This Row],[Comunicación]])</f>
        <v>1.7272400530416692</v>
      </c>
      <c r="T818">
        <f ca="1">Tabla2[[#This Row],[Deuda actual]]*EXP(Tabla2[[#This Row],[Ki]]*Tabla2[[#This Row],[diferencia de días]])*(1+Tabla2[[#This Row],[Hg]])</f>
        <v>1267.3620654562189</v>
      </c>
    </row>
    <row r="819" spans="1:20" ht="14.5" x14ac:dyDescent="0.35">
      <c r="A819">
        <f t="shared" si="132"/>
        <v>818</v>
      </c>
      <c r="B819">
        <f t="shared" ca="1" si="133"/>
        <v>46126</v>
      </c>
      <c r="C819">
        <f t="shared" ca="1" si="134"/>
        <v>46157</v>
      </c>
      <c r="D819">
        <f t="shared" ca="1" si="135"/>
        <v>14</v>
      </c>
      <c r="E819">
        <f t="shared" ca="1" si="136"/>
        <v>0.14324757958866052</v>
      </c>
      <c r="F819">
        <f t="shared" ca="1" si="137"/>
        <v>6920.51</v>
      </c>
      <c r="G819" t="str">
        <f t="shared" ca="1" si="138"/>
        <v>personal</v>
      </c>
      <c r="H81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19" t="str">
        <f t="shared" ca="1" si="139"/>
        <v>Sí</v>
      </c>
      <c r="J81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19">
        <f ca="1">IF(Tabla2[[#This Row],[¿cliente deuda abierta?]]="Sí", Tabla2[[#This Row],[Deuda actual]]*Tabla2[[#This Row],[diferencia de días]], "0")</f>
        <v>96887.14</v>
      </c>
      <c r="L81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81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19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819">
        <f t="shared" ca="1" si="140"/>
        <v>2004.97</v>
      </c>
      <c r="P819">
        <f t="shared" ca="1" si="141"/>
        <v>163072.42000000001</v>
      </c>
      <c r="Q819">
        <f t="shared" ca="1" si="142"/>
        <v>2</v>
      </c>
      <c r="R819">
        <f ca="1">((Tabla2[[#This Row],[Fantasma Comunicación]]+1)/(Tabla2[[#This Row],[Fantasma Comunicación]]+RANDBETWEEN(0,5)+2))-0.5</f>
        <v>-7.1428571428571452E-2</v>
      </c>
      <c r="S819">
        <f ca="1">1+MAX(0,Tabla2[[#This Row],[Deuda actual]]/Tabla2[[#This Row],[Liquidez]]+Tabla2[[#This Row],[Liquidez]]/(Tabla2[[#This Row],[Activos]]+Tabla2[[#This Row],[Liquidez]])+Tabla2[[#This Row],[Comunicación]])</f>
        <v>4.3923946464438099</v>
      </c>
      <c r="T819">
        <f ca="1">Tabla2[[#This Row],[Deuda actual]]*EXP(Tabla2[[#This Row],[Ki]]*Tabla2[[#This Row],[diferencia de días]])*(1+Tabla2[[#This Row],[Hg]])</f>
        <v>7980.9017689972889</v>
      </c>
    </row>
    <row r="820" spans="1:20" ht="14.5" x14ac:dyDescent="0.35">
      <c r="A820">
        <f t="shared" si="132"/>
        <v>819</v>
      </c>
      <c r="B820">
        <f t="shared" ca="1" si="133"/>
        <v>46137</v>
      </c>
      <c r="C820">
        <f t="shared" ca="1" si="134"/>
        <v>46157</v>
      </c>
      <c r="D820">
        <f t="shared" ca="1" si="135"/>
        <v>4</v>
      </c>
      <c r="E820">
        <f t="shared" ca="1" si="136"/>
        <v>2.5917365882770493E-2</v>
      </c>
      <c r="F820">
        <f t="shared" ca="1" si="137"/>
        <v>970.6</v>
      </c>
      <c r="G820" t="str">
        <f t="shared" ca="1" si="138"/>
        <v>hipotecario</v>
      </c>
      <c r="H82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20" t="str">
        <f t="shared" ca="1" si="139"/>
        <v>No</v>
      </c>
      <c r="J82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165000.50995959382</v>
      </c>
      <c r="K820" t="str">
        <f ca="1">IF(Tabla2[[#This Row],[¿cliente deuda abierta?]]="Sí", Tabla2[[#This Row],[Deuda actual]]*Tabla2[[#This Row],[diferencia de días]], "0")</f>
        <v>0</v>
      </c>
      <c r="L82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2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82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820">
        <f t="shared" ca="1" si="140"/>
        <v>1400.43</v>
      </c>
      <c r="P820">
        <f t="shared" ca="1" si="141"/>
        <v>170273.23</v>
      </c>
      <c r="Q820">
        <f t="shared" ca="1" si="142"/>
        <v>3</v>
      </c>
      <c r="R820">
        <f ca="1">((Tabla2[[#This Row],[Fantasma Comunicación]]+1)/(Tabla2[[#This Row],[Fantasma Comunicación]]+RANDBETWEEN(0,5)+2))-0.5</f>
        <v>7.1428571428571397E-2</v>
      </c>
      <c r="S820">
        <f ca="1">1+MAX(0,Tabla2[[#This Row],[Deuda actual]]/Tabla2[[#This Row],[Liquidez]]+Tabla2[[#This Row],[Liquidez]]/(Tabla2[[#This Row],[Activos]]+Tabla2[[#This Row],[Liquidez]])+Tabla2[[#This Row],[Comunicación]])</f>
        <v>1.7726589256819776</v>
      </c>
      <c r="T820">
        <f ca="1">Tabla2[[#This Row],[Deuda actual]]*EXP(Tabla2[[#This Row],[Ki]]*Tabla2[[#This Row],[diferencia de días]])*(1+Tabla2[[#This Row],[Hg]])</f>
        <v>777.10143253987292</v>
      </c>
    </row>
    <row r="821" spans="1:20" ht="14.5" x14ac:dyDescent="0.35">
      <c r="A821">
        <f t="shared" si="132"/>
        <v>820</v>
      </c>
      <c r="B821">
        <f t="shared" ca="1" si="133"/>
        <v>46109</v>
      </c>
      <c r="C821">
        <f t="shared" ca="1" si="134"/>
        <v>46157</v>
      </c>
      <c r="D821">
        <f t="shared" ca="1" si="135"/>
        <v>16</v>
      </c>
      <c r="E821">
        <f t="shared" ca="1" si="136"/>
        <v>0.31805349169746078</v>
      </c>
      <c r="F821">
        <f t="shared" ca="1" si="137"/>
        <v>1268.1199999999999</v>
      </c>
      <c r="G821" t="str">
        <f t="shared" ca="1" si="138"/>
        <v>hipotecario</v>
      </c>
      <c r="H82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21" t="str">
        <f t="shared" ca="1" si="139"/>
        <v>Sí</v>
      </c>
      <c r="J82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21">
        <f ca="1">IF(Tabla2[[#This Row],[¿cliente deuda abierta?]]="Sí", Tabla2[[#This Row],[Deuda actual]]*Tabla2[[#This Row],[diferencia de días]], "0")</f>
        <v>20289.919999999998</v>
      </c>
      <c r="L82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2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2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21">
        <f t="shared" ca="1" si="140"/>
        <v>1896.24</v>
      </c>
      <c r="P821">
        <f t="shared" ca="1" si="141"/>
        <v>122890.07</v>
      </c>
      <c r="Q821">
        <f t="shared" ca="1" si="142"/>
        <v>1</v>
      </c>
      <c r="R821">
        <f ca="1">((Tabla2[[#This Row],[Fantasma Comunicación]]+1)/(Tabla2[[#This Row],[Fantasma Comunicación]]+RANDBETWEEN(0,5)+2))-0.5</f>
        <v>0.16666666666666663</v>
      </c>
      <c r="S821">
        <f ca="1">1+MAX(0,Tabla2[[#This Row],[Deuda actual]]/Tabla2[[#This Row],[Liquidez]]+Tabla2[[#This Row],[Liquidez]]/(Tabla2[[#This Row],[Activos]]+Tabla2[[#This Row],[Liquidez]])+Tabla2[[#This Row],[Comunicación]])</f>
        <v>1.8506175742720441</v>
      </c>
      <c r="T821">
        <f ca="1">Tabla2[[#This Row],[Deuda actual]]*EXP(Tabla2[[#This Row],[Ki]]*Tabla2[[#This Row],[diferencia de días]])*(1+Tabla2[[#This Row],[Hg]])</f>
        <v>1340.0750943209384</v>
      </c>
    </row>
    <row r="822" spans="1:20" ht="14.5" x14ac:dyDescent="0.35">
      <c r="A822">
        <f t="shared" si="132"/>
        <v>821</v>
      </c>
      <c r="B822">
        <f t="shared" ca="1" si="133"/>
        <v>46110</v>
      </c>
      <c r="C822">
        <f t="shared" ca="1" si="134"/>
        <v>46157</v>
      </c>
      <c r="D822">
        <f t="shared" ca="1" si="135"/>
        <v>11</v>
      </c>
      <c r="E822">
        <f t="shared" ca="1" si="136"/>
        <v>0.25833809430438914</v>
      </c>
      <c r="F822">
        <f t="shared" ca="1" si="137"/>
        <v>229.02</v>
      </c>
      <c r="G822" t="str">
        <f t="shared" ca="1" si="138"/>
        <v>hipotecario</v>
      </c>
      <c r="H82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22" t="str">
        <f t="shared" ca="1" si="139"/>
        <v>No</v>
      </c>
      <c r="J82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164999.64435136024</v>
      </c>
      <c r="K822" t="str">
        <f ca="1">IF(Tabla2[[#This Row],[¿cliente deuda abierta?]]="Sí", Tabla2[[#This Row],[Deuda actual]]*Tabla2[[#This Row],[diferencia de días]], "0")</f>
        <v>0</v>
      </c>
      <c r="L82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2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82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822">
        <f t="shared" ca="1" si="140"/>
        <v>1616.23</v>
      </c>
      <c r="P822">
        <f t="shared" ca="1" si="141"/>
        <v>128311.25</v>
      </c>
      <c r="Q822">
        <f t="shared" ca="1" si="142"/>
        <v>3</v>
      </c>
      <c r="R822">
        <f ca="1">((Tabla2[[#This Row],[Fantasma Comunicación]]+1)/(Tabla2[[#This Row],[Fantasma Comunicación]]+RANDBETWEEN(0,5)+2))-0.5</f>
        <v>0.30000000000000004</v>
      </c>
      <c r="S822">
        <f ca="1">1+MAX(0,Tabla2[[#This Row],[Deuda actual]]/Tabla2[[#This Row],[Liquidez]]+Tabla2[[#This Row],[Liquidez]]/(Tabla2[[#This Row],[Activos]]+Tabla2[[#This Row],[Liquidez]])+Tabla2[[#This Row],[Comunicación]])</f>
        <v>1.4541396070896504</v>
      </c>
      <c r="T822">
        <f ca="1">Tabla2[[#This Row],[Deuda actual]]*EXP(Tabla2[[#This Row],[Ki]]*Tabla2[[#This Row],[diferencia de días]])*(1+Tabla2[[#This Row],[Hg]])</f>
        <v>183.61951890804625</v>
      </c>
    </row>
    <row r="823" spans="1:20" ht="14.5" x14ac:dyDescent="0.35">
      <c r="A823">
        <f t="shared" si="132"/>
        <v>822</v>
      </c>
      <c r="B823">
        <f t="shared" ca="1" si="133"/>
        <v>46134</v>
      </c>
      <c r="C823">
        <f t="shared" ca="1" si="134"/>
        <v>46157</v>
      </c>
      <c r="D823">
        <f t="shared" ca="1" si="135"/>
        <v>9</v>
      </c>
      <c r="E823">
        <f t="shared" ca="1" si="136"/>
        <v>0.91463667435757545</v>
      </c>
      <c r="F823">
        <f t="shared" ca="1" si="137"/>
        <v>3202.56</v>
      </c>
      <c r="G823" t="str">
        <f t="shared" ca="1" si="138"/>
        <v>personal</v>
      </c>
      <c r="H82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23" t="str">
        <f t="shared" ca="1" si="139"/>
        <v>No</v>
      </c>
      <c r="J82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11999.557524199448</v>
      </c>
      <c r="K823" t="str">
        <f ca="1">IF(Tabla2[[#This Row],[¿cliente deuda abierta?]]="Sí", Tabla2[[#This Row],[Deuda actual]]*Tabla2[[#This Row],[diferencia de días]], "0")</f>
        <v>0</v>
      </c>
      <c r="L82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2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2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23">
        <f t="shared" ca="1" si="140"/>
        <v>2096.62</v>
      </c>
      <c r="P823">
        <f t="shared" ca="1" si="141"/>
        <v>179683.03</v>
      </c>
      <c r="Q823">
        <f t="shared" ca="1" si="142"/>
        <v>1</v>
      </c>
      <c r="R823">
        <f ca="1">((Tabla2[[#This Row],[Fantasma Comunicación]]+1)/(Tabla2[[#This Row],[Fantasma Comunicación]]+RANDBETWEEN(0,5)+2))-0.5</f>
        <v>0.16666666666666663</v>
      </c>
      <c r="S823">
        <f ca="1">1+MAX(0,Tabla2[[#This Row],[Deuda actual]]/Tabla2[[#This Row],[Liquidez]]+Tabla2[[#This Row],[Liquidez]]/(Tabla2[[#This Row],[Activos]]+Tabla2[[#This Row],[Liquidez]])+Tabla2[[#This Row],[Comunicación]])</f>
        <v>2.7056876192607384</v>
      </c>
      <c r="T823">
        <f ca="1">Tabla2[[#This Row],[Deuda actual]]*EXP(Tabla2[[#This Row],[Ki]]*Tabla2[[#This Row],[diferencia de días]])*(1+Tabla2[[#This Row],[Hg]])</f>
        <v>2887.4968193353411</v>
      </c>
    </row>
    <row r="824" spans="1:20" ht="14.5" x14ac:dyDescent="0.35">
      <c r="A824">
        <f t="shared" si="132"/>
        <v>823</v>
      </c>
      <c r="B824">
        <f t="shared" ca="1" si="133"/>
        <v>46105</v>
      </c>
      <c r="C824">
        <f t="shared" ca="1" si="134"/>
        <v>46157</v>
      </c>
      <c r="D824">
        <f t="shared" ca="1" si="135"/>
        <v>38</v>
      </c>
      <c r="E824">
        <f t="shared" ca="1" si="136"/>
        <v>0.7518802276823473</v>
      </c>
      <c r="F824">
        <f t="shared" ca="1" si="137"/>
        <v>2389.1</v>
      </c>
      <c r="G824" t="str">
        <f t="shared" ca="1" si="138"/>
        <v>personal</v>
      </c>
      <c r="H82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824" t="str">
        <f t="shared" ca="1" si="139"/>
        <v>Sí</v>
      </c>
      <c r="J82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24">
        <f ca="1">IF(Tabla2[[#This Row],[¿cliente deuda abierta?]]="Sí", Tabla2[[#This Row],[Deuda actual]]*Tabla2[[#This Row],[diferencia de días]], "0")</f>
        <v>90785.8</v>
      </c>
      <c r="L82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82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24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824">
        <f t="shared" ca="1" si="140"/>
        <v>1156.03</v>
      </c>
      <c r="P824">
        <f t="shared" ca="1" si="141"/>
        <v>221883.73</v>
      </c>
      <c r="Q824">
        <f t="shared" ca="1" si="142"/>
        <v>4</v>
      </c>
      <c r="R824">
        <f ca="1">((Tabla2[[#This Row],[Fantasma Comunicación]]+1)/(Tabla2[[#This Row],[Fantasma Comunicación]]+RANDBETWEEN(0,5)+2))-0.5</f>
        <v>-4.545454545454547E-2</v>
      </c>
      <c r="S824">
        <f ca="1">1+MAX(0,Tabla2[[#This Row],[Deuda actual]]/Tabla2[[#This Row],[Liquidez]]+Tabla2[[#This Row],[Liquidez]]/(Tabla2[[#This Row],[Activos]]+Tabla2[[#This Row],[Liquidez]])+Tabla2[[#This Row],[Comunicación]])</f>
        <v>3.026370390612577</v>
      </c>
      <c r="T824">
        <f ca="1">Tabla2[[#This Row],[Deuda actual]]*EXP(Tabla2[[#This Row],[Ki]]*Tabla2[[#This Row],[diferencia de días]])*(1+Tabla2[[#This Row],[Hg]])</f>
        <v>2853.8777067405213</v>
      </c>
    </row>
    <row r="825" spans="1:20" ht="14.5" x14ac:dyDescent="0.35">
      <c r="A825">
        <f t="shared" si="132"/>
        <v>824</v>
      </c>
      <c r="B825">
        <f t="shared" ca="1" si="133"/>
        <v>46113</v>
      </c>
      <c r="C825">
        <f t="shared" ca="1" si="134"/>
        <v>46157</v>
      </c>
      <c r="D825">
        <f t="shared" ca="1" si="135"/>
        <v>7</v>
      </c>
      <c r="E825">
        <f t="shared" ca="1" si="136"/>
        <v>0.43603660186300308</v>
      </c>
      <c r="F825">
        <f t="shared" ca="1" si="137"/>
        <v>815.01</v>
      </c>
      <c r="G825" t="str">
        <f t="shared" ca="1" si="138"/>
        <v>personal</v>
      </c>
      <c r="H82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25" t="str">
        <f t="shared" ca="1" si="139"/>
        <v>Sí</v>
      </c>
      <c r="J82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25">
        <f ca="1">IF(Tabla2[[#This Row],[¿cliente deuda abierta?]]="Sí", Tabla2[[#This Row],[Deuda actual]]*Tabla2[[#This Row],[diferencia de días]], "0")</f>
        <v>5705.07</v>
      </c>
      <c r="L82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2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2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25">
        <f t="shared" ca="1" si="140"/>
        <v>1506.09</v>
      </c>
      <c r="P825">
        <f t="shared" ca="1" si="141"/>
        <v>120551.44</v>
      </c>
      <c r="Q825">
        <f t="shared" ca="1" si="142"/>
        <v>1</v>
      </c>
      <c r="R825">
        <f ca="1">((Tabla2[[#This Row],[Fantasma Comunicación]]+1)/(Tabla2[[#This Row],[Fantasma Comunicación]]+RANDBETWEEN(0,5)+2))-0.5</f>
        <v>-0.2142857142857143</v>
      </c>
      <c r="S825">
        <f ca="1">1+MAX(0,Tabla2[[#This Row],[Deuda actual]]/Tabla2[[#This Row],[Liquidez]]+Tabla2[[#This Row],[Liquidez]]/(Tabla2[[#This Row],[Activos]]+Tabla2[[#This Row],[Liquidez]])+Tabla2[[#This Row],[Comunicación]])</f>
        <v>1.3391964266663736</v>
      </c>
      <c r="T825">
        <f ca="1">Tabla2[[#This Row],[Deuda actual]]*EXP(Tabla2[[#This Row],[Ki]]*Tabla2[[#This Row],[diferencia de días]])*(1+Tabla2[[#This Row],[Hg]])</f>
        <v>856.95940373679491</v>
      </c>
    </row>
    <row r="826" spans="1:20" ht="14.5" x14ac:dyDescent="0.35">
      <c r="A826">
        <f t="shared" si="132"/>
        <v>825</v>
      </c>
      <c r="B826">
        <f t="shared" ca="1" si="133"/>
        <v>46123</v>
      </c>
      <c r="C826">
        <f t="shared" ca="1" si="134"/>
        <v>46157</v>
      </c>
      <c r="D826">
        <f t="shared" ca="1" si="135"/>
        <v>14</v>
      </c>
      <c r="E826">
        <f t="shared" ca="1" si="136"/>
        <v>0.53383735566624846</v>
      </c>
      <c r="F826">
        <f t="shared" ca="1" si="137"/>
        <v>545.74</v>
      </c>
      <c r="G826" t="str">
        <f t="shared" ca="1" si="138"/>
        <v>hipotecario</v>
      </c>
      <c r="H82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26" t="str">
        <f t="shared" ca="1" si="139"/>
        <v>Sí</v>
      </c>
      <c r="J82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26">
        <f ca="1">IF(Tabla2[[#This Row],[¿cliente deuda abierta?]]="Sí", Tabla2[[#This Row],[Deuda actual]]*Tabla2[[#This Row],[diferencia de días]], "0")</f>
        <v>7640.3600000000006</v>
      </c>
      <c r="L82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2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2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26">
        <f t="shared" ca="1" si="140"/>
        <v>1629.74</v>
      </c>
      <c r="P826">
        <f t="shared" ca="1" si="141"/>
        <v>467255.68</v>
      </c>
      <c r="Q826">
        <f t="shared" ca="1" si="142"/>
        <v>2</v>
      </c>
      <c r="R826">
        <f ca="1">((Tabla2[[#This Row],[Fantasma Comunicación]]+1)/(Tabla2[[#This Row],[Fantasma Comunicación]]+RANDBETWEEN(0,5)+2))-0.5</f>
        <v>0.25</v>
      </c>
      <c r="S826">
        <f ca="1">1+MAX(0,Tabla2[[#This Row],[Deuda actual]]/Tabla2[[#This Row],[Liquidez]]+Tabla2[[#This Row],[Liquidez]]/(Tabla2[[#This Row],[Activos]]+Tabla2[[#This Row],[Liquidez]])+Tabla2[[#This Row],[Comunicación]])</f>
        <v>1.5883390042469319</v>
      </c>
      <c r="T826">
        <f ca="1">Tabla2[[#This Row],[Deuda actual]]*EXP(Tabla2[[#This Row],[Ki]]*Tabla2[[#This Row],[diferencia de días]])*(1+Tabla2[[#This Row],[Hg]])</f>
        <v>574.63372396382317</v>
      </c>
    </row>
    <row r="827" spans="1:20" ht="14.5" x14ac:dyDescent="0.35">
      <c r="A827">
        <f t="shared" si="132"/>
        <v>826</v>
      </c>
      <c r="B827">
        <f t="shared" ca="1" si="133"/>
        <v>46120</v>
      </c>
      <c r="C827">
        <f t="shared" ca="1" si="134"/>
        <v>46157</v>
      </c>
      <c r="D827">
        <f t="shared" ca="1" si="135"/>
        <v>11</v>
      </c>
      <c r="E827">
        <f t="shared" ca="1" si="136"/>
        <v>0.4050943455854602</v>
      </c>
      <c r="F827">
        <f t="shared" ca="1" si="137"/>
        <v>883.19</v>
      </c>
      <c r="G827" t="str">
        <f t="shared" ca="1" si="138"/>
        <v>hipotecario</v>
      </c>
      <c r="H82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27" t="str">
        <f t="shared" ca="1" si="139"/>
        <v>No</v>
      </c>
      <c r="J82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165000.34838727594</v>
      </c>
      <c r="K827" t="str">
        <f ca="1">IF(Tabla2[[#This Row],[¿cliente deuda abierta?]]="Sí", Tabla2[[#This Row],[Deuda actual]]*Tabla2[[#This Row],[diferencia de días]], "0")</f>
        <v>0</v>
      </c>
      <c r="L82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2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82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827">
        <f t="shared" ca="1" si="140"/>
        <v>1313.85</v>
      </c>
      <c r="P827">
        <f t="shared" ca="1" si="141"/>
        <v>76624.08</v>
      </c>
      <c r="Q827">
        <f t="shared" ca="1" si="142"/>
        <v>0</v>
      </c>
      <c r="R827">
        <f ca="1">((Tabla2[[#This Row],[Fantasma Comunicación]]+1)/(Tabla2[[#This Row],[Fantasma Comunicación]]+RANDBETWEEN(0,5)+2))-0.5</f>
        <v>-0.3</v>
      </c>
      <c r="S827">
        <f ca="1">1+MAX(0,Tabla2[[#This Row],[Deuda actual]]/Tabla2[[#This Row],[Liquidez]]+Tabla2[[#This Row],[Liquidez]]/(Tabla2[[#This Row],[Activos]]+Tabla2[[#This Row],[Liquidez]])+Tabla2[[#This Row],[Comunicación]])</f>
        <v>1.3890728908364047</v>
      </c>
      <c r="T827">
        <f ca="1">Tabla2[[#This Row],[Deuda actual]]*EXP(Tabla2[[#This Row],[Ki]]*Tabla2[[#This Row],[diferencia de días]])*(1+Tabla2[[#This Row],[Hg]])</f>
        <v>708.10812551042432</v>
      </c>
    </row>
    <row r="828" spans="1:20" ht="14.5" x14ac:dyDescent="0.35">
      <c r="A828">
        <f t="shared" si="132"/>
        <v>827</v>
      </c>
      <c r="B828">
        <f t="shared" ca="1" si="133"/>
        <v>46090</v>
      </c>
      <c r="C828">
        <f t="shared" ca="1" si="134"/>
        <v>46157</v>
      </c>
      <c r="D828">
        <f t="shared" ca="1" si="135"/>
        <v>5</v>
      </c>
      <c r="E828">
        <f t="shared" ca="1" si="136"/>
        <v>0.37773700588295966</v>
      </c>
      <c r="F828">
        <f t="shared" ca="1" si="137"/>
        <v>203.69</v>
      </c>
      <c r="G828" t="str">
        <f t="shared" ca="1" si="138"/>
        <v>hipotecario</v>
      </c>
      <c r="H82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28" t="str">
        <f t="shared" ca="1" si="139"/>
        <v>Sí</v>
      </c>
      <c r="J82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28">
        <f ca="1">IF(Tabla2[[#This Row],[¿cliente deuda abierta?]]="Sí", Tabla2[[#This Row],[Deuda actual]]*Tabla2[[#This Row],[diferencia de días]], "0")</f>
        <v>1018.45</v>
      </c>
      <c r="L82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2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2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28">
        <f t="shared" ca="1" si="140"/>
        <v>1429.04</v>
      </c>
      <c r="P828">
        <f t="shared" ca="1" si="141"/>
        <v>93298.86</v>
      </c>
      <c r="Q828">
        <f t="shared" ca="1" si="142"/>
        <v>5</v>
      </c>
      <c r="R828">
        <f ca="1">((Tabla2[[#This Row],[Fantasma Comunicación]]+1)/(Tabla2[[#This Row],[Fantasma Comunicación]]+RANDBETWEEN(0,5)+2))-0.5</f>
        <v>0.16666666666666663</v>
      </c>
      <c r="S828">
        <f ca="1">1+MAX(0,Tabla2[[#This Row],[Deuda actual]]/Tabla2[[#This Row],[Liquidez]]+Tabla2[[#This Row],[Liquidez]]/(Tabla2[[#This Row],[Activos]]+Tabla2[[#This Row],[Liquidez]])+Tabla2[[#This Row],[Comunicación]])</f>
        <v>1.3242886498141657</v>
      </c>
      <c r="T828">
        <f ca="1">Tabla2[[#This Row],[Deuda actual]]*EXP(Tabla2[[#This Row],[Ki]]*Tabla2[[#This Row],[diferencia de días]])*(1+Tabla2[[#This Row],[Hg]])</f>
        <v>214.08848147290468</v>
      </c>
    </row>
    <row r="829" spans="1:20" ht="14.5" x14ac:dyDescent="0.35">
      <c r="A829">
        <f t="shared" si="132"/>
        <v>828</v>
      </c>
      <c r="B829">
        <f t="shared" ca="1" si="133"/>
        <v>46087</v>
      </c>
      <c r="C829">
        <f t="shared" ca="1" si="134"/>
        <v>46157</v>
      </c>
      <c r="D829">
        <f t="shared" ca="1" si="135"/>
        <v>48</v>
      </c>
      <c r="E829">
        <f t="shared" ca="1" si="136"/>
        <v>0.76809364981207429</v>
      </c>
      <c r="F829">
        <f t="shared" ca="1" si="137"/>
        <v>1456.12</v>
      </c>
      <c r="G829" t="str">
        <f t="shared" ca="1" si="138"/>
        <v>personal</v>
      </c>
      <c r="H82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829" t="str">
        <f t="shared" ca="1" si="139"/>
        <v>Sí</v>
      </c>
      <c r="J82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29">
        <f ca="1">IF(Tabla2[[#This Row],[¿cliente deuda abierta?]]="Sí", Tabla2[[#This Row],[Deuda actual]]*Tabla2[[#This Row],[diferencia de días]], "0")</f>
        <v>69893.759999999995</v>
      </c>
      <c r="L82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82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29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829">
        <f t="shared" ca="1" si="140"/>
        <v>1704.67</v>
      </c>
      <c r="P829">
        <f t="shared" ca="1" si="141"/>
        <v>107151.3</v>
      </c>
      <c r="Q829">
        <f t="shared" ca="1" si="142"/>
        <v>1</v>
      </c>
      <c r="R829">
        <f ca="1">((Tabla2[[#This Row],[Fantasma Comunicación]]+1)/(Tabla2[[#This Row],[Fantasma Comunicación]]+RANDBETWEEN(0,5)+2))-0.5</f>
        <v>-0.25</v>
      </c>
      <c r="S829">
        <f ca="1">1+MAX(0,Tabla2[[#This Row],[Deuda actual]]/Tabla2[[#This Row],[Liquidez]]+Tabla2[[#This Row],[Liquidez]]/(Tabla2[[#This Row],[Activos]]+Tabla2[[#This Row],[Liquidez]])+Tabla2[[#This Row],[Comunicación]])</f>
        <v>1.6198545203971424</v>
      </c>
      <c r="T829">
        <f ca="1">Tabla2[[#This Row],[Deuda actual]]*EXP(Tabla2[[#This Row],[Ki]]*Tabla2[[#This Row],[diferencia de días]])*(1+Tabla2[[#This Row],[Hg]])</f>
        <v>1756.8761308257281</v>
      </c>
    </row>
    <row r="830" spans="1:20" ht="14.5" x14ac:dyDescent="0.35">
      <c r="A830">
        <f t="shared" si="132"/>
        <v>829</v>
      </c>
      <c r="B830">
        <f t="shared" ca="1" si="133"/>
        <v>46090</v>
      </c>
      <c r="C830">
        <f t="shared" ca="1" si="134"/>
        <v>46157</v>
      </c>
      <c r="D830">
        <f t="shared" ca="1" si="135"/>
        <v>15</v>
      </c>
      <c r="E830">
        <f t="shared" ca="1" si="136"/>
        <v>9.5924804765504135E-2</v>
      </c>
      <c r="F830">
        <f t="shared" ca="1" si="137"/>
        <v>5570.5</v>
      </c>
      <c r="G830" t="str">
        <f t="shared" ca="1" si="138"/>
        <v>personal</v>
      </c>
      <c r="H83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30" t="str">
        <f t="shared" ca="1" si="139"/>
        <v>No</v>
      </c>
      <c r="J83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11998.794975706029</v>
      </c>
      <c r="K830" t="str">
        <f ca="1">IF(Tabla2[[#This Row],[¿cliente deuda abierta?]]="Sí", Tabla2[[#This Row],[Deuda actual]]*Tabla2[[#This Row],[diferencia de días]], "0")</f>
        <v>0</v>
      </c>
      <c r="L83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3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30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30">
        <f t="shared" ca="1" si="140"/>
        <v>2130.36</v>
      </c>
      <c r="P830">
        <f t="shared" ca="1" si="141"/>
        <v>247255.05</v>
      </c>
      <c r="Q830">
        <f t="shared" ca="1" si="142"/>
        <v>5</v>
      </c>
      <c r="R830">
        <f ca="1">((Tabla2[[#This Row],[Fantasma Comunicación]]+1)/(Tabla2[[#This Row],[Fantasma Comunicación]]+RANDBETWEEN(0,5)+2))-0.5</f>
        <v>0.25</v>
      </c>
      <c r="S830">
        <f ca="1">1+MAX(0,Tabla2[[#This Row],[Deuda actual]]/Tabla2[[#This Row],[Liquidez]]+Tabla2[[#This Row],[Liquidez]]/(Tabla2[[#This Row],[Activos]]+Tabla2[[#This Row],[Liquidez]])+Tabla2[[#This Row],[Comunicación]])</f>
        <v>3.8733587155773037</v>
      </c>
      <c r="T830">
        <f ca="1">Tabla2[[#This Row],[Deuda actual]]*EXP(Tabla2[[#This Row],[Ki]]*Tabla2[[#This Row],[diferencia de días]])*(1+Tabla2[[#This Row],[Hg]])</f>
        <v>5043.621122855252</v>
      </c>
    </row>
    <row r="831" spans="1:20" ht="14.5" x14ac:dyDescent="0.35">
      <c r="A831">
        <f t="shared" si="132"/>
        <v>830</v>
      </c>
      <c r="B831">
        <f t="shared" ca="1" si="133"/>
        <v>46110</v>
      </c>
      <c r="C831">
        <f t="shared" ca="1" si="134"/>
        <v>46157</v>
      </c>
      <c r="D831">
        <f t="shared" ca="1" si="135"/>
        <v>17</v>
      </c>
      <c r="E831">
        <f t="shared" ca="1" si="136"/>
        <v>0.5651988364534325</v>
      </c>
      <c r="F831">
        <f t="shared" ca="1" si="137"/>
        <v>1545.97</v>
      </c>
      <c r="G831" t="str">
        <f t="shared" ca="1" si="138"/>
        <v>hipotecario</v>
      </c>
      <c r="H83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31" t="str">
        <f t="shared" ca="1" si="139"/>
        <v>No</v>
      </c>
      <c r="J83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165001.31198687476</v>
      </c>
      <c r="K831" t="str">
        <f ca="1">IF(Tabla2[[#This Row],[¿cliente deuda abierta?]]="Sí", Tabla2[[#This Row],[Deuda actual]]*Tabla2[[#This Row],[diferencia de días]], "0")</f>
        <v>0</v>
      </c>
      <c r="L83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3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831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831">
        <f t="shared" ca="1" si="140"/>
        <v>1630.35</v>
      </c>
      <c r="P831">
        <f t="shared" ca="1" si="141"/>
        <v>57891.43</v>
      </c>
      <c r="Q831">
        <f t="shared" ca="1" si="142"/>
        <v>3</v>
      </c>
      <c r="R831">
        <f ca="1">((Tabla2[[#This Row],[Fantasma Comunicación]]+1)/(Tabla2[[#This Row],[Fantasma Comunicación]]+RANDBETWEEN(0,5)+2))-0.5</f>
        <v>0</v>
      </c>
      <c r="S831">
        <f ca="1">1+MAX(0,Tabla2[[#This Row],[Deuda actual]]/Tabla2[[#This Row],[Liquidez]]+Tabla2[[#This Row],[Liquidez]]/(Tabla2[[#This Row],[Activos]]+Tabla2[[#This Row],[Liquidez]])+Tabla2[[#This Row],[Comunicación]])</f>
        <v>1.9756350559511104</v>
      </c>
      <c r="T831">
        <f ca="1">Tabla2[[#This Row],[Deuda actual]]*EXP(Tabla2[[#This Row],[Ki]]*Tabla2[[#This Row],[diferencia de días]])*(1+Tabla2[[#This Row],[Hg]])</f>
        <v>1245.2147359851119</v>
      </c>
    </row>
    <row r="832" spans="1:20" ht="14.5" x14ac:dyDescent="0.35">
      <c r="A832">
        <f t="shared" si="132"/>
        <v>831</v>
      </c>
      <c r="B832">
        <f t="shared" ca="1" si="133"/>
        <v>46126</v>
      </c>
      <c r="C832">
        <f t="shared" ca="1" si="134"/>
        <v>46157</v>
      </c>
      <c r="D832">
        <f t="shared" ca="1" si="135"/>
        <v>7</v>
      </c>
      <c r="E832">
        <f t="shared" ca="1" si="136"/>
        <v>0.35536393685644918</v>
      </c>
      <c r="F832">
        <f t="shared" ca="1" si="137"/>
        <v>2047.44</v>
      </c>
      <c r="G832" t="str">
        <f t="shared" ca="1" si="138"/>
        <v>personal</v>
      </c>
      <c r="H83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32" t="str">
        <f t="shared" ca="1" si="139"/>
        <v>No</v>
      </c>
      <c r="J83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12000.292862071938</v>
      </c>
      <c r="K832" t="str">
        <f ca="1">IF(Tabla2[[#This Row],[¿cliente deuda abierta?]]="Sí", Tabla2[[#This Row],[Deuda actual]]*Tabla2[[#This Row],[diferencia de días]], "0")</f>
        <v>0</v>
      </c>
      <c r="L83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3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32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32">
        <f t="shared" ca="1" si="140"/>
        <v>1969.84</v>
      </c>
      <c r="P832">
        <f t="shared" ca="1" si="141"/>
        <v>266505.98</v>
      </c>
      <c r="Q832">
        <f t="shared" ca="1" si="142"/>
        <v>0</v>
      </c>
      <c r="R832">
        <f ca="1">((Tabla2[[#This Row],[Fantasma Comunicación]]+1)/(Tabla2[[#This Row],[Fantasma Comunicación]]+RANDBETWEEN(0,5)+2))-0.5</f>
        <v>-0.3</v>
      </c>
      <c r="S832">
        <f ca="1">1+MAX(0,Tabla2[[#This Row],[Deuda actual]]/Tabla2[[#This Row],[Liquidez]]+Tabla2[[#This Row],[Liquidez]]/(Tabla2[[#This Row],[Activos]]+Tabla2[[#This Row],[Liquidez]])+Tabla2[[#This Row],[Comunicación]])</f>
        <v>1.7467311850378064</v>
      </c>
      <c r="T832">
        <f ca="1">Tabla2[[#This Row],[Deuda actual]]*EXP(Tabla2[[#This Row],[Ki]]*Tabla2[[#This Row],[diferencia de días]])*(1+Tabla2[[#This Row],[Hg]])</f>
        <v>1845.2775810851015</v>
      </c>
    </row>
    <row r="833" spans="1:20" ht="14.5" x14ac:dyDescent="0.35">
      <c r="A833">
        <f t="shared" si="132"/>
        <v>832</v>
      </c>
      <c r="B833">
        <f t="shared" ca="1" si="133"/>
        <v>46097</v>
      </c>
      <c r="C833">
        <f t="shared" ca="1" si="134"/>
        <v>46157</v>
      </c>
      <c r="D833">
        <f t="shared" ca="1" si="135"/>
        <v>9</v>
      </c>
      <c r="E833">
        <f t="shared" ca="1" si="136"/>
        <v>0.46077464245200872</v>
      </c>
      <c r="F833">
        <f t="shared" ca="1" si="137"/>
        <v>10000</v>
      </c>
      <c r="G833" t="str">
        <f t="shared" ca="1" si="138"/>
        <v>personal</v>
      </c>
      <c r="H83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33" t="str">
        <f t="shared" ca="1" si="139"/>
        <v>Sí</v>
      </c>
      <c r="J83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33">
        <f ca="1">IF(Tabla2[[#This Row],[¿cliente deuda abierta?]]="Sí", Tabla2[[#This Row],[Deuda actual]]*Tabla2[[#This Row],[diferencia de días]], "0")</f>
        <v>90000</v>
      </c>
      <c r="L83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83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33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833">
        <f t="shared" ca="1" si="140"/>
        <v>1414.44</v>
      </c>
      <c r="P833">
        <f t="shared" ca="1" si="141"/>
        <v>108654.84</v>
      </c>
      <c r="Q833">
        <f t="shared" ca="1" si="142"/>
        <v>2</v>
      </c>
      <c r="R833">
        <f ca="1">((Tabla2[[#This Row],[Fantasma Comunicación]]+1)/(Tabla2[[#This Row],[Fantasma Comunicación]]+RANDBETWEEN(0,5)+2))-0.5</f>
        <v>0</v>
      </c>
      <c r="S833">
        <f ca="1">1+MAX(0,Tabla2[[#This Row],[Deuda actual]]/Tabla2[[#This Row],[Liquidez]]+Tabla2[[#This Row],[Liquidez]]/(Tabla2[[#This Row],[Activos]]+Tabla2[[#This Row],[Liquidez]])+Tabla2[[#This Row],[Comunicación]])</f>
        <v>8.0827862569891167</v>
      </c>
      <c r="T833">
        <f ca="1">Tabla2[[#This Row],[Deuda actual]]*EXP(Tabla2[[#This Row],[Ki]]*Tabla2[[#This Row],[diferencia de días]])*(1+Tabla2[[#This Row],[Hg]])</f>
        <v>11520.718641183032</v>
      </c>
    </row>
    <row r="834" spans="1:20" ht="14.5" x14ac:dyDescent="0.35">
      <c r="A834">
        <f t="shared" ref="A834:A882" si="143">A833+1</f>
        <v>833</v>
      </c>
      <c r="B834">
        <f t="shared" ref="B834:B897" ca="1" si="144">RANDBETWEEN(DATE(2026,3,1), DATE(2026,5,1))</f>
        <v>46085</v>
      </c>
      <c r="C834">
        <f t="shared" ref="C834:C897" ca="1" si="145">TODAY()</f>
        <v>46157</v>
      </c>
      <c r="D834">
        <f t="shared" ref="D834:D897" ca="1" si="146">ROUND((-(15) * LN(RAND())),0)</f>
        <v>46</v>
      </c>
      <c r="E834">
        <f t="shared" ref="E834:E897" ca="1" si="147">RAND()</f>
        <v>0.3275599567069718</v>
      </c>
      <c r="F834">
        <f t="shared" ref="F834:F897" ca="1" si="148">ROUND(MIN(10000, _xlfn.LOGNORM.INV(RAND(), 69/10, 13/10)),2)</f>
        <v>255.13</v>
      </c>
      <c r="G834" t="str">
        <f t="shared" ref="G834:G897" ca="1" si="149">IF(RAND()&lt;=0.5,"personal","hipotecario")</f>
        <v>personal</v>
      </c>
      <c r="H83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834" t="str">
        <f t="shared" ref="I834:I897" ca="1" si="150">IF(RAND()&lt;=0.65, "Sí", "No")</f>
        <v>No</v>
      </c>
      <c r="J83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12000.178717617193</v>
      </c>
      <c r="K834" t="str">
        <f ca="1">IF(Tabla2[[#This Row],[¿cliente deuda abierta?]]="Sí", Tabla2[[#This Row],[Deuda actual]]*Tabla2[[#This Row],[diferencia de días]], "0")</f>
        <v>0</v>
      </c>
      <c r="L83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3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3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34">
        <f t="shared" ref="O834:O897" ca="1" si="151">ROUND(1000*(_xlfn.LOGNORM.INV(RAND(), 0.5, 0.2)),2)</f>
        <v>1577.14</v>
      </c>
      <c r="P834">
        <f t="shared" ref="P834:P897" ca="1" si="152">ROUND(50000*(_xlfn.LOGNORM.INV(RAND(), 1, 0.75)),2)</f>
        <v>130149.92</v>
      </c>
      <c r="Q834">
        <f t="shared" ref="Q834:Q897" ca="1" si="153">RANDBETWEEN(0,5)</f>
        <v>0</v>
      </c>
      <c r="R834">
        <f ca="1">((Tabla2[[#This Row],[Fantasma Comunicación]]+1)/(Tabla2[[#This Row],[Fantasma Comunicación]]+RANDBETWEEN(0,5)+2))-0.5</f>
        <v>-0.35714285714285715</v>
      </c>
      <c r="S834">
        <f ca="1">1+MAX(0,Tabla2[[#This Row],[Deuda actual]]/Tabla2[[#This Row],[Liquidez]]+Tabla2[[#This Row],[Liquidez]]/(Tabla2[[#This Row],[Activos]]+Tabla2[[#This Row],[Liquidez]])+Tabla2[[#This Row],[Comunicación]])</f>
        <v>1</v>
      </c>
      <c r="T834">
        <f ca="1">Tabla2[[#This Row],[Deuda actual]]*EXP(Tabla2[[#This Row],[Ki]]*Tabla2[[#This Row],[diferencia de días]])*(1+Tabla2[[#This Row],[Hg]])</f>
        <v>240.42608502069902</v>
      </c>
    </row>
    <row r="835" spans="1:20" ht="14.5" x14ac:dyDescent="0.35">
      <c r="A835">
        <f t="shared" si="143"/>
        <v>834</v>
      </c>
      <c r="B835">
        <f t="shared" ca="1" si="144"/>
        <v>46097</v>
      </c>
      <c r="C835">
        <f t="shared" ca="1" si="145"/>
        <v>46157</v>
      </c>
      <c r="D835">
        <f t="shared" ca="1" si="146"/>
        <v>0</v>
      </c>
      <c r="E835">
        <f t="shared" ca="1" si="147"/>
        <v>0.93663858027137126</v>
      </c>
      <c r="F835">
        <f t="shared" ca="1" si="148"/>
        <v>4141.68</v>
      </c>
      <c r="G835" t="str">
        <f t="shared" ca="1" si="149"/>
        <v>personal</v>
      </c>
      <c r="H83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35" t="str">
        <f t="shared" ca="1" si="150"/>
        <v>Sí</v>
      </c>
      <c r="J83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35">
        <f ca="1">IF(Tabla2[[#This Row],[¿cliente deuda abierta?]]="Sí", Tabla2[[#This Row],[Deuda actual]]*Tabla2[[#This Row],[diferencia de días]], "0")</f>
        <v>0</v>
      </c>
      <c r="L83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3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35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835">
        <f t="shared" ca="1" si="151"/>
        <v>1379.09</v>
      </c>
      <c r="P835">
        <f t="shared" ca="1" si="152"/>
        <v>50684.52</v>
      </c>
      <c r="Q835">
        <f t="shared" ca="1" si="153"/>
        <v>0</v>
      </c>
      <c r="R835">
        <f ca="1">((Tabla2[[#This Row],[Fantasma Comunicación]]+1)/(Tabla2[[#This Row],[Fantasma Comunicación]]+RANDBETWEEN(0,5)+2))-0.5</f>
        <v>-0.33333333333333337</v>
      </c>
      <c r="S835">
        <f ca="1">1+MAX(0,Tabla2[[#This Row],[Deuda actual]]/Tabla2[[#This Row],[Liquidez]]+Tabla2[[#This Row],[Liquidez]]/(Tabla2[[#This Row],[Activos]]+Tabla2[[#This Row],[Liquidez]])+Tabla2[[#This Row],[Comunicación]])</f>
        <v>3.6963529864083542</v>
      </c>
      <c r="T835">
        <f ca="1">Tabla2[[#This Row],[Deuda actual]]*EXP(Tabla2[[#This Row],[Ki]]*Tabla2[[#This Row],[diferencia de días]])*(1+Tabla2[[#This Row],[Hg]])</f>
        <v>4141.68</v>
      </c>
    </row>
    <row r="836" spans="1:20" ht="14.5" x14ac:dyDescent="0.35">
      <c r="A836">
        <f t="shared" si="143"/>
        <v>835</v>
      </c>
      <c r="B836">
        <f t="shared" ca="1" si="144"/>
        <v>46120</v>
      </c>
      <c r="C836">
        <f t="shared" ca="1" si="145"/>
        <v>46157</v>
      </c>
      <c r="D836">
        <f t="shared" ca="1" si="146"/>
        <v>27</v>
      </c>
      <c r="E836">
        <f t="shared" ca="1" si="147"/>
        <v>0.51982165985380069</v>
      </c>
      <c r="F836">
        <f t="shared" ca="1" si="148"/>
        <v>2597.08</v>
      </c>
      <c r="G836" t="str">
        <f t="shared" ca="1" si="149"/>
        <v>hipotecario</v>
      </c>
      <c r="H83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36" t="str">
        <f t="shared" ca="1" si="150"/>
        <v>Sí</v>
      </c>
      <c r="J83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36">
        <f ca="1">IF(Tabla2[[#This Row],[¿cliente deuda abierta?]]="Sí", Tabla2[[#This Row],[Deuda actual]]*Tabla2[[#This Row],[diferencia de días]], "0")</f>
        <v>70121.16</v>
      </c>
      <c r="L83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83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36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836">
        <f t="shared" ca="1" si="151"/>
        <v>1812.3</v>
      </c>
      <c r="P836">
        <f t="shared" ca="1" si="152"/>
        <v>170529.44</v>
      </c>
      <c r="Q836">
        <f t="shared" ca="1" si="153"/>
        <v>5</v>
      </c>
      <c r="R836">
        <f ca="1">((Tabla2[[#This Row],[Fantasma Comunicación]]+1)/(Tabla2[[#This Row],[Fantasma Comunicación]]+RANDBETWEEN(0,5)+2))-0.5</f>
        <v>9.9999999999999978E-2</v>
      </c>
      <c r="S836">
        <f ca="1">1+MAX(0,Tabla2[[#This Row],[Deuda actual]]/Tabla2[[#This Row],[Liquidez]]+Tabla2[[#This Row],[Liquidez]]/(Tabla2[[#This Row],[Activos]]+Tabla2[[#This Row],[Liquidez]])+Tabla2[[#This Row],[Comunicación]])</f>
        <v>2.5435455861794476</v>
      </c>
      <c r="T836">
        <f ca="1">Tabla2[[#This Row],[Deuda actual]]*EXP(Tabla2[[#This Row],[Ki]]*Tabla2[[#This Row],[diferencia de días]])*(1+Tabla2[[#This Row],[Hg]])</f>
        <v>3019.0725433096031</v>
      </c>
    </row>
    <row r="837" spans="1:20" ht="14.5" x14ac:dyDescent="0.35">
      <c r="A837">
        <f t="shared" si="143"/>
        <v>836</v>
      </c>
      <c r="B837">
        <f t="shared" ca="1" si="144"/>
        <v>46094</v>
      </c>
      <c r="C837">
        <f t="shared" ca="1" si="145"/>
        <v>46157</v>
      </c>
      <c r="D837">
        <f t="shared" ca="1" si="146"/>
        <v>3</v>
      </c>
      <c r="E837">
        <f t="shared" ca="1" si="147"/>
        <v>0.52302282836817204</v>
      </c>
      <c r="F837">
        <f t="shared" ca="1" si="148"/>
        <v>8429.24</v>
      </c>
      <c r="G837" t="str">
        <f t="shared" ca="1" si="149"/>
        <v>personal</v>
      </c>
      <c r="H83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37" t="str">
        <f t="shared" ca="1" si="150"/>
        <v>No</v>
      </c>
      <c r="J83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12001.004466222977</v>
      </c>
      <c r="K837" t="str">
        <f ca="1">IF(Tabla2[[#This Row],[¿cliente deuda abierta?]]="Sí", Tabla2[[#This Row],[Deuda actual]]*Tabla2[[#This Row],[diferencia de días]], "0")</f>
        <v>0</v>
      </c>
      <c r="L83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3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37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37">
        <f t="shared" ca="1" si="151"/>
        <v>1735.68</v>
      </c>
      <c r="P837">
        <f t="shared" ca="1" si="152"/>
        <v>366176.77</v>
      </c>
      <c r="Q837">
        <f t="shared" ca="1" si="153"/>
        <v>0</v>
      </c>
      <c r="R837">
        <f ca="1">((Tabla2[[#This Row],[Fantasma Comunicación]]+1)/(Tabla2[[#This Row],[Fantasma Comunicación]]+RANDBETWEEN(0,5)+2))-0.5</f>
        <v>-0.33333333333333337</v>
      </c>
      <c r="S837">
        <f ca="1">1+MAX(0,Tabla2[[#This Row],[Deuda actual]]/Tabla2[[#This Row],[Liquidez]]+Tabla2[[#This Row],[Liquidez]]/(Tabla2[[#This Row],[Activos]]+Tabla2[[#This Row],[Liquidez]])+Tabla2[[#This Row],[Comunicación]])</f>
        <v>5.5278325039845635</v>
      </c>
      <c r="T837">
        <f ca="1">Tabla2[[#This Row],[Deuda actual]]*EXP(Tabla2[[#This Row],[Ki]]*Tabla2[[#This Row],[diferencia de días]])*(1+Tabla2[[#This Row],[Hg]])</f>
        <v>7590.8691554100287</v>
      </c>
    </row>
    <row r="838" spans="1:20" ht="14.5" x14ac:dyDescent="0.35">
      <c r="A838">
        <f t="shared" si="143"/>
        <v>837</v>
      </c>
      <c r="B838">
        <f t="shared" ca="1" si="144"/>
        <v>46117</v>
      </c>
      <c r="C838">
        <f t="shared" ca="1" si="145"/>
        <v>46157</v>
      </c>
      <c r="D838">
        <f t="shared" ca="1" si="146"/>
        <v>11</v>
      </c>
      <c r="E838">
        <f t="shared" ca="1" si="147"/>
        <v>0.1302447708317408</v>
      </c>
      <c r="F838">
        <f t="shared" ca="1" si="148"/>
        <v>8546.82</v>
      </c>
      <c r="G838" t="str">
        <f t="shared" ca="1" si="149"/>
        <v>personal</v>
      </c>
      <c r="H83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38" t="str">
        <f t="shared" ca="1" si="150"/>
        <v>No</v>
      </c>
      <c r="J83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12000.067657146768</v>
      </c>
      <c r="K838" t="str">
        <f ca="1">IF(Tabla2[[#This Row],[¿cliente deuda abierta?]]="Sí", Tabla2[[#This Row],[Deuda actual]]*Tabla2[[#This Row],[diferencia de días]], "0")</f>
        <v>0</v>
      </c>
      <c r="L83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3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3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38">
        <f t="shared" ca="1" si="151"/>
        <v>1402.99</v>
      </c>
      <c r="P838">
        <f t="shared" ca="1" si="152"/>
        <v>314151.83</v>
      </c>
      <c r="Q838">
        <f t="shared" ca="1" si="153"/>
        <v>0</v>
      </c>
      <c r="R838">
        <f ca="1">((Tabla2[[#This Row],[Fantasma Comunicación]]+1)/(Tabla2[[#This Row],[Fantasma Comunicación]]+RANDBETWEEN(0,5)+2))-0.5</f>
        <v>-0.3</v>
      </c>
      <c r="S838">
        <f ca="1">1+MAX(0,Tabla2[[#This Row],[Deuda actual]]/Tabla2[[#This Row],[Liquidez]]+Tabla2[[#This Row],[Liquidez]]/(Tabla2[[#This Row],[Activos]]+Tabla2[[#This Row],[Liquidez]])+Tabla2[[#This Row],[Comunicación]])</f>
        <v>6.7963070595393926</v>
      </c>
      <c r="T838">
        <f ca="1">Tabla2[[#This Row],[Deuda actual]]*EXP(Tabla2[[#This Row],[Ki]]*Tabla2[[#This Row],[diferencia de días]])*(1+Tabla2[[#This Row],[Hg]])</f>
        <v>7709.0793322324516</v>
      </c>
    </row>
    <row r="839" spans="1:20" ht="14.5" x14ac:dyDescent="0.35">
      <c r="A839">
        <f t="shared" si="143"/>
        <v>838</v>
      </c>
      <c r="B839">
        <f t="shared" ca="1" si="144"/>
        <v>46132</v>
      </c>
      <c r="C839">
        <f t="shared" ca="1" si="145"/>
        <v>46157</v>
      </c>
      <c r="D839">
        <f t="shared" ca="1" si="146"/>
        <v>0</v>
      </c>
      <c r="E839">
        <f t="shared" ca="1" si="147"/>
        <v>0.82334450841542584</v>
      </c>
      <c r="F839">
        <f t="shared" ca="1" si="148"/>
        <v>49.36</v>
      </c>
      <c r="G839" t="str">
        <f t="shared" ca="1" si="149"/>
        <v>personal</v>
      </c>
      <c r="H83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39" t="str">
        <f t="shared" ca="1" si="150"/>
        <v>Sí</v>
      </c>
      <c r="J83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39">
        <f ca="1">IF(Tabla2[[#This Row],[¿cliente deuda abierta?]]="Sí", Tabla2[[#This Row],[Deuda actual]]*Tabla2[[#This Row],[diferencia de días]], "0")</f>
        <v>0</v>
      </c>
      <c r="L83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3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39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839">
        <f t="shared" ca="1" si="151"/>
        <v>1536.41</v>
      </c>
      <c r="P839">
        <f t="shared" ca="1" si="152"/>
        <v>158471.16</v>
      </c>
      <c r="Q839">
        <f t="shared" ca="1" si="153"/>
        <v>5</v>
      </c>
      <c r="R839">
        <f ca="1">((Tabla2[[#This Row],[Fantasma Comunicación]]+1)/(Tabla2[[#This Row],[Fantasma Comunicación]]+RANDBETWEEN(0,5)+2))-0.5</f>
        <v>0.25</v>
      </c>
      <c r="S839">
        <f ca="1">1+MAX(0,Tabla2[[#This Row],[Deuda actual]]/Tabla2[[#This Row],[Liquidez]]+Tabla2[[#This Row],[Liquidez]]/(Tabla2[[#This Row],[Activos]]+Tabla2[[#This Row],[Liquidez]])+Tabla2[[#This Row],[Comunicación]])</f>
        <v>1.2917289493429194</v>
      </c>
      <c r="T839">
        <f ca="1">Tabla2[[#This Row],[Deuda actual]]*EXP(Tabla2[[#This Row],[Ki]]*Tabla2[[#This Row],[diferencia de días]])*(1+Tabla2[[#This Row],[Hg]])</f>
        <v>49.36</v>
      </c>
    </row>
    <row r="840" spans="1:20" ht="14.5" x14ac:dyDescent="0.35">
      <c r="A840">
        <f t="shared" si="143"/>
        <v>839</v>
      </c>
      <c r="B840">
        <f t="shared" ca="1" si="144"/>
        <v>46108</v>
      </c>
      <c r="C840">
        <f t="shared" ca="1" si="145"/>
        <v>46157</v>
      </c>
      <c r="D840">
        <f t="shared" ca="1" si="146"/>
        <v>5</v>
      </c>
      <c r="E840">
        <f t="shared" ca="1" si="147"/>
        <v>0.61532660829111752</v>
      </c>
      <c r="F840">
        <f t="shared" ca="1" si="148"/>
        <v>245.15</v>
      </c>
      <c r="G840" t="str">
        <f t="shared" ca="1" si="149"/>
        <v>personal</v>
      </c>
      <c r="H84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40" t="str">
        <f t="shared" ca="1" si="150"/>
        <v>Sí</v>
      </c>
      <c r="J84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40">
        <f ca="1">IF(Tabla2[[#This Row],[¿cliente deuda abierta?]]="Sí", Tabla2[[#This Row],[Deuda actual]]*Tabla2[[#This Row],[diferencia de días]], "0")</f>
        <v>1225.75</v>
      </c>
      <c r="L84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4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4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40">
        <f t="shared" ca="1" si="151"/>
        <v>1879.39</v>
      </c>
      <c r="P840">
        <f t="shared" ca="1" si="152"/>
        <v>60977.06</v>
      </c>
      <c r="Q840">
        <f t="shared" ca="1" si="153"/>
        <v>0</v>
      </c>
      <c r="R840">
        <f ca="1">((Tabla2[[#This Row],[Fantasma Comunicación]]+1)/(Tabla2[[#This Row],[Fantasma Comunicación]]+RANDBETWEEN(0,5)+2))-0.5</f>
        <v>-0.33333333333333337</v>
      </c>
      <c r="S840">
        <f ca="1">1+MAX(0,Tabla2[[#This Row],[Deuda actual]]/Tabla2[[#This Row],[Liquidez]]+Tabla2[[#This Row],[Liquidez]]/(Tabla2[[#This Row],[Activos]]+Tabla2[[#This Row],[Liquidez]])+Tabla2[[#This Row],[Comunicación]])</f>
        <v>1</v>
      </c>
      <c r="T840">
        <f ca="1">Tabla2[[#This Row],[Deuda actual]]*EXP(Tabla2[[#This Row],[Ki]]*Tabla2[[#This Row],[diferencia de días]])*(1+Tabla2[[#This Row],[Hg]])</f>
        <v>257.665036246662</v>
      </c>
    </row>
    <row r="841" spans="1:20" ht="14.5" x14ac:dyDescent="0.35">
      <c r="A841">
        <f t="shared" si="143"/>
        <v>840</v>
      </c>
      <c r="B841">
        <f t="shared" ca="1" si="144"/>
        <v>46090</v>
      </c>
      <c r="C841">
        <f t="shared" ca="1" si="145"/>
        <v>46157</v>
      </c>
      <c r="D841">
        <f t="shared" ca="1" si="146"/>
        <v>2</v>
      </c>
      <c r="E841">
        <f t="shared" ca="1" si="147"/>
        <v>0.99274377371541089</v>
      </c>
      <c r="F841">
        <f t="shared" ca="1" si="148"/>
        <v>278.18</v>
      </c>
      <c r="G841" t="str">
        <f t="shared" ca="1" si="149"/>
        <v>personal</v>
      </c>
      <c r="H84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41" t="str">
        <f t="shared" ca="1" si="150"/>
        <v>No</v>
      </c>
      <c r="J84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12000.003479175457</v>
      </c>
      <c r="K841" t="str">
        <f ca="1">IF(Tabla2[[#This Row],[¿cliente deuda abierta?]]="Sí", Tabla2[[#This Row],[Deuda actual]]*Tabla2[[#This Row],[diferencia de días]], "0")</f>
        <v>0</v>
      </c>
      <c r="L84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4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41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41">
        <f t="shared" ca="1" si="151"/>
        <v>1814.7</v>
      </c>
      <c r="P841">
        <f t="shared" ca="1" si="152"/>
        <v>114994.52</v>
      </c>
      <c r="Q841">
        <f t="shared" ca="1" si="153"/>
        <v>4</v>
      </c>
      <c r="R841">
        <f ca="1">((Tabla2[[#This Row],[Fantasma Comunicación]]+1)/(Tabla2[[#This Row],[Fantasma Comunicación]]+RANDBETWEEN(0,5)+2))-0.5</f>
        <v>0.2142857142857143</v>
      </c>
      <c r="S841">
        <f ca="1">1+MAX(0,Tabla2[[#This Row],[Deuda actual]]/Tabla2[[#This Row],[Liquidez]]+Tabla2[[#This Row],[Liquidez]]/(Tabla2[[#This Row],[Activos]]+Tabla2[[#This Row],[Liquidez]])+Tabla2[[#This Row],[Comunicación]])</f>
        <v>1.3831138582436631</v>
      </c>
      <c r="T841">
        <f ca="1">Tabla2[[#This Row],[Deuda actual]]*EXP(Tabla2[[#This Row],[Ki]]*Tabla2[[#This Row],[diferencia de días]])*(1+Tabla2[[#This Row],[Hg]])</f>
        <v>250.46216483163084</v>
      </c>
    </row>
    <row r="842" spans="1:20" ht="14.5" x14ac:dyDescent="0.35">
      <c r="A842">
        <f t="shared" si="143"/>
        <v>841</v>
      </c>
      <c r="B842">
        <f t="shared" ca="1" si="144"/>
        <v>46107</v>
      </c>
      <c r="C842">
        <f t="shared" ca="1" si="145"/>
        <v>46157</v>
      </c>
      <c r="D842">
        <f t="shared" ca="1" si="146"/>
        <v>3</v>
      </c>
      <c r="E842">
        <f t="shared" ca="1" si="147"/>
        <v>0.25409817194749651</v>
      </c>
      <c r="F842">
        <f t="shared" ca="1" si="148"/>
        <v>2520.84</v>
      </c>
      <c r="G842" t="str">
        <f t="shared" ca="1" si="149"/>
        <v>personal</v>
      </c>
      <c r="H84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42" t="str">
        <f t="shared" ca="1" si="150"/>
        <v>Sí</v>
      </c>
      <c r="J84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42">
        <f ca="1">IF(Tabla2[[#This Row],[¿cliente deuda abierta?]]="Sí", Tabla2[[#This Row],[Deuda actual]]*Tabla2[[#This Row],[diferencia de días]], "0")</f>
        <v>7562.52</v>
      </c>
      <c r="L84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4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4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42">
        <f t="shared" ca="1" si="151"/>
        <v>1716.61</v>
      </c>
      <c r="P842">
        <f t="shared" ca="1" si="152"/>
        <v>508594.29</v>
      </c>
      <c r="Q842">
        <f t="shared" ca="1" si="153"/>
        <v>4</v>
      </c>
      <c r="R842">
        <f ca="1">((Tabla2[[#This Row],[Fantasma Comunicación]]+1)/(Tabla2[[#This Row],[Fantasma Comunicación]]+RANDBETWEEN(0,5)+2))-0.5</f>
        <v>0.125</v>
      </c>
      <c r="S842">
        <f ca="1">1+MAX(0,Tabla2[[#This Row],[Deuda actual]]/Tabla2[[#This Row],[Liquidez]]+Tabla2[[#This Row],[Liquidez]]/(Tabla2[[#This Row],[Activos]]+Tabla2[[#This Row],[Liquidez]])+Tabla2[[#This Row],[Comunicación]])</f>
        <v>2.5968628114904799</v>
      </c>
      <c r="T842">
        <f ca="1">Tabla2[[#This Row],[Deuda actual]]*EXP(Tabla2[[#This Row],[Ki]]*Tabla2[[#This Row],[diferencia de días]])*(1+Tabla2[[#This Row],[Hg]])</f>
        <v>2648.4706057340622</v>
      </c>
    </row>
    <row r="843" spans="1:20" ht="14.5" x14ac:dyDescent="0.35">
      <c r="A843">
        <f t="shared" si="143"/>
        <v>842</v>
      </c>
      <c r="B843">
        <f t="shared" ca="1" si="144"/>
        <v>46100</v>
      </c>
      <c r="C843">
        <f t="shared" ca="1" si="145"/>
        <v>46157</v>
      </c>
      <c r="D843">
        <f t="shared" ca="1" si="146"/>
        <v>38</v>
      </c>
      <c r="E843">
        <f t="shared" ca="1" si="147"/>
        <v>0.17160619964704205</v>
      </c>
      <c r="F843">
        <f t="shared" ca="1" si="148"/>
        <v>183.36</v>
      </c>
      <c r="G843" t="str">
        <f t="shared" ca="1" si="149"/>
        <v>personal</v>
      </c>
      <c r="H84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843" t="str">
        <f t="shared" ca="1" si="150"/>
        <v>No</v>
      </c>
      <c r="J84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11999.747451642217</v>
      </c>
      <c r="K843" t="str">
        <f ca="1">IF(Tabla2[[#This Row],[¿cliente deuda abierta?]]="Sí", Tabla2[[#This Row],[Deuda actual]]*Tabla2[[#This Row],[diferencia de días]], "0")</f>
        <v>0</v>
      </c>
      <c r="L84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4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4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43">
        <f t="shared" ca="1" si="151"/>
        <v>2251.59</v>
      </c>
      <c r="P843">
        <f t="shared" ca="1" si="152"/>
        <v>276595.71999999997</v>
      </c>
      <c r="Q843">
        <f t="shared" ca="1" si="153"/>
        <v>1</v>
      </c>
      <c r="R843">
        <f ca="1">((Tabla2[[#This Row],[Fantasma Comunicación]]+1)/(Tabla2[[#This Row],[Fantasma Comunicación]]+RANDBETWEEN(0,5)+2))-0.5</f>
        <v>-0.16666666666666669</v>
      </c>
      <c r="S843">
        <f ca="1">1+MAX(0,Tabla2[[#This Row],[Deuda actual]]/Tabla2[[#This Row],[Liquidez]]+Tabla2[[#This Row],[Liquidez]]/(Tabla2[[#This Row],[Activos]]+Tabla2[[#This Row],[Liquidez]])+Tabla2[[#This Row],[Comunicación]])</f>
        <v>1</v>
      </c>
      <c r="T843">
        <f ca="1">Tabla2[[#This Row],[Deuda actual]]*EXP(Tabla2[[#This Row],[Ki]]*Tabla2[[#This Row],[diferencia de días]])*(1+Tabla2[[#This Row],[Hg]])</f>
        <v>171.41558297454122</v>
      </c>
    </row>
    <row r="844" spans="1:20" ht="14.5" x14ac:dyDescent="0.35">
      <c r="A844">
        <f t="shared" si="143"/>
        <v>843</v>
      </c>
      <c r="B844">
        <f t="shared" ca="1" si="144"/>
        <v>46136</v>
      </c>
      <c r="C844">
        <f t="shared" ca="1" si="145"/>
        <v>46157</v>
      </c>
      <c r="D844">
        <f t="shared" ca="1" si="146"/>
        <v>28</v>
      </c>
      <c r="E844">
        <f t="shared" ca="1" si="147"/>
        <v>6.74842782487447E-2</v>
      </c>
      <c r="F844">
        <f t="shared" ca="1" si="148"/>
        <v>5501.83</v>
      </c>
      <c r="G844" t="str">
        <f t="shared" ca="1" si="149"/>
        <v>personal</v>
      </c>
      <c r="H84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44" t="str">
        <f t="shared" ca="1" si="150"/>
        <v>Sí</v>
      </c>
      <c r="J84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44">
        <f ca="1">IF(Tabla2[[#This Row],[¿cliente deuda abierta?]]="Sí", Tabla2[[#This Row],[Deuda actual]]*Tabla2[[#This Row],[diferencia de días]], "0")</f>
        <v>154051.24</v>
      </c>
      <c r="L84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84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44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844">
        <f t="shared" ca="1" si="151"/>
        <v>1556.02</v>
      </c>
      <c r="P844">
        <f t="shared" ca="1" si="152"/>
        <v>112356.14</v>
      </c>
      <c r="Q844">
        <f t="shared" ca="1" si="153"/>
        <v>0</v>
      </c>
      <c r="R844">
        <f ca="1">((Tabla2[[#This Row],[Fantasma Comunicación]]+1)/(Tabla2[[#This Row],[Fantasma Comunicación]]+RANDBETWEEN(0,5)+2))-0.5</f>
        <v>-0.25</v>
      </c>
      <c r="S844">
        <f ca="1">1+MAX(0,Tabla2[[#This Row],[Deuda actual]]/Tabla2[[#This Row],[Liquidez]]+Tabla2[[#This Row],[Liquidez]]/(Tabla2[[#This Row],[Activos]]+Tabla2[[#This Row],[Liquidez]])+Tabla2[[#This Row],[Comunicación]])</f>
        <v>4.2994948384731897</v>
      </c>
      <c r="T844">
        <f ca="1">Tabla2[[#This Row],[Deuda actual]]*EXP(Tabla2[[#This Row],[Ki]]*Tabla2[[#This Row],[diferencia de días]])*(1+Tabla2[[#This Row],[Hg]])</f>
        <v>6398.3663920728532</v>
      </c>
    </row>
    <row r="845" spans="1:20" ht="14.5" x14ac:dyDescent="0.35">
      <c r="A845">
        <f t="shared" si="143"/>
        <v>844</v>
      </c>
      <c r="B845">
        <f t="shared" ca="1" si="144"/>
        <v>46128</v>
      </c>
      <c r="C845">
        <f t="shared" ca="1" si="145"/>
        <v>46157</v>
      </c>
      <c r="D845">
        <f t="shared" ca="1" si="146"/>
        <v>20</v>
      </c>
      <c r="E845">
        <f t="shared" ca="1" si="147"/>
        <v>0.27685651338962547</v>
      </c>
      <c r="F845">
        <f t="shared" ca="1" si="148"/>
        <v>320.52999999999997</v>
      </c>
      <c r="G845" t="str">
        <f t="shared" ca="1" si="149"/>
        <v>hipotecario</v>
      </c>
      <c r="H84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45" t="str">
        <f t="shared" ca="1" si="150"/>
        <v>Sí</v>
      </c>
      <c r="J84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45">
        <f ca="1">IF(Tabla2[[#This Row],[¿cliente deuda abierta?]]="Sí", Tabla2[[#This Row],[Deuda actual]]*Tabla2[[#This Row],[diferencia de días]], "0")</f>
        <v>6410.5999999999995</v>
      </c>
      <c r="L84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4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4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45">
        <f t="shared" ca="1" si="151"/>
        <v>1352.88</v>
      </c>
      <c r="P845">
        <f t="shared" ca="1" si="152"/>
        <v>118393.69</v>
      </c>
      <c r="Q845">
        <f t="shared" ca="1" si="153"/>
        <v>5</v>
      </c>
      <c r="R845">
        <f ca="1">((Tabla2[[#This Row],[Fantasma Comunicación]]+1)/(Tabla2[[#This Row],[Fantasma Comunicación]]+RANDBETWEEN(0,5)+2))-0.5</f>
        <v>0.25</v>
      </c>
      <c r="S845">
        <f ca="1">1+MAX(0,Tabla2[[#This Row],[Deuda actual]]/Tabla2[[#This Row],[Liquidez]]+Tabla2[[#This Row],[Liquidez]]/(Tabla2[[#This Row],[Activos]]+Tabla2[[#This Row],[Liquidez]])+Tabla2[[#This Row],[Comunicación]])</f>
        <v>1.4982220514938649</v>
      </c>
      <c r="T845">
        <f ca="1">Tabla2[[#This Row],[Deuda actual]]*EXP(Tabla2[[#This Row],[Ki]]*Tabla2[[#This Row],[diferencia de días]])*(1+Tabla2[[#This Row],[Hg]])</f>
        <v>339.25975058501899</v>
      </c>
    </row>
    <row r="846" spans="1:20" ht="14.5" x14ac:dyDescent="0.35">
      <c r="A846">
        <f t="shared" si="143"/>
        <v>845</v>
      </c>
      <c r="B846">
        <f t="shared" ca="1" si="144"/>
        <v>46131</v>
      </c>
      <c r="C846">
        <f t="shared" ca="1" si="145"/>
        <v>46157</v>
      </c>
      <c r="D846">
        <f t="shared" ca="1" si="146"/>
        <v>8</v>
      </c>
      <c r="E846">
        <f t="shared" ca="1" si="147"/>
        <v>0.67550937182205428</v>
      </c>
      <c r="F846">
        <f t="shared" ca="1" si="148"/>
        <v>1015.63</v>
      </c>
      <c r="G846" t="str">
        <f t="shared" ca="1" si="149"/>
        <v>personal</v>
      </c>
      <c r="H84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46" t="str">
        <f t="shared" ca="1" si="150"/>
        <v>Sí</v>
      </c>
      <c r="J84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46">
        <f ca="1">IF(Tabla2[[#This Row],[¿cliente deuda abierta?]]="Sí", Tabla2[[#This Row],[Deuda actual]]*Tabla2[[#This Row],[diferencia de días]], "0")</f>
        <v>8125.04</v>
      </c>
      <c r="L84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4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4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46">
        <f t="shared" ca="1" si="151"/>
        <v>1672.46</v>
      </c>
      <c r="P846">
        <f t="shared" ca="1" si="152"/>
        <v>95926.3</v>
      </c>
      <c r="Q846">
        <f t="shared" ca="1" si="153"/>
        <v>3</v>
      </c>
      <c r="R846">
        <f ca="1">((Tabla2[[#This Row],[Fantasma Comunicación]]+1)/(Tabla2[[#This Row],[Fantasma Comunicación]]+RANDBETWEEN(0,5)+2))-0.5</f>
        <v>0.16666666666666663</v>
      </c>
      <c r="S846">
        <f ca="1">1+MAX(0,Tabla2[[#This Row],[Deuda actual]]/Tabla2[[#This Row],[Liquidez]]+Tabla2[[#This Row],[Liquidez]]/(Tabla2[[#This Row],[Activos]]+Tabla2[[#This Row],[Liquidez]])+Tabla2[[#This Row],[Comunicación]])</f>
        <v>1.7910698844582398</v>
      </c>
      <c r="T846">
        <f ca="1">Tabla2[[#This Row],[Deuda actual]]*EXP(Tabla2[[#This Row],[Ki]]*Tabla2[[#This Row],[diferencia de días]])*(1+Tabla2[[#This Row],[Hg]])</f>
        <v>1068.1191241350148</v>
      </c>
    </row>
    <row r="847" spans="1:20" ht="14.5" x14ac:dyDescent="0.35">
      <c r="A847">
        <f t="shared" si="143"/>
        <v>846</v>
      </c>
      <c r="B847">
        <f t="shared" ca="1" si="144"/>
        <v>46132</v>
      </c>
      <c r="C847">
        <f t="shared" ca="1" si="145"/>
        <v>46157</v>
      </c>
      <c r="D847">
        <f t="shared" ca="1" si="146"/>
        <v>6</v>
      </c>
      <c r="E847">
        <f t="shared" ca="1" si="147"/>
        <v>0.34928035009549674</v>
      </c>
      <c r="F847">
        <f t="shared" ca="1" si="148"/>
        <v>5079.34</v>
      </c>
      <c r="G847" t="str">
        <f t="shared" ca="1" si="149"/>
        <v>hipotecario</v>
      </c>
      <c r="H84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47" t="str">
        <f t="shared" ca="1" si="150"/>
        <v>Sí</v>
      </c>
      <c r="J84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47">
        <f ca="1">IF(Tabla2[[#This Row],[¿cliente deuda abierta?]]="Sí", Tabla2[[#This Row],[Deuda actual]]*Tabla2[[#This Row],[diferencia de días]], "0")</f>
        <v>30476.04</v>
      </c>
      <c r="L84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84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47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847">
        <f t="shared" ca="1" si="151"/>
        <v>1371.61</v>
      </c>
      <c r="P847">
        <f t="shared" ca="1" si="152"/>
        <v>189625.04</v>
      </c>
      <c r="Q847">
        <f t="shared" ca="1" si="153"/>
        <v>2</v>
      </c>
      <c r="R847">
        <f ca="1">((Tabla2[[#This Row],[Fantasma Comunicación]]+1)/(Tabla2[[#This Row],[Fantasma Comunicación]]+RANDBETWEEN(0,5)+2))-0.5</f>
        <v>-7.1428571428571452E-2</v>
      </c>
      <c r="S847">
        <f ca="1">1+MAX(0,Tabla2[[#This Row],[Deuda actual]]/Tabla2[[#This Row],[Liquidez]]+Tabla2[[#This Row],[Liquidez]]/(Tabla2[[#This Row],[Activos]]+Tabla2[[#This Row],[Liquidez]])+Tabla2[[#This Row],[Comunicación]])</f>
        <v>4.6389482734752043</v>
      </c>
      <c r="T847">
        <f ca="1">Tabla2[[#This Row],[Deuda actual]]*EXP(Tabla2[[#This Row],[Ki]]*Tabla2[[#This Row],[diferencia de días]])*(1+Tabla2[[#This Row],[Hg]])</f>
        <v>5593.982753246898</v>
      </c>
    </row>
    <row r="848" spans="1:20" ht="14.5" x14ac:dyDescent="0.35">
      <c r="A848">
        <f t="shared" si="143"/>
        <v>847</v>
      </c>
      <c r="B848">
        <f t="shared" ca="1" si="144"/>
        <v>46129</v>
      </c>
      <c r="C848">
        <f t="shared" ca="1" si="145"/>
        <v>46157</v>
      </c>
      <c r="D848">
        <f t="shared" ca="1" si="146"/>
        <v>33</v>
      </c>
      <c r="E848">
        <f t="shared" ca="1" si="147"/>
        <v>0.8307613974557857</v>
      </c>
      <c r="F848">
        <f t="shared" ca="1" si="148"/>
        <v>458.77</v>
      </c>
      <c r="G848" t="str">
        <f t="shared" ca="1" si="149"/>
        <v>hipotecario</v>
      </c>
      <c r="H84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848" t="str">
        <f t="shared" ca="1" si="150"/>
        <v>Sí</v>
      </c>
      <c r="J84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48">
        <f ca="1">IF(Tabla2[[#This Row],[¿cliente deuda abierta?]]="Sí", Tabla2[[#This Row],[Deuda actual]]*Tabla2[[#This Row],[diferencia de días]], "0")</f>
        <v>15139.41</v>
      </c>
      <c r="L84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4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4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48">
        <f t="shared" ca="1" si="151"/>
        <v>1746.11</v>
      </c>
      <c r="P848">
        <f t="shared" ca="1" si="152"/>
        <v>106993.31</v>
      </c>
      <c r="Q848">
        <f t="shared" ca="1" si="153"/>
        <v>3</v>
      </c>
      <c r="R848">
        <f ca="1">((Tabla2[[#This Row],[Fantasma Comunicación]]+1)/(Tabla2[[#This Row],[Fantasma Comunicación]]+RANDBETWEEN(0,5)+2))-0.5</f>
        <v>7.1428571428571397E-2</v>
      </c>
      <c r="S848">
        <f ca="1">1+MAX(0,Tabla2[[#This Row],[Deuda actual]]/Tabla2[[#This Row],[Liquidez]]+Tabla2[[#This Row],[Liquidez]]/(Tabla2[[#This Row],[Activos]]+Tabla2[[#This Row],[Liquidez]])+Tabla2[[#This Row],[Comunicación]])</f>
        <v>1.3502246330077845</v>
      </c>
      <c r="T848">
        <f ca="1">Tabla2[[#This Row],[Deuda actual]]*EXP(Tabla2[[#This Row],[Ki]]*Tabla2[[#This Row],[diferencia de días]])*(1+Tabla2[[#This Row],[Hg]])</f>
        <v>497.87007993212046</v>
      </c>
    </row>
    <row r="849" spans="1:20" ht="14.5" x14ac:dyDescent="0.35">
      <c r="A849">
        <f t="shared" si="143"/>
        <v>848</v>
      </c>
      <c r="B849">
        <f t="shared" ca="1" si="144"/>
        <v>46095</v>
      </c>
      <c r="C849">
        <f t="shared" ca="1" si="145"/>
        <v>46157</v>
      </c>
      <c r="D849">
        <f t="shared" ca="1" si="146"/>
        <v>13</v>
      </c>
      <c r="E849">
        <f t="shared" ca="1" si="147"/>
        <v>0.661967121908559</v>
      </c>
      <c r="F849">
        <f t="shared" ca="1" si="148"/>
        <v>2156</v>
      </c>
      <c r="G849" t="str">
        <f t="shared" ca="1" si="149"/>
        <v>hipotecario</v>
      </c>
      <c r="H84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49" t="str">
        <f t="shared" ca="1" si="150"/>
        <v>Sí</v>
      </c>
      <c r="J84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49">
        <f ca="1">IF(Tabla2[[#This Row],[¿cliente deuda abierta?]]="Sí", Tabla2[[#This Row],[Deuda actual]]*Tabla2[[#This Row],[diferencia de días]], "0")</f>
        <v>28028</v>
      </c>
      <c r="L84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4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4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49">
        <f t="shared" ca="1" si="151"/>
        <v>1557.89</v>
      </c>
      <c r="P849">
        <f t="shared" ca="1" si="152"/>
        <v>257466.78</v>
      </c>
      <c r="Q849">
        <f t="shared" ca="1" si="153"/>
        <v>3</v>
      </c>
      <c r="R849">
        <f ca="1">((Tabla2[[#This Row],[Fantasma Comunicación]]+1)/(Tabla2[[#This Row],[Fantasma Comunicación]]+RANDBETWEEN(0,5)+2))-0.5</f>
        <v>0.30000000000000004</v>
      </c>
      <c r="S849">
        <f ca="1">1+MAX(0,Tabla2[[#This Row],[Deuda actual]]/Tabla2[[#This Row],[Liquidez]]+Tabla2[[#This Row],[Liquidez]]/(Tabla2[[#This Row],[Activos]]+Tabla2[[#This Row],[Liquidez]])+Tabla2[[#This Row],[Comunicación]])</f>
        <v>2.6899375732164827</v>
      </c>
      <c r="T849">
        <f ca="1">Tabla2[[#This Row],[Deuda actual]]*EXP(Tabla2[[#This Row],[Ki]]*Tabla2[[#This Row],[diferencia de días]])*(1+Tabla2[[#This Row],[Hg]])</f>
        <v>2269.6935382797374</v>
      </c>
    </row>
    <row r="850" spans="1:20" ht="14.5" x14ac:dyDescent="0.35">
      <c r="A850">
        <f t="shared" si="143"/>
        <v>849</v>
      </c>
      <c r="B850">
        <f t="shared" ca="1" si="144"/>
        <v>46105</v>
      </c>
      <c r="C850">
        <f t="shared" ca="1" si="145"/>
        <v>46157</v>
      </c>
      <c r="D850">
        <f t="shared" ca="1" si="146"/>
        <v>12</v>
      </c>
      <c r="E850">
        <f t="shared" ca="1" si="147"/>
        <v>0.10488864681514909</v>
      </c>
      <c r="F850">
        <f t="shared" ca="1" si="148"/>
        <v>891.22</v>
      </c>
      <c r="G850" t="str">
        <f t="shared" ca="1" si="149"/>
        <v>personal</v>
      </c>
      <c r="H85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50" t="str">
        <f t="shared" ca="1" si="150"/>
        <v>Sí</v>
      </c>
      <c r="J85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50">
        <f ca="1">IF(Tabla2[[#This Row],[¿cliente deuda abierta?]]="Sí", Tabla2[[#This Row],[Deuda actual]]*Tabla2[[#This Row],[diferencia de días]], "0")</f>
        <v>10694.64</v>
      </c>
      <c r="L85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5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5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50">
        <f t="shared" ca="1" si="151"/>
        <v>1698.8</v>
      </c>
      <c r="P850">
        <f t="shared" ca="1" si="152"/>
        <v>253863.19</v>
      </c>
      <c r="Q850">
        <f t="shared" ca="1" si="153"/>
        <v>2</v>
      </c>
      <c r="R850">
        <f ca="1">((Tabla2[[#This Row],[Fantasma Comunicación]]+1)/(Tabla2[[#This Row],[Fantasma Comunicación]]+RANDBETWEEN(0,5)+2))-0.5</f>
        <v>9.9999999999999978E-2</v>
      </c>
      <c r="S850">
        <f ca="1">1+MAX(0,Tabla2[[#This Row],[Deuda actual]]/Tabla2[[#This Row],[Liquidez]]+Tabla2[[#This Row],[Liquidez]]/(Tabla2[[#This Row],[Activos]]+Tabla2[[#This Row],[Liquidez]])+Tabla2[[#This Row],[Comunicación]])</f>
        <v>1.631264687865122</v>
      </c>
      <c r="T850">
        <f ca="1">Tabla2[[#This Row],[Deuda actual]]*EXP(Tabla2[[#This Row],[Ki]]*Tabla2[[#This Row],[diferencia de días]])*(1+Tabla2[[#This Row],[Hg]])</f>
        <v>938.02957160661367</v>
      </c>
    </row>
    <row r="851" spans="1:20" ht="14.5" x14ac:dyDescent="0.35">
      <c r="A851">
        <f t="shared" si="143"/>
        <v>850</v>
      </c>
      <c r="B851">
        <f t="shared" ca="1" si="144"/>
        <v>46108</v>
      </c>
      <c r="C851">
        <f t="shared" ca="1" si="145"/>
        <v>46157</v>
      </c>
      <c r="D851">
        <f t="shared" ca="1" si="146"/>
        <v>3</v>
      </c>
      <c r="E851">
        <f t="shared" ca="1" si="147"/>
        <v>0.28907211169522262</v>
      </c>
      <c r="F851">
        <f t="shared" ca="1" si="148"/>
        <v>2825.98</v>
      </c>
      <c r="G851" t="str">
        <f t="shared" ca="1" si="149"/>
        <v>hipotecario</v>
      </c>
      <c r="H85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51" t="str">
        <f t="shared" ca="1" si="150"/>
        <v>No</v>
      </c>
      <c r="J85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165000.19136380104</v>
      </c>
      <c r="K851" t="str">
        <f ca="1">IF(Tabla2[[#This Row],[¿cliente deuda abierta?]]="Sí", Tabla2[[#This Row],[Deuda actual]]*Tabla2[[#This Row],[diferencia de días]], "0")</f>
        <v>0</v>
      </c>
      <c r="L85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5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851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851">
        <f t="shared" ca="1" si="151"/>
        <v>2216.5100000000002</v>
      </c>
      <c r="P851">
        <f t="shared" ca="1" si="152"/>
        <v>100492.46</v>
      </c>
      <c r="Q851">
        <f t="shared" ca="1" si="153"/>
        <v>0</v>
      </c>
      <c r="R851">
        <f ca="1">((Tabla2[[#This Row],[Fantasma Comunicación]]+1)/(Tabla2[[#This Row],[Fantasma Comunicación]]+RANDBETWEEN(0,5)+2))-0.5</f>
        <v>0</v>
      </c>
      <c r="S851">
        <f ca="1">1+MAX(0,Tabla2[[#This Row],[Deuda actual]]/Tabla2[[#This Row],[Liquidez]]+Tabla2[[#This Row],[Liquidez]]/(Tabla2[[#This Row],[Activos]]+Tabla2[[#This Row],[Liquidez]])+Tabla2[[#This Row],[Comunicación]])</f>
        <v>2.2965487970043221</v>
      </c>
      <c r="T851">
        <f ca="1">Tabla2[[#This Row],[Deuda actual]]*EXP(Tabla2[[#This Row],[Ki]]*Tabla2[[#This Row],[diferencia de días]])*(1+Tabla2[[#This Row],[Hg]])</f>
        <v>2262.1408774225206</v>
      </c>
    </row>
    <row r="852" spans="1:20" ht="14.5" x14ac:dyDescent="0.35">
      <c r="A852">
        <f t="shared" si="143"/>
        <v>851</v>
      </c>
      <c r="B852">
        <f t="shared" ca="1" si="144"/>
        <v>46096</v>
      </c>
      <c r="C852">
        <f t="shared" ca="1" si="145"/>
        <v>46157</v>
      </c>
      <c r="D852">
        <f t="shared" ca="1" si="146"/>
        <v>14</v>
      </c>
      <c r="E852">
        <f t="shared" ca="1" si="147"/>
        <v>0.67573873064714696</v>
      </c>
      <c r="F852">
        <f t="shared" ca="1" si="148"/>
        <v>333.41</v>
      </c>
      <c r="G852" t="str">
        <f t="shared" ca="1" si="149"/>
        <v>personal</v>
      </c>
      <c r="H85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52" t="str">
        <f t="shared" ca="1" si="150"/>
        <v>Sí</v>
      </c>
      <c r="J85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52">
        <f ca="1">IF(Tabla2[[#This Row],[¿cliente deuda abierta?]]="Sí", Tabla2[[#This Row],[Deuda actual]]*Tabla2[[#This Row],[diferencia de días]], "0")</f>
        <v>4667.7400000000007</v>
      </c>
      <c r="L85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5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5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52">
        <f t="shared" ca="1" si="151"/>
        <v>1966.02</v>
      </c>
      <c r="P852">
        <f t="shared" ca="1" si="152"/>
        <v>232598.65</v>
      </c>
      <c r="Q852">
        <f t="shared" ca="1" si="153"/>
        <v>2</v>
      </c>
      <c r="R852">
        <f ca="1">((Tabla2[[#This Row],[Fantasma Comunicación]]+1)/(Tabla2[[#This Row],[Fantasma Comunicación]]+RANDBETWEEN(0,5)+2))-0.5</f>
        <v>-0.16666666666666669</v>
      </c>
      <c r="S852">
        <f ca="1">1+MAX(0,Tabla2[[#This Row],[Deuda actual]]/Tabla2[[#This Row],[Liquidez]]+Tabla2[[#This Row],[Liquidez]]/(Tabla2[[#This Row],[Activos]]+Tabla2[[#This Row],[Liquidez]])+Tabla2[[#This Row],[Comunicación]])</f>
        <v>1.0113011732157349</v>
      </c>
      <c r="T852">
        <f ca="1">Tabla2[[#This Row],[Deuda actual]]*EXP(Tabla2[[#This Row],[Ki]]*Tabla2[[#This Row],[diferencia de días]])*(1+Tabla2[[#This Row],[Hg]])</f>
        <v>351.06209899728498</v>
      </c>
    </row>
    <row r="853" spans="1:20" ht="14.5" x14ac:dyDescent="0.35">
      <c r="A853">
        <f t="shared" si="143"/>
        <v>852</v>
      </c>
      <c r="B853">
        <f t="shared" ca="1" si="144"/>
        <v>46097</v>
      </c>
      <c r="C853">
        <f t="shared" ca="1" si="145"/>
        <v>46157</v>
      </c>
      <c r="D853">
        <f t="shared" ca="1" si="146"/>
        <v>6</v>
      </c>
      <c r="E853">
        <f t="shared" ca="1" si="147"/>
        <v>0.108602971735419</v>
      </c>
      <c r="F853">
        <f t="shared" ca="1" si="148"/>
        <v>1511.65</v>
      </c>
      <c r="G853" t="str">
        <f t="shared" ca="1" si="149"/>
        <v>hipotecario</v>
      </c>
      <c r="H85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53" t="str">
        <f t="shared" ca="1" si="150"/>
        <v>Sí</v>
      </c>
      <c r="J85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53">
        <f ca="1">IF(Tabla2[[#This Row],[¿cliente deuda abierta?]]="Sí", Tabla2[[#This Row],[Deuda actual]]*Tabla2[[#This Row],[diferencia de días]], "0")</f>
        <v>9069.9000000000015</v>
      </c>
      <c r="L85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5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5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53">
        <f t="shared" ca="1" si="151"/>
        <v>1314.65</v>
      </c>
      <c r="P853">
        <f t="shared" ca="1" si="152"/>
        <v>290400.58</v>
      </c>
      <c r="Q853">
        <f t="shared" ca="1" si="153"/>
        <v>2</v>
      </c>
      <c r="R853">
        <f ca="1">((Tabla2[[#This Row],[Fantasma Comunicación]]+1)/(Tabla2[[#This Row],[Fantasma Comunicación]]+RANDBETWEEN(0,5)+2))-0.5</f>
        <v>0</v>
      </c>
      <c r="S853">
        <f ca="1">1+MAX(0,Tabla2[[#This Row],[Deuda actual]]/Tabla2[[#This Row],[Liquidez]]+Tabla2[[#This Row],[Liquidez]]/(Tabla2[[#This Row],[Activos]]+Tabla2[[#This Row],[Liquidez]])+Tabla2[[#This Row],[Comunicación]])</f>
        <v>2.154356390964022</v>
      </c>
      <c r="T853">
        <f ca="1">Tabla2[[#This Row],[Deuda actual]]*EXP(Tabla2[[#This Row],[Ki]]*Tabla2[[#This Row],[diferencia de días]])*(1+Tabla2[[#This Row],[Hg]])</f>
        <v>1589.1383222646602</v>
      </c>
    </row>
    <row r="854" spans="1:20" ht="14.5" x14ac:dyDescent="0.35">
      <c r="A854">
        <f t="shared" si="143"/>
        <v>853</v>
      </c>
      <c r="B854">
        <f t="shared" ca="1" si="144"/>
        <v>46113</v>
      </c>
      <c r="C854">
        <f t="shared" ca="1" si="145"/>
        <v>46157</v>
      </c>
      <c r="D854">
        <f t="shared" ca="1" si="146"/>
        <v>0</v>
      </c>
      <c r="E854">
        <f t="shared" ca="1" si="147"/>
        <v>0.97009204544337024</v>
      </c>
      <c r="F854">
        <f t="shared" ca="1" si="148"/>
        <v>4028.89</v>
      </c>
      <c r="G854" t="str">
        <f t="shared" ca="1" si="149"/>
        <v>personal</v>
      </c>
      <c r="H85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54" t="str">
        <f t="shared" ca="1" si="150"/>
        <v>No</v>
      </c>
      <c r="J85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11998.894916021678</v>
      </c>
      <c r="K854" t="str">
        <f ca="1">IF(Tabla2[[#This Row],[¿cliente deuda abierta?]]="Sí", Tabla2[[#This Row],[Deuda actual]]*Tabla2[[#This Row],[diferencia de días]], "0")</f>
        <v>0</v>
      </c>
      <c r="L85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5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5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54">
        <f t="shared" ca="1" si="151"/>
        <v>1574.85</v>
      </c>
      <c r="P854">
        <f t="shared" ca="1" si="152"/>
        <v>423226.32</v>
      </c>
      <c r="Q854">
        <f t="shared" ca="1" si="153"/>
        <v>3</v>
      </c>
      <c r="R854">
        <f ca="1">((Tabla2[[#This Row],[Fantasma Comunicación]]+1)/(Tabla2[[#This Row],[Fantasma Comunicación]]+RANDBETWEEN(0,5)+2))-0.5</f>
        <v>7.1428571428571397E-2</v>
      </c>
      <c r="S854">
        <f ca="1">1+MAX(0,Tabla2[[#This Row],[Deuda actual]]/Tabla2[[#This Row],[Liquidez]]+Tabla2[[#This Row],[Liquidez]]/(Tabla2[[#This Row],[Activos]]+Tabla2[[#This Row],[Liquidez]])+Tabla2[[#This Row],[Comunicación]])</f>
        <v>3.6334048767252023</v>
      </c>
      <c r="T854">
        <f ca="1">Tabla2[[#This Row],[Deuda actual]]*EXP(Tabla2[[#This Row],[Ki]]*Tabla2[[#This Row],[diferencia de días]])*(1+Tabla2[[#This Row],[Hg]])</f>
        <v>3626.0009999999997</v>
      </c>
    </row>
    <row r="855" spans="1:20" ht="14.5" x14ac:dyDescent="0.35">
      <c r="A855">
        <f t="shared" si="143"/>
        <v>854</v>
      </c>
      <c r="B855">
        <f t="shared" ca="1" si="144"/>
        <v>46127</v>
      </c>
      <c r="C855">
        <f t="shared" ca="1" si="145"/>
        <v>46157</v>
      </c>
      <c r="D855">
        <f t="shared" ca="1" si="146"/>
        <v>42</v>
      </c>
      <c r="E855">
        <f t="shared" ca="1" si="147"/>
        <v>3.5723180817535005E-2</v>
      </c>
      <c r="F855">
        <f t="shared" ca="1" si="148"/>
        <v>1310.33</v>
      </c>
      <c r="G855" t="str">
        <f t="shared" ca="1" si="149"/>
        <v>hipotecario</v>
      </c>
      <c r="H85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855" t="str">
        <f t="shared" ca="1" si="150"/>
        <v>Sí</v>
      </c>
      <c r="J85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55">
        <f ca="1">IF(Tabla2[[#This Row],[¿cliente deuda abierta?]]="Sí", Tabla2[[#This Row],[Deuda actual]]*Tabla2[[#This Row],[diferencia de días]], "0")</f>
        <v>55033.86</v>
      </c>
      <c r="L85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85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55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855">
        <f t="shared" ca="1" si="151"/>
        <v>1769.28</v>
      </c>
      <c r="P855">
        <f t="shared" ca="1" si="152"/>
        <v>74044.899999999994</v>
      </c>
      <c r="Q855">
        <f t="shared" ca="1" si="153"/>
        <v>1</v>
      </c>
      <c r="R855">
        <f ca="1">((Tabla2[[#This Row],[Fantasma Comunicación]]+1)/(Tabla2[[#This Row],[Fantasma Comunicación]]+RANDBETWEEN(0,5)+2))-0.5</f>
        <v>-0.25</v>
      </c>
      <c r="S855">
        <f ca="1">1+MAX(0,Tabla2[[#This Row],[Deuda actual]]/Tabla2[[#This Row],[Liquidez]]+Tabla2[[#This Row],[Liquidez]]/(Tabla2[[#This Row],[Activos]]+Tabla2[[#This Row],[Liquidez]])+Tabla2[[#This Row],[Comunicación]])</f>
        <v>1.5139377554379727</v>
      </c>
      <c r="T855">
        <f ca="1">Tabla2[[#This Row],[Deuda actual]]*EXP(Tabla2[[#This Row],[Ki]]*Tabla2[[#This Row],[diferencia de días]])*(1+Tabla2[[#This Row],[Hg]])</f>
        <v>1503.1895145756364</v>
      </c>
    </row>
    <row r="856" spans="1:20" ht="14.5" x14ac:dyDescent="0.35">
      <c r="A856">
        <f t="shared" si="143"/>
        <v>855</v>
      </c>
      <c r="B856">
        <f t="shared" ca="1" si="144"/>
        <v>46128</v>
      </c>
      <c r="C856">
        <f t="shared" ca="1" si="145"/>
        <v>46157</v>
      </c>
      <c r="D856">
        <f t="shared" ca="1" si="146"/>
        <v>18</v>
      </c>
      <c r="E856">
        <f t="shared" ca="1" si="147"/>
        <v>0.38388685204177897</v>
      </c>
      <c r="F856">
        <f t="shared" ca="1" si="148"/>
        <v>480.29</v>
      </c>
      <c r="G856" t="str">
        <f t="shared" ca="1" si="149"/>
        <v>personal</v>
      </c>
      <c r="H85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56" t="str">
        <f t="shared" ca="1" si="150"/>
        <v>Sí</v>
      </c>
      <c r="J85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56">
        <f ca="1">IF(Tabla2[[#This Row],[¿cliente deuda abierta?]]="Sí", Tabla2[[#This Row],[Deuda actual]]*Tabla2[[#This Row],[diferencia de días]], "0")</f>
        <v>8645.2200000000012</v>
      </c>
      <c r="L85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5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5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56">
        <f t="shared" ca="1" si="151"/>
        <v>1308.01</v>
      </c>
      <c r="P856">
        <f t="shared" ca="1" si="152"/>
        <v>94611.03</v>
      </c>
      <c r="Q856">
        <f t="shared" ca="1" si="153"/>
        <v>5</v>
      </c>
      <c r="R856">
        <f ca="1">((Tabla2[[#This Row],[Fantasma Comunicación]]+1)/(Tabla2[[#This Row],[Fantasma Comunicación]]+RANDBETWEEN(0,5)+2))-0.5</f>
        <v>0.16666666666666663</v>
      </c>
      <c r="S856">
        <f ca="1">1+MAX(0,Tabla2[[#This Row],[Deuda actual]]/Tabla2[[#This Row],[Liquidez]]+Tabla2[[#This Row],[Liquidez]]/(Tabla2[[#This Row],[Activos]]+Tabla2[[#This Row],[Liquidez]])+Tabla2[[#This Row],[Comunicación]])</f>
        <v>1.547494653365233</v>
      </c>
      <c r="T856">
        <f ca="1">Tabla2[[#This Row],[Deuda actual]]*EXP(Tabla2[[#This Row],[Ki]]*Tabla2[[#This Row],[diferencia de días]])*(1+Tabla2[[#This Row],[Hg]])</f>
        <v>507.94859540096508</v>
      </c>
    </row>
    <row r="857" spans="1:20" ht="14.5" x14ac:dyDescent="0.35">
      <c r="A857">
        <f t="shared" si="143"/>
        <v>856</v>
      </c>
      <c r="B857">
        <f t="shared" ca="1" si="144"/>
        <v>46118</v>
      </c>
      <c r="C857">
        <f t="shared" ca="1" si="145"/>
        <v>46157</v>
      </c>
      <c r="D857">
        <f t="shared" ca="1" si="146"/>
        <v>24</v>
      </c>
      <c r="E857">
        <f t="shared" ca="1" si="147"/>
        <v>4.6136563534677988E-2</v>
      </c>
      <c r="F857">
        <f t="shared" ca="1" si="148"/>
        <v>3106.06</v>
      </c>
      <c r="G857" t="str">
        <f t="shared" ca="1" si="149"/>
        <v>personal</v>
      </c>
      <c r="H85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57" t="str">
        <f t="shared" ca="1" si="150"/>
        <v>No</v>
      </c>
      <c r="J85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12000.003140501078</v>
      </c>
      <c r="K857" t="str">
        <f ca="1">IF(Tabla2[[#This Row],[¿cliente deuda abierta?]]="Sí", Tabla2[[#This Row],[Deuda actual]]*Tabla2[[#This Row],[diferencia de días]], "0")</f>
        <v>0</v>
      </c>
      <c r="L85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5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57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57">
        <f t="shared" ca="1" si="151"/>
        <v>1261.72</v>
      </c>
      <c r="P857">
        <f t="shared" ca="1" si="152"/>
        <v>42483.14</v>
      </c>
      <c r="Q857">
        <f t="shared" ca="1" si="153"/>
        <v>1</v>
      </c>
      <c r="R857">
        <f ca="1">((Tabla2[[#This Row],[Fantasma Comunicación]]+1)/(Tabla2[[#This Row],[Fantasma Comunicación]]+RANDBETWEEN(0,5)+2))-0.5</f>
        <v>0</v>
      </c>
      <c r="S857">
        <f ca="1">1+MAX(0,Tabla2[[#This Row],[Deuda actual]]/Tabla2[[#This Row],[Liquidez]]+Tabla2[[#This Row],[Liquidez]]/(Tabla2[[#This Row],[Activos]]+Tabla2[[#This Row],[Liquidez]])+Tabla2[[#This Row],[Comunicación]])</f>
        <v>3.4906091803981605</v>
      </c>
      <c r="T857">
        <f ca="1">Tabla2[[#This Row],[Deuda actual]]*EXP(Tabla2[[#This Row],[Ki]]*Tabla2[[#This Row],[diferencia de días]])*(1+Tabla2[[#This Row],[Hg]])</f>
        <v>2822.4195861179828</v>
      </c>
    </row>
    <row r="858" spans="1:20" ht="14.5" x14ac:dyDescent="0.35">
      <c r="A858">
        <f t="shared" si="143"/>
        <v>857</v>
      </c>
      <c r="B858">
        <f t="shared" ca="1" si="144"/>
        <v>46113</v>
      </c>
      <c r="C858">
        <f t="shared" ca="1" si="145"/>
        <v>46157</v>
      </c>
      <c r="D858">
        <f t="shared" ca="1" si="146"/>
        <v>10</v>
      </c>
      <c r="E858">
        <f t="shared" ca="1" si="147"/>
        <v>0.49318162045317715</v>
      </c>
      <c r="F858">
        <f t="shared" ca="1" si="148"/>
        <v>2500.09</v>
      </c>
      <c r="G858" t="str">
        <f t="shared" ca="1" si="149"/>
        <v>personal</v>
      </c>
      <c r="H85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58" t="str">
        <f t="shared" ca="1" si="150"/>
        <v>No</v>
      </c>
      <c r="J85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11998.5783307938</v>
      </c>
      <c r="K858" t="str">
        <f ca="1">IF(Tabla2[[#This Row],[¿cliente deuda abierta?]]="Sí", Tabla2[[#This Row],[Deuda actual]]*Tabla2[[#This Row],[diferencia de días]], "0")</f>
        <v>0</v>
      </c>
      <c r="L85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5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5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58">
        <f t="shared" ca="1" si="151"/>
        <v>2074.8200000000002</v>
      </c>
      <c r="P858">
        <f t="shared" ca="1" si="152"/>
        <v>107237.7</v>
      </c>
      <c r="Q858">
        <f t="shared" ca="1" si="153"/>
        <v>5</v>
      </c>
      <c r="R858">
        <f ca="1">((Tabla2[[#This Row],[Fantasma Comunicación]]+1)/(Tabla2[[#This Row],[Fantasma Comunicación]]+RANDBETWEEN(0,5)+2))-0.5</f>
        <v>4.5454545454545414E-2</v>
      </c>
      <c r="S858">
        <f ca="1">1+MAX(0,Tabla2[[#This Row],[Deuda actual]]/Tabla2[[#This Row],[Liquidez]]+Tabla2[[#This Row],[Liquidez]]/(Tabla2[[#This Row],[Activos]]+Tabla2[[#This Row],[Liquidez]])+Tabla2[[#This Row],[Comunicación]])</f>
        <v>2.269402348788307</v>
      </c>
      <c r="T858">
        <f ca="1">Tabla2[[#This Row],[Deuda actual]]*EXP(Tabla2[[#This Row],[Ki]]*Tabla2[[#This Row],[diferencia de días]])*(1+Tabla2[[#This Row],[Hg]])</f>
        <v>2254.5856651636091</v>
      </c>
    </row>
    <row r="859" spans="1:20" ht="14.5" x14ac:dyDescent="0.35">
      <c r="A859">
        <f t="shared" si="143"/>
        <v>858</v>
      </c>
      <c r="B859">
        <f t="shared" ca="1" si="144"/>
        <v>46113</v>
      </c>
      <c r="C859">
        <f t="shared" ca="1" si="145"/>
        <v>46157</v>
      </c>
      <c r="D859">
        <f t="shared" ca="1" si="146"/>
        <v>1</v>
      </c>
      <c r="E859">
        <f t="shared" ca="1" si="147"/>
        <v>0.53776692800133041</v>
      </c>
      <c r="F859">
        <f t="shared" ca="1" si="148"/>
        <v>890.4</v>
      </c>
      <c r="G859" t="str">
        <f t="shared" ca="1" si="149"/>
        <v>hipotecario</v>
      </c>
      <c r="H85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59" t="str">
        <f t="shared" ca="1" si="150"/>
        <v>Sí</v>
      </c>
      <c r="J85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59">
        <f ca="1">IF(Tabla2[[#This Row],[¿cliente deuda abierta?]]="Sí", Tabla2[[#This Row],[Deuda actual]]*Tabla2[[#This Row],[diferencia de días]], "0")</f>
        <v>890.4</v>
      </c>
      <c r="L85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5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5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59">
        <f t="shared" ca="1" si="151"/>
        <v>2024.81</v>
      </c>
      <c r="P859">
        <f t="shared" ca="1" si="152"/>
        <v>123515.76</v>
      </c>
      <c r="Q859">
        <f t="shared" ca="1" si="153"/>
        <v>1</v>
      </c>
      <c r="R859">
        <f ca="1">((Tabla2[[#This Row],[Fantasma Comunicación]]+1)/(Tabla2[[#This Row],[Fantasma Comunicación]]+RANDBETWEEN(0,5)+2))-0.5</f>
        <v>0</v>
      </c>
      <c r="S859">
        <f ca="1">1+MAX(0,Tabla2[[#This Row],[Deuda actual]]/Tabla2[[#This Row],[Liquidez]]+Tabla2[[#This Row],[Liquidez]]/(Tabla2[[#This Row],[Activos]]+Tabla2[[#This Row],[Liquidez]])+Tabla2[[#This Row],[Comunicación]])</f>
        <v>1.4558736940629213</v>
      </c>
      <c r="T859">
        <f ca="1">Tabla2[[#This Row],[Deuda actual]]*EXP(Tabla2[[#This Row],[Ki]]*Tabla2[[#This Row],[diferencia de días]])*(1+Tabla2[[#This Row],[Hg]])</f>
        <v>935.10700269964673</v>
      </c>
    </row>
    <row r="860" spans="1:20" ht="14.5" x14ac:dyDescent="0.35">
      <c r="A860">
        <f t="shared" si="143"/>
        <v>859</v>
      </c>
      <c r="B860">
        <f t="shared" ca="1" si="144"/>
        <v>46134</v>
      </c>
      <c r="C860">
        <f t="shared" ca="1" si="145"/>
        <v>46157</v>
      </c>
      <c r="D860">
        <f t="shared" ca="1" si="146"/>
        <v>13</v>
      </c>
      <c r="E860">
        <f t="shared" ca="1" si="147"/>
        <v>0.16843769140591447</v>
      </c>
      <c r="F860">
        <f t="shared" ca="1" si="148"/>
        <v>1166.98</v>
      </c>
      <c r="G860" t="str">
        <f t="shared" ca="1" si="149"/>
        <v>hipotecario</v>
      </c>
      <c r="H86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60" t="str">
        <f t="shared" ca="1" si="150"/>
        <v>No</v>
      </c>
      <c r="J86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165000.02313374056</v>
      </c>
      <c r="K860" t="str">
        <f ca="1">IF(Tabla2[[#This Row],[¿cliente deuda abierta?]]="Sí", Tabla2[[#This Row],[Deuda actual]]*Tabla2[[#This Row],[diferencia de días]], "0")</f>
        <v>0</v>
      </c>
      <c r="L86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6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86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860">
        <f t="shared" ca="1" si="151"/>
        <v>1862.63</v>
      </c>
      <c r="P860">
        <f t="shared" ca="1" si="152"/>
        <v>31049.5</v>
      </c>
      <c r="Q860">
        <f t="shared" ca="1" si="153"/>
        <v>2</v>
      </c>
      <c r="R860">
        <f ca="1">((Tabla2[[#This Row],[Fantasma Comunicación]]+1)/(Tabla2[[#This Row],[Fantasma Comunicación]]+RANDBETWEEN(0,5)+2))-0.5</f>
        <v>0</v>
      </c>
      <c r="S860">
        <f ca="1">1+MAX(0,Tabla2[[#This Row],[Deuda actual]]/Tabla2[[#This Row],[Liquidez]]+Tabla2[[#This Row],[Liquidez]]/(Tabla2[[#This Row],[Activos]]+Tabla2[[#This Row],[Liquidez]])+Tabla2[[#This Row],[Comunicación]])</f>
        <v>1.6831167403032725</v>
      </c>
      <c r="T860">
        <f ca="1">Tabla2[[#This Row],[Deuda actual]]*EXP(Tabla2[[#This Row],[Ki]]*Tabla2[[#This Row],[diferencia de días]])*(1+Tabla2[[#This Row],[Hg]])</f>
        <v>936.01447665047726</v>
      </c>
    </row>
    <row r="861" spans="1:20" ht="14.5" x14ac:dyDescent="0.35">
      <c r="A861">
        <f t="shared" si="143"/>
        <v>860</v>
      </c>
      <c r="B861">
        <f t="shared" ca="1" si="144"/>
        <v>46087</v>
      </c>
      <c r="C861">
        <f t="shared" ca="1" si="145"/>
        <v>46157</v>
      </c>
      <c r="D861">
        <f t="shared" ca="1" si="146"/>
        <v>24</v>
      </c>
      <c r="E861">
        <f t="shared" ca="1" si="147"/>
        <v>0.83028941960955505</v>
      </c>
      <c r="F861">
        <f t="shared" ca="1" si="148"/>
        <v>748.4</v>
      </c>
      <c r="G861" t="str">
        <f t="shared" ca="1" si="149"/>
        <v>personal</v>
      </c>
      <c r="H86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61" t="str">
        <f t="shared" ca="1" si="150"/>
        <v>Sí</v>
      </c>
      <c r="J86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61">
        <f ca="1">IF(Tabla2[[#This Row],[¿cliente deuda abierta?]]="Sí", Tabla2[[#This Row],[Deuda actual]]*Tabla2[[#This Row],[diferencia de días]], "0")</f>
        <v>17961.599999999999</v>
      </c>
      <c r="L86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6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6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61">
        <f t="shared" ca="1" si="151"/>
        <v>2909.77</v>
      </c>
      <c r="P861">
        <f t="shared" ca="1" si="152"/>
        <v>170971.73</v>
      </c>
      <c r="Q861">
        <f t="shared" ca="1" si="153"/>
        <v>4</v>
      </c>
      <c r="R861">
        <f ca="1">((Tabla2[[#This Row],[Fantasma Comunicación]]+1)/(Tabla2[[#This Row],[Fantasma Comunicación]]+RANDBETWEEN(0,5)+2))-0.5</f>
        <v>0.125</v>
      </c>
      <c r="S861">
        <f ca="1">1+MAX(0,Tabla2[[#This Row],[Deuda actual]]/Tabla2[[#This Row],[Liquidez]]+Tabla2[[#This Row],[Liquidez]]/(Tabla2[[#This Row],[Activos]]+Tabla2[[#This Row],[Liquidez]])+Tabla2[[#This Row],[Comunicación]])</f>
        <v>1.3989366719687295</v>
      </c>
      <c r="T861">
        <f ca="1">Tabla2[[#This Row],[Deuda actual]]*EXP(Tabla2[[#This Row],[Ki]]*Tabla2[[#This Row],[diferencia de días]])*(1+Tabla2[[#This Row],[Hg]])</f>
        <v>793.40019873810604</v>
      </c>
    </row>
    <row r="862" spans="1:20" ht="14.5" x14ac:dyDescent="0.35">
      <c r="A862">
        <f t="shared" si="143"/>
        <v>861</v>
      </c>
      <c r="B862">
        <f t="shared" ca="1" si="144"/>
        <v>46125</v>
      </c>
      <c r="C862">
        <f t="shared" ca="1" si="145"/>
        <v>46157</v>
      </c>
      <c r="D862">
        <f t="shared" ca="1" si="146"/>
        <v>12</v>
      </c>
      <c r="E862">
        <f t="shared" ca="1" si="147"/>
        <v>0.58383961471551826</v>
      </c>
      <c r="F862">
        <f t="shared" ca="1" si="148"/>
        <v>1055.07</v>
      </c>
      <c r="G862" t="str">
        <f t="shared" ca="1" si="149"/>
        <v>hipotecario</v>
      </c>
      <c r="H86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62" t="str">
        <f t="shared" ca="1" si="150"/>
        <v>Sí</v>
      </c>
      <c r="J86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62">
        <f ca="1">IF(Tabla2[[#This Row],[¿cliente deuda abierta?]]="Sí", Tabla2[[#This Row],[Deuda actual]]*Tabla2[[#This Row],[diferencia de días]], "0")</f>
        <v>12660.84</v>
      </c>
      <c r="L86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6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6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62">
        <f t="shared" ca="1" si="151"/>
        <v>1715.48</v>
      </c>
      <c r="P862">
        <f t="shared" ca="1" si="152"/>
        <v>105239.52</v>
      </c>
      <c r="Q862">
        <f t="shared" ca="1" si="153"/>
        <v>4</v>
      </c>
      <c r="R862">
        <f ca="1">((Tabla2[[#This Row],[Fantasma Comunicación]]+1)/(Tabla2[[#This Row],[Fantasma Comunicación]]+RANDBETWEEN(0,5)+2))-0.5</f>
        <v>0.33333333333333337</v>
      </c>
      <c r="S862">
        <f ca="1">1+MAX(0,Tabla2[[#This Row],[Deuda actual]]/Tabla2[[#This Row],[Liquidez]]+Tabla2[[#This Row],[Liquidez]]/(Tabla2[[#This Row],[Activos]]+Tabla2[[#This Row],[Liquidez]])+Tabla2[[#This Row],[Comunicación]])</f>
        <v>1.9644016319606421</v>
      </c>
      <c r="T862">
        <f ca="1">Tabla2[[#This Row],[Deuda actual]]*EXP(Tabla2[[#This Row],[Ki]]*Tabla2[[#This Row],[diferencia de días]])*(1+Tabla2[[#This Row],[Hg]])</f>
        <v>1110.4854694856374</v>
      </c>
    </row>
    <row r="863" spans="1:20" ht="14.5" x14ac:dyDescent="0.35">
      <c r="A863">
        <f t="shared" si="143"/>
        <v>862</v>
      </c>
      <c r="B863">
        <f t="shared" ca="1" si="144"/>
        <v>46118</v>
      </c>
      <c r="C863">
        <f t="shared" ca="1" si="145"/>
        <v>46157</v>
      </c>
      <c r="D863">
        <f t="shared" ca="1" si="146"/>
        <v>1</v>
      </c>
      <c r="E863">
        <f t="shared" ca="1" si="147"/>
        <v>0.11804482089816226</v>
      </c>
      <c r="F863">
        <f t="shared" ca="1" si="148"/>
        <v>414.07</v>
      </c>
      <c r="G863" t="str">
        <f t="shared" ca="1" si="149"/>
        <v>personal</v>
      </c>
      <c r="H86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63" t="str">
        <f t="shared" ca="1" si="150"/>
        <v>Sí</v>
      </c>
      <c r="J86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63">
        <f ca="1">IF(Tabla2[[#This Row],[¿cliente deuda abierta?]]="Sí", Tabla2[[#This Row],[Deuda actual]]*Tabla2[[#This Row],[diferencia de días]], "0")</f>
        <v>414.07</v>
      </c>
      <c r="L86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6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6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63">
        <f t="shared" ca="1" si="151"/>
        <v>1486.06</v>
      </c>
      <c r="P863">
        <f t="shared" ca="1" si="152"/>
        <v>132044.81</v>
      </c>
      <c r="Q863">
        <f t="shared" ca="1" si="153"/>
        <v>4</v>
      </c>
      <c r="R863">
        <f ca="1">((Tabla2[[#This Row],[Fantasma Comunicación]]+1)/(Tabla2[[#This Row],[Fantasma Comunicación]]+RANDBETWEEN(0,5)+2))-0.5</f>
        <v>0</v>
      </c>
      <c r="S863">
        <f ca="1">1+MAX(0,Tabla2[[#This Row],[Deuda actual]]/Tabla2[[#This Row],[Liquidez]]+Tabla2[[#This Row],[Liquidez]]/(Tabla2[[#This Row],[Activos]]+Tabla2[[#This Row],[Liquidez]])+Tabla2[[#This Row],[Comunicación]])</f>
        <v>1.2897650872198454</v>
      </c>
      <c r="T863">
        <f ca="1">Tabla2[[#This Row],[Deuda actual]]*EXP(Tabla2[[#This Row],[Ki]]*Tabla2[[#This Row],[diferencia de días]])*(1+Tabla2[[#This Row],[Hg]])</f>
        <v>434.86046339604974</v>
      </c>
    </row>
    <row r="864" spans="1:20" ht="14.5" x14ac:dyDescent="0.35">
      <c r="A864">
        <f t="shared" si="143"/>
        <v>863</v>
      </c>
      <c r="B864">
        <f t="shared" ca="1" si="144"/>
        <v>46130</v>
      </c>
      <c r="C864">
        <f t="shared" ca="1" si="145"/>
        <v>46157</v>
      </c>
      <c r="D864">
        <f t="shared" ca="1" si="146"/>
        <v>19</v>
      </c>
      <c r="E864">
        <f t="shared" ca="1" si="147"/>
        <v>0.40014326686645496</v>
      </c>
      <c r="F864">
        <f t="shared" ca="1" si="148"/>
        <v>267.43</v>
      </c>
      <c r="G864" t="str">
        <f t="shared" ca="1" si="149"/>
        <v>hipotecario</v>
      </c>
      <c r="H86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64" t="str">
        <f t="shared" ca="1" si="150"/>
        <v>Sí</v>
      </c>
      <c r="J86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64">
        <f ca="1">IF(Tabla2[[#This Row],[¿cliente deuda abierta?]]="Sí", Tabla2[[#This Row],[Deuda actual]]*Tabla2[[#This Row],[diferencia de días]], "0")</f>
        <v>5081.17</v>
      </c>
      <c r="L86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6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6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64">
        <f t="shared" ca="1" si="151"/>
        <v>1313.38</v>
      </c>
      <c r="P864">
        <f t="shared" ca="1" si="152"/>
        <v>102742.69</v>
      </c>
      <c r="Q864">
        <f t="shared" ca="1" si="153"/>
        <v>5</v>
      </c>
      <c r="R864">
        <f ca="1">((Tabla2[[#This Row],[Fantasma Comunicación]]+1)/(Tabla2[[#This Row],[Fantasma Comunicación]]+RANDBETWEEN(0,5)+2))-0.5</f>
        <v>0.25</v>
      </c>
      <c r="S864">
        <f ca="1">1+MAX(0,Tabla2[[#This Row],[Deuda actual]]/Tabla2[[#This Row],[Liquidez]]+Tabla2[[#This Row],[Liquidez]]/(Tabla2[[#This Row],[Activos]]+Tabla2[[#This Row],[Liquidez]])+Tabla2[[#This Row],[Comunicación]])</f>
        <v>1.4662415173071217</v>
      </c>
      <c r="T864">
        <f ca="1">Tabla2[[#This Row],[Deuda actual]]*EXP(Tabla2[[#This Row],[Ki]]*Tabla2[[#This Row],[diferencia de días]])*(1+Tabla2[[#This Row],[Hg]])</f>
        <v>282.94372153059993</v>
      </c>
    </row>
    <row r="865" spans="1:20" ht="14.5" x14ac:dyDescent="0.35">
      <c r="A865">
        <f t="shared" si="143"/>
        <v>864</v>
      </c>
      <c r="B865">
        <f t="shared" ca="1" si="144"/>
        <v>46139</v>
      </c>
      <c r="C865">
        <f t="shared" ca="1" si="145"/>
        <v>46157</v>
      </c>
      <c r="D865">
        <f t="shared" ca="1" si="146"/>
        <v>40</v>
      </c>
      <c r="E865">
        <f t="shared" ca="1" si="147"/>
        <v>0.51011257024319967</v>
      </c>
      <c r="F865">
        <f t="shared" ca="1" si="148"/>
        <v>2349.96</v>
      </c>
      <c r="G865" t="str">
        <f t="shared" ca="1" si="149"/>
        <v>hipotecario</v>
      </c>
      <c r="H86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865" t="str">
        <f t="shared" ca="1" si="150"/>
        <v>Sí</v>
      </c>
      <c r="J86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65">
        <f ca="1">IF(Tabla2[[#This Row],[¿cliente deuda abierta?]]="Sí", Tabla2[[#This Row],[Deuda actual]]*Tabla2[[#This Row],[diferencia de días]], "0")</f>
        <v>93998.399999999994</v>
      </c>
      <c r="L86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86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65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865">
        <f t="shared" ca="1" si="151"/>
        <v>1318.26</v>
      </c>
      <c r="P865">
        <f t="shared" ca="1" si="152"/>
        <v>183418.69</v>
      </c>
      <c r="Q865">
        <f t="shared" ca="1" si="153"/>
        <v>2</v>
      </c>
      <c r="R865">
        <f ca="1">((Tabla2[[#This Row],[Fantasma Comunicación]]+1)/(Tabla2[[#This Row],[Fantasma Comunicación]]+RANDBETWEEN(0,5)+2))-0.5</f>
        <v>0</v>
      </c>
      <c r="S865">
        <f ca="1">1+MAX(0,Tabla2[[#This Row],[Deuda actual]]/Tabla2[[#This Row],[Liquidez]]+Tabla2[[#This Row],[Liquidez]]/(Tabla2[[#This Row],[Activos]]+Tabla2[[#This Row],[Liquidez]])+Tabla2[[#This Row],[Comunicación]])</f>
        <v>2.7897584240782587</v>
      </c>
      <c r="T865">
        <f ca="1">Tabla2[[#This Row],[Deuda actual]]*EXP(Tabla2[[#This Row],[Ki]]*Tabla2[[#This Row],[diferencia de días]])*(1+Tabla2[[#This Row],[Hg]])</f>
        <v>2812.7432399593158</v>
      </c>
    </row>
    <row r="866" spans="1:20" ht="14.5" x14ac:dyDescent="0.35">
      <c r="A866">
        <f t="shared" si="143"/>
        <v>865</v>
      </c>
      <c r="B866">
        <f t="shared" ca="1" si="144"/>
        <v>46106</v>
      </c>
      <c r="C866">
        <f t="shared" ca="1" si="145"/>
        <v>46157</v>
      </c>
      <c r="D866">
        <f t="shared" ca="1" si="146"/>
        <v>20</v>
      </c>
      <c r="E866">
        <f t="shared" ca="1" si="147"/>
        <v>0.45497834233382972</v>
      </c>
      <c r="F866">
        <f t="shared" ca="1" si="148"/>
        <v>785.23</v>
      </c>
      <c r="G866" t="str">
        <f t="shared" ca="1" si="149"/>
        <v>personal</v>
      </c>
      <c r="H86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66" t="str">
        <f t="shared" ca="1" si="150"/>
        <v>Sí</v>
      </c>
      <c r="J86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66">
        <f ca="1">IF(Tabla2[[#This Row],[¿cliente deuda abierta?]]="Sí", Tabla2[[#This Row],[Deuda actual]]*Tabla2[[#This Row],[diferencia de días]], "0")</f>
        <v>15704.6</v>
      </c>
      <c r="L86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6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6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66">
        <f t="shared" ca="1" si="151"/>
        <v>1243.44</v>
      </c>
      <c r="P866">
        <f t="shared" ca="1" si="152"/>
        <v>11081.14</v>
      </c>
      <c r="Q866">
        <f t="shared" ca="1" si="153"/>
        <v>0</v>
      </c>
      <c r="R866">
        <f ca="1">((Tabla2[[#This Row],[Fantasma Comunicación]]+1)/(Tabla2[[#This Row],[Fantasma Comunicación]]+RANDBETWEEN(0,5)+2))-0.5</f>
        <v>-0.3</v>
      </c>
      <c r="S866">
        <f ca="1">1+MAX(0,Tabla2[[#This Row],[Deuda actual]]/Tabla2[[#This Row],[Liquidez]]+Tabla2[[#This Row],[Liquidez]]/(Tabla2[[#This Row],[Activos]]+Tabla2[[#This Row],[Liquidez]])+Tabla2[[#This Row],[Comunicación]])</f>
        <v>1.4323891668871491</v>
      </c>
      <c r="T866">
        <f ca="1">Tabla2[[#This Row],[Deuda actual]]*EXP(Tabla2[[#This Row],[Ki]]*Tabla2[[#This Row],[diferencia de días]])*(1+Tabla2[[#This Row],[Hg]])</f>
        <v>831.11388622554671</v>
      </c>
    </row>
    <row r="867" spans="1:20" ht="14.5" x14ac:dyDescent="0.35">
      <c r="A867">
        <f t="shared" si="143"/>
        <v>866</v>
      </c>
      <c r="B867">
        <f t="shared" ca="1" si="144"/>
        <v>46130</v>
      </c>
      <c r="C867">
        <f t="shared" ca="1" si="145"/>
        <v>46157</v>
      </c>
      <c r="D867">
        <f t="shared" ca="1" si="146"/>
        <v>35</v>
      </c>
      <c r="E867">
        <f t="shared" ca="1" si="147"/>
        <v>6.3954386859964685E-2</v>
      </c>
      <c r="F867">
        <f t="shared" ca="1" si="148"/>
        <v>1040.1300000000001</v>
      </c>
      <c r="G867" t="str">
        <f t="shared" ca="1" si="149"/>
        <v>hipotecario</v>
      </c>
      <c r="H86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867" t="str">
        <f t="shared" ca="1" si="150"/>
        <v>No</v>
      </c>
      <c r="J86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164999.67916595985</v>
      </c>
      <c r="K867" t="str">
        <f ca="1">IF(Tabla2[[#This Row],[¿cliente deuda abierta?]]="Sí", Tabla2[[#This Row],[Deuda actual]]*Tabla2[[#This Row],[diferencia de días]], "0")</f>
        <v>0</v>
      </c>
      <c r="L86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6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86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867">
        <f t="shared" ca="1" si="151"/>
        <v>1780.34</v>
      </c>
      <c r="P867">
        <f t="shared" ca="1" si="152"/>
        <v>65211.12</v>
      </c>
      <c r="Q867">
        <f t="shared" ca="1" si="153"/>
        <v>2</v>
      </c>
      <c r="R867">
        <f ca="1">((Tabla2[[#This Row],[Fantasma Comunicación]]+1)/(Tabla2[[#This Row],[Fantasma Comunicación]]+RANDBETWEEN(0,5)+2))-0.5</f>
        <v>0</v>
      </c>
      <c r="S867">
        <f ca="1">1+MAX(0,Tabla2[[#This Row],[Deuda actual]]/Tabla2[[#This Row],[Liquidez]]+Tabla2[[#This Row],[Liquidez]]/(Tabla2[[#This Row],[Activos]]+Tabla2[[#This Row],[Liquidez]])+Tabla2[[#This Row],[Comunicación]])</f>
        <v>1.6108067281310352</v>
      </c>
      <c r="T867">
        <f ca="1">Tabla2[[#This Row],[Deuda actual]]*EXP(Tabla2[[#This Row],[Ki]]*Tabla2[[#This Row],[diferencia de días]])*(1+Tabla2[[#This Row],[Hg]])</f>
        <v>861.7433021710018</v>
      </c>
    </row>
    <row r="868" spans="1:20" ht="14.5" x14ac:dyDescent="0.35">
      <c r="A868">
        <f t="shared" si="143"/>
        <v>867</v>
      </c>
      <c r="B868">
        <f t="shared" ca="1" si="144"/>
        <v>46132</v>
      </c>
      <c r="C868">
        <f t="shared" ca="1" si="145"/>
        <v>46157</v>
      </c>
      <c r="D868">
        <f t="shared" ca="1" si="146"/>
        <v>0</v>
      </c>
      <c r="E868">
        <f t="shared" ca="1" si="147"/>
        <v>0.57443362877171156</v>
      </c>
      <c r="F868">
        <f t="shared" ca="1" si="148"/>
        <v>2723.33</v>
      </c>
      <c r="G868" t="str">
        <f t="shared" ca="1" si="149"/>
        <v>personal</v>
      </c>
      <c r="H86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68" t="str">
        <f t="shared" ca="1" si="150"/>
        <v>No</v>
      </c>
      <c r="J86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11999.0687324601</v>
      </c>
      <c r="K868" t="str">
        <f ca="1">IF(Tabla2[[#This Row],[¿cliente deuda abierta?]]="Sí", Tabla2[[#This Row],[Deuda actual]]*Tabla2[[#This Row],[diferencia de días]], "0")</f>
        <v>0</v>
      </c>
      <c r="L86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6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6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68">
        <f t="shared" ca="1" si="151"/>
        <v>1423.82</v>
      </c>
      <c r="P868">
        <f t="shared" ca="1" si="152"/>
        <v>55157.63</v>
      </c>
      <c r="Q868">
        <f t="shared" ca="1" si="153"/>
        <v>4</v>
      </c>
      <c r="R868">
        <f ca="1">((Tabla2[[#This Row],[Fantasma Comunicación]]+1)/(Tabla2[[#This Row],[Fantasma Comunicación]]+RANDBETWEEN(0,5)+2))-0.5</f>
        <v>0.2142857142857143</v>
      </c>
      <c r="S868">
        <f ca="1">1+MAX(0,Tabla2[[#This Row],[Deuda actual]]/Tabla2[[#This Row],[Liquidez]]+Tabla2[[#This Row],[Liquidez]]/(Tabla2[[#This Row],[Activos]]+Tabla2[[#This Row],[Liquidez]])+Tabla2[[#This Row],[Comunicación]])</f>
        <v>3.1521424075514792</v>
      </c>
      <c r="T868">
        <f ca="1">Tabla2[[#This Row],[Deuda actual]]*EXP(Tabla2[[#This Row],[Ki]]*Tabla2[[#This Row],[diferencia de días]])*(1+Tabla2[[#This Row],[Hg]])</f>
        <v>2450.9969999999998</v>
      </c>
    </row>
    <row r="869" spans="1:20" ht="14.5" x14ac:dyDescent="0.35">
      <c r="A869">
        <f t="shared" si="143"/>
        <v>868</v>
      </c>
      <c r="B869">
        <f t="shared" ca="1" si="144"/>
        <v>46111</v>
      </c>
      <c r="C869">
        <f t="shared" ca="1" si="145"/>
        <v>46157</v>
      </c>
      <c r="D869">
        <f t="shared" ca="1" si="146"/>
        <v>14</v>
      </c>
      <c r="E869">
        <f t="shared" ca="1" si="147"/>
        <v>0.83193255318074266</v>
      </c>
      <c r="F869">
        <f t="shared" ca="1" si="148"/>
        <v>2343.35</v>
      </c>
      <c r="G869" t="str">
        <f t="shared" ca="1" si="149"/>
        <v>hipotecario</v>
      </c>
      <c r="H86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69" t="str">
        <f t="shared" ca="1" si="150"/>
        <v>Sí</v>
      </c>
      <c r="J86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69">
        <f ca="1">IF(Tabla2[[#This Row],[¿cliente deuda abierta?]]="Sí", Tabla2[[#This Row],[Deuda actual]]*Tabla2[[#This Row],[diferencia de días]], "0")</f>
        <v>32806.9</v>
      </c>
      <c r="L86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86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69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869">
        <f t="shared" ca="1" si="151"/>
        <v>1826.46</v>
      </c>
      <c r="P869">
        <f t="shared" ca="1" si="152"/>
        <v>167532.29</v>
      </c>
      <c r="Q869">
        <f t="shared" ca="1" si="153"/>
        <v>4</v>
      </c>
      <c r="R869">
        <f ca="1">((Tabla2[[#This Row],[Fantasma Comunicación]]+1)/(Tabla2[[#This Row],[Fantasma Comunicación]]+RANDBETWEEN(0,5)+2))-0.5</f>
        <v>-4.545454545454547E-2</v>
      </c>
      <c r="S869">
        <f ca="1">1+MAX(0,Tabla2[[#This Row],[Deuda actual]]/Tabla2[[#This Row],[Liquidez]]+Tabla2[[#This Row],[Liquidez]]/(Tabla2[[#This Row],[Activos]]+Tabla2[[#This Row],[Liquidez]])+Tabla2[[#This Row],[Comunicación]])</f>
        <v>2.2483310133650942</v>
      </c>
      <c r="T869">
        <f ca="1">Tabla2[[#This Row],[Deuda actual]]*EXP(Tabla2[[#This Row],[Ki]]*Tabla2[[#This Row],[diferencia de días]])*(1+Tabla2[[#This Row],[Hg]])</f>
        <v>2584.9126319626957</v>
      </c>
    </row>
    <row r="870" spans="1:20" ht="14.5" x14ac:dyDescent="0.35">
      <c r="A870">
        <f t="shared" si="143"/>
        <v>869</v>
      </c>
      <c r="B870">
        <f t="shared" ca="1" si="144"/>
        <v>46122</v>
      </c>
      <c r="C870">
        <f t="shared" ca="1" si="145"/>
        <v>46157</v>
      </c>
      <c r="D870">
        <f t="shared" ca="1" si="146"/>
        <v>13</v>
      </c>
      <c r="E870">
        <f t="shared" ca="1" si="147"/>
        <v>0.2302322337466215</v>
      </c>
      <c r="F870">
        <f t="shared" ca="1" si="148"/>
        <v>398.04</v>
      </c>
      <c r="G870" t="str">
        <f t="shared" ca="1" si="149"/>
        <v>personal</v>
      </c>
      <c r="H87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70" t="str">
        <f t="shared" ca="1" si="150"/>
        <v>Sí</v>
      </c>
      <c r="J87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70">
        <f ca="1">IF(Tabla2[[#This Row],[¿cliente deuda abierta?]]="Sí", Tabla2[[#This Row],[Deuda actual]]*Tabla2[[#This Row],[diferencia de días]], "0")</f>
        <v>5174.5200000000004</v>
      </c>
      <c r="L87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7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7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70">
        <f t="shared" ca="1" si="151"/>
        <v>1977.99</v>
      </c>
      <c r="P870">
        <f t="shared" ca="1" si="152"/>
        <v>210345.89</v>
      </c>
      <c r="Q870">
        <f t="shared" ca="1" si="153"/>
        <v>2</v>
      </c>
      <c r="R870">
        <f ca="1">((Tabla2[[#This Row],[Fantasma Comunicación]]+1)/(Tabla2[[#This Row],[Fantasma Comunicación]]+RANDBETWEEN(0,5)+2))-0.5</f>
        <v>-0.16666666666666669</v>
      </c>
      <c r="S870">
        <f ca="1">1+MAX(0,Tabla2[[#This Row],[Deuda actual]]/Tabla2[[#This Row],[Liquidez]]+Tabla2[[#This Row],[Liquidez]]/(Tabla2[[#This Row],[Activos]]+Tabla2[[#This Row],[Liquidez]])+Tabla2[[#This Row],[Comunicación]])</f>
        <v>1.0438838292200399</v>
      </c>
      <c r="T870">
        <f ca="1">Tabla2[[#This Row],[Deuda actual]]*EXP(Tabla2[[#This Row],[Ki]]*Tabla2[[#This Row],[diferencia de días]])*(1+Tabla2[[#This Row],[Hg]])</f>
        <v>419.03006306904769</v>
      </c>
    </row>
    <row r="871" spans="1:20" ht="14.5" x14ac:dyDescent="0.35">
      <c r="A871">
        <f t="shared" si="143"/>
        <v>870</v>
      </c>
      <c r="B871">
        <f t="shared" ca="1" si="144"/>
        <v>46088</v>
      </c>
      <c r="C871">
        <f t="shared" ca="1" si="145"/>
        <v>46157</v>
      </c>
      <c r="D871">
        <f t="shared" ca="1" si="146"/>
        <v>18</v>
      </c>
      <c r="E871">
        <f t="shared" ca="1" si="147"/>
        <v>0.58804139111983678</v>
      </c>
      <c r="F871">
        <f t="shared" ca="1" si="148"/>
        <v>413.14</v>
      </c>
      <c r="G871" t="str">
        <f t="shared" ca="1" si="149"/>
        <v>hipotecario</v>
      </c>
      <c r="H87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71" t="str">
        <f t="shared" ca="1" si="150"/>
        <v>Sí</v>
      </c>
      <c r="J87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71">
        <f ca="1">IF(Tabla2[[#This Row],[¿cliente deuda abierta?]]="Sí", Tabla2[[#This Row],[Deuda actual]]*Tabla2[[#This Row],[diferencia de días]], "0")</f>
        <v>7436.5199999999995</v>
      </c>
      <c r="L87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7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7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71">
        <f t="shared" ca="1" si="151"/>
        <v>1856.36</v>
      </c>
      <c r="P871">
        <f t="shared" ca="1" si="152"/>
        <v>136584.73000000001</v>
      </c>
      <c r="Q871">
        <f t="shared" ca="1" si="153"/>
        <v>4</v>
      </c>
      <c r="R871">
        <f ca="1">((Tabla2[[#This Row],[Fantasma Comunicación]]+1)/(Tabla2[[#This Row],[Fantasma Comunicación]]+RANDBETWEEN(0,5)+2))-0.5</f>
        <v>-4.545454545454547E-2</v>
      </c>
      <c r="S871">
        <f ca="1">1+MAX(0,Tabla2[[#This Row],[Deuda actual]]/Tabla2[[#This Row],[Liquidez]]+Tabla2[[#This Row],[Liquidez]]/(Tabla2[[#This Row],[Activos]]+Tabla2[[#This Row],[Liquidez]])+Tabla2[[#This Row],[Comunicación]])</f>
        <v>1.1905082942721501</v>
      </c>
      <c r="T871">
        <f ca="1">Tabla2[[#This Row],[Deuda actual]]*EXP(Tabla2[[#This Row],[Ki]]*Tabla2[[#This Row],[diferencia de días]])*(1+Tabla2[[#This Row],[Hg]])</f>
        <v>436.93160945252799</v>
      </c>
    </row>
    <row r="872" spans="1:20" ht="14.5" x14ac:dyDescent="0.35">
      <c r="A872">
        <f t="shared" si="143"/>
        <v>871</v>
      </c>
      <c r="B872">
        <f t="shared" ca="1" si="144"/>
        <v>46122</v>
      </c>
      <c r="C872">
        <f t="shared" ca="1" si="145"/>
        <v>46157</v>
      </c>
      <c r="D872">
        <f t="shared" ca="1" si="146"/>
        <v>1</v>
      </c>
      <c r="E872">
        <f t="shared" ca="1" si="147"/>
        <v>0.56291644812768415</v>
      </c>
      <c r="F872">
        <f t="shared" ca="1" si="148"/>
        <v>668.05</v>
      </c>
      <c r="G872" t="str">
        <f t="shared" ca="1" si="149"/>
        <v>personal</v>
      </c>
      <c r="H87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72" t="str">
        <f t="shared" ca="1" si="150"/>
        <v>No</v>
      </c>
      <c r="J87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12000.363008375685</v>
      </c>
      <c r="K872" t="str">
        <f ca="1">IF(Tabla2[[#This Row],[¿cliente deuda abierta?]]="Sí", Tabla2[[#This Row],[Deuda actual]]*Tabla2[[#This Row],[diferencia de días]], "0")</f>
        <v>0</v>
      </c>
      <c r="L87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7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72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72">
        <f t="shared" ca="1" si="151"/>
        <v>1765.34</v>
      </c>
      <c r="P872">
        <f t="shared" ca="1" si="152"/>
        <v>56562.35</v>
      </c>
      <c r="Q872">
        <f t="shared" ca="1" si="153"/>
        <v>1</v>
      </c>
      <c r="R872">
        <f ca="1">((Tabla2[[#This Row],[Fantasma Comunicación]]+1)/(Tabla2[[#This Row],[Fantasma Comunicación]]+RANDBETWEEN(0,5)+2))-0.5</f>
        <v>-9.9999999999999978E-2</v>
      </c>
      <c r="S872">
        <f ca="1">1+MAX(0,Tabla2[[#This Row],[Deuda actual]]/Tabla2[[#This Row],[Liquidez]]+Tabla2[[#This Row],[Liquidez]]/(Tabla2[[#This Row],[Activos]]+Tabla2[[#This Row],[Liquidez]])+Tabla2[[#This Row],[Comunicación]])</f>
        <v>1.3086915851417609</v>
      </c>
      <c r="T872">
        <f ca="1">Tabla2[[#This Row],[Deuda actual]]*EXP(Tabla2[[#This Row],[Ki]]*Tabla2[[#This Row],[diferencia de días]])*(1+Tabla2[[#This Row],[Hg]])</f>
        <v>601.36526102570178</v>
      </c>
    </row>
    <row r="873" spans="1:20" ht="14.5" x14ac:dyDescent="0.35">
      <c r="A873">
        <f t="shared" si="143"/>
        <v>872</v>
      </c>
      <c r="B873">
        <f t="shared" ca="1" si="144"/>
        <v>46113</v>
      </c>
      <c r="C873">
        <f t="shared" ca="1" si="145"/>
        <v>46157</v>
      </c>
      <c r="D873">
        <f t="shared" ca="1" si="146"/>
        <v>27</v>
      </c>
      <c r="E873">
        <f t="shared" ca="1" si="147"/>
        <v>0.829995954905555</v>
      </c>
      <c r="F873">
        <f t="shared" ca="1" si="148"/>
        <v>348.08</v>
      </c>
      <c r="G873" t="str">
        <f t="shared" ca="1" si="149"/>
        <v>personal</v>
      </c>
      <c r="H87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73" t="str">
        <f t="shared" ca="1" si="150"/>
        <v>Sí</v>
      </c>
      <c r="J87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73">
        <f ca="1">IF(Tabla2[[#This Row],[¿cliente deuda abierta?]]="Sí", Tabla2[[#This Row],[Deuda actual]]*Tabla2[[#This Row],[diferencia de días]], "0")</f>
        <v>9398.16</v>
      </c>
      <c r="L87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7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7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73">
        <f t="shared" ca="1" si="151"/>
        <v>1330.73</v>
      </c>
      <c r="P873">
        <f t="shared" ca="1" si="152"/>
        <v>125489.35</v>
      </c>
      <c r="Q873">
        <f t="shared" ca="1" si="153"/>
        <v>0</v>
      </c>
      <c r="R873">
        <f ca="1">((Tabla2[[#This Row],[Fantasma Comunicación]]+1)/(Tabla2[[#This Row],[Fantasma Comunicación]]+RANDBETWEEN(0,5)+2))-0.5</f>
        <v>-0.16666666666666669</v>
      </c>
      <c r="S873">
        <f ca="1">1+MAX(0,Tabla2[[#This Row],[Deuda actual]]/Tabla2[[#This Row],[Liquidez]]+Tabla2[[#This Row],[Liquidez]]/(Tabla2[[#This Row],[Activos]]+Tabla2[[#This Row],[Liquidez]])+Tabla2[[#This Row],[Comunicación]])</f>
        <v>1.105397104570137</v>
      </c>
      <c r="T873">
        <f ca="1">Tabla2[[#This Row],[Deuda actual]]*EXP(Tabla2[[#This Row],[Ki]]*Tabla2[[#This Row],[diferencia de días]])*(1+Tabla2[[#This Row],[Hg]])</f>
        <v>369.45261916860716</v>
      </c>
    </row>
    <row r="874" spans="1:20" ht="14.5" x14ac:dyDescent="0.35">
      <c r="A874">
        <f t="shared" si="143"/>
        <v>873</v>
      </c>
      <c r="B874">
        <f t="shared" ca="1" si="144"/>
        <v>46084</v>
      </c>
      <c r="C874">
        <f t="shared" ca="1" si="145"/>
        <v>46157</v>
      </c>
      <c r="D874">
        <f t="shared" ca="1" si="146"/>
        <v>9</v>
      </c>
      <c r="E874">
        <f t="shared" ca="1" si="147"/>
        <v>0.41711526849299718</v>
      </c>
      <c r="F874">
        <f t="shared" ca="1" si="148"/>
        <v>1498.54</v>
      </c>
      <c r="G874" t="str">
        <f t="shared" ca="1" si="149"/>
        <v>hipotecario</v>
      </c>
      <c r="H87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74" t="str">
        <f t="shared" ca="1" si="150"/>
        <v>No</v>
      </c>
      <c r="J87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164999.84688546794</v>
      </c>
      <c r="K874" t="str">
        <f ca="1">IF(Tabla2[[#This Row],[¿cliente deuda abierta?]]="Sí", Tabla2[[#This Row],[Deuda actual]]*Tabla2[[#This Row],[diferencia de días]], "0")</f>
        <v>0</v>
      </c>
      <c r="L87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7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874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874">
        <f t="shared" ca="1" si="151"/>
        <v>1597.94</v>
      </c>
      <c r="P874">
        <f t="shared" ca="1" si="152"/>
        <v>231849.37</v>
      </c>
      <c r="Q874">
        <f t="shared" ca="1" si="153"/>
        <v>4</v>
      </c>
      <c r="R874">
        <f ca="1">((Tabla2[[#This Row],[Fantasma Comunicación]]+1)/(Tabla2[[#This Row],[Fantasma Comunicación]]+RANDBETWEEN(0,5)+2))-0.5</f>
        <v>0.125</v>
      </c>
      <c r="S874">
        <f ca="1">1+MAX(0,Tabla2[[#This Row],[Deuda actual]]/Tabla2[[#This Row],[Liquidez]]+Tabla2[[#This Row],[Liquidez]]/(Tabla2[[#This Row],[Activos]]+Tabla2[[#This Row],[Liquidez]])+Tabla2[[#This Row],[Comunicación]])</f>
        <v>2.0696398816609367</v>
      </c>
      <c r="T874">
        <f ca="1">Tabla2[[#This Row],[Deuda actual]]*EXP(Tabla2[[#This Row],[Ki]]*Tabla2[[#This Row],[diferencia de días]])*(1+Tabla2[[#This Row],[Hg]])</f>
        <v>1200.9918408736294</v>
      </c>
    </row>
    <row r="875" spans="1:20" ht="14.5" x14ac:dyDescent="0.35">
      <c r="A875">
        <f t="shared" si="143"/>
        <v>874</v>
      </c>
      <c r="B875">
        <f t="shared" ca="1" si="144"/>
        <v>46132</v>
      </c>
      <c r="C875">
        <f t="shared" ca="1" si="145"/>
        <v>46157</v>
      </c>
      <c r="D875">
        <f t="shared" ca="1" si="146"/>
        <v>7</v>
      </c>
      <c r="E875">
        <f t="shared" ca="1" si="147"/>
        <v>0.5983378906992266</v>
      </c>
      <c r="F875">
        <f t="shared" ca="1" si="148"/>
        <v>162.84</v>
      </c>
      <c r="G875" t="str">
        <f t="shared" ca="1" si="149"/>
        <v>hipotecario</v>
      </c>
      <c r="H87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75" t="str">
        <f t="shared" ca="1" si="150"/>
        <v>Sí</v>
      </c>
      <c r="J87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75">
        <f ca="1">IF(Tabla2[[#This Row],[¿cliente deuda abierta?]]="Sí", Tabla2[[#This Row],[Deuda actual]]*Tabla2[[#This Row],[diferencia de días]], "0")</f>
        <v>1139.8800000000001</v>
      </c>
      <c r="L87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7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7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75">
        <f t="shared" ca="1" si="151"/>
        <v>2033.96</v>
      </c>
      <c r="P875">
        <f t="shared" ca="1" si="152"/>
        <v>61511.42</v>
      </c>
      <c r="Q875">
        <f t="shared" ca="1" si="153"/>
        <v>0</v>
      </c>
      <c r="R875">
        <f ca="1">((Tabla2[[#This Row],[Fantasma Comunicación]]+1)/(Tabla2[[#This Row],[Fantasma Comunicación]]+RANDBETWEEN(0,5)+2))-0.5</f>
        <v>-0.16666666666666669</v>
      </c>
      <c r="S875">
        <f ca="1">1+MAX(0,Tabla2[[#This Row],[Deuda actual]]/Tabla2[[#This Row],[Liquidez]]+Tabla2[[#This Row],[Liquidez]]/(Tabla2[[#This Row],[Activos]]+Tabla2[[#This Row],[Liquidez]])+Tabla2[[#This Row],[Comunicación]])</f>
        <v>1</v>
      </c>
      <c r="T875">
        <f ca="1">Tabla2[[#This Row],[Deuda actual]]*EXP(Tabla2[[#This Row],[Ki]]*Tabla2[[#This Row],[diferencia de días]])*(1+Tabla2[[#This Row],[Hg]])</f>
        <v>171.22154244058316</v>
      </c>
    </row>
    <row r="876" spans="1:20" ht="14.5" x14ac:dyDescent="0.35">
      <c r="A876">
        <f t="shared" si="143"/>
        <v>875</v>
      </c>
      <c r="B876">
        <f t="shared" ca="1" si="144"/>
        <v>46142</v>
      </c>
      <c r="C876">
        <f t="shared" ca="1" si="145"/>
        <v>46157</v>
      </c>
      <c r="D876">
        <f t="shared" ca="1" si="146"/>
        <v>31</v>
      </c>
      <c r="E876">
        <f t="shared" ca="1" si="147"/>
        <v>0.90590081260669053</v>
      </c>
      <c r="F876">
        <f t="shared" ca="1" si="148"/>
        <v>397</v>
      </c>
      <c r="G876" t="str">
        <f t="shared" ca="1" si="149"/>
        <v>personal</v>
      </c>
      <c r="H87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876" t="str">
        <f t="shared" ca="1" si="150"/>
        <v>No</v>
      </c>
      <c r="J87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12000.706371473472</v>
      </c>
      <c r="K876" t="str">
        <f ca="1">IF(Tabla2[[#This Row],[¿cliente deuda abierta?]]="Sí", Tabla2[[#This Row],[Deuda actual]]*Tabla2[[#This Row],[diferencia de días]], "0")</f>
        <v>0</v>
      </c>
      <c r="L87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7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76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76">
        <f t="shared" ca="1" si="151"/>
        <v>1386.92</v>
      </c>
      <c r="P876">
        <f t="shared" ca="1" si="152"/>
        <v>95843.32</v>
      </c>
      <c r="Q876">
        <f t="shared" ca="1" si="153"/>
        <v>3</v>
      </c>
      <c r="R876">
        <f ca="1">((Tabla2[[#This Row],[Fantasma Comunicación]]+1)/(Tabla2[[#This Row],[Fantasma Comunicación]]+RANDBETWEEN(0,5)+2))-0.5</f>
        <v>0.30000000000000004</v>
      </c>
      <c r="S876">
        <f ca="1">1+MAX(0,Tabla2[[#This Row],[Deuda actual]]/Tabla2[[#This Row],[Liquidez]]+Tabla2[[#This Row],[Liquidez]]/(Tabla2[[#This Row],[Activos]]+Tabla2[[#This Row],[Liquidez]])+Tabla2[[#This Row],[Comunicación]])</f>
        <v>1.600510068522405</v>
      </c>
      <c r="T876">
        <f ca="1">Tabla2[[#This Row],[Deuda actual]]*EXP(Tabla2[[#This Row],[Ki]]*Tabla2[[#This Row],[diferencia de días]])*(1+Tabla2[[#This Row],[Hg]])</f>
        <v>368.54977053865457</v>
      </c>
    </row>
    <row r="877" spans="1:20" ht="14.5" x14ac:dyDescent="0.35">
      <c r="A877">
        <f t="shared" si="143"/>
        <v>876</v>
      </c>
      <c r="B877">
        <f t="shared" ca="1" si="144"/>
        <v>46124</v>
      </c>
      <c r="C877">
        <f t="shared" ca="1" si="145"/>
        <v>46157</v>
      </c>
      <c r="D877">
        <f t="shared" ca="1" si="146"/>
        <v>41</v>
      </c>
      <c r="E877">
        <f t="shared" ca="1" si="147"/>
        <v>0.36180954489684436</v>
      </c>
      <c r="F877">
        <f t="shared" ca="1" si="148"/>
        <v>603.62</v>
      </c>
      <c r="G877" t="str">
        <f t="shared" ca="1" si="149"/>
        <v>personal</v>
      </c>
      <c r="H87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877" t="str">
        <f t="shared" ca="1" si="150"/>
        <v>No</v>
      </c>
      <c r="J87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12000.907870321282</v>
      </c>
      <c r="K877" t="str">
        <f ca="1">IF(Tabla2[[#This Row],[¿cliente deuda abierta?]]="Sí", Tabla2[[#This Row],[Deuda actual]]*Tabla2[[#This Row],[diferencia de días]], "0")</f>
        <v>0</v>
      </c>
      <c r="L87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7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77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77">
        <f t="shared" ca="1" si="151"/>
        <v>1616.33</v>
      </c>
      <c r="P877">
        <f t="shared" ca="1" si="152"/>
        <v>455211.34</v>
      </c>
      <c r="Q877">
        <f t="shared" ca="1" si="153"/>
        <v>3</v>
      </c>
      <c r="R877">
        <f ca="1">((Tabla2[[#This Row],[Fantasma Comunicación]]+1)/(Tabla2[[#This Row],[Fantasma Comunicación]]+RANDBETWEEN(0,5)+2))-0.5</f>
        <v>-5.555555555555558E-2</v>
      </c>
      <c r="S877">
        <f ca="1">1+MAX(0,Tabla2[[#This Row],[Deuda actual]]/Tabla2[[#This Row],[Liquidez]]+Tabla2[[#This Row],[Liquidez]]/(Tabla2[[#This Row],[Activos]]+Tabla2[[#This Row],[Liquidez]])+Tabla2[[#This Row],[Comunicación]])</f>
        <v>1.3214335718596479</v>
      </c>
      <c r="T877">
        <f ca="1">Tabla2[[#This Row],[Deuda actual]]*EXP(Tabla2[[#This Row],[Ki]]*Tabla2[[#This Row],[diferencia de días]])*(1+Tabla2[[#This Row],[Hg]])</f>
        <v>565.9944911544261</v>
      </c>
    </row>
    <row r="878" spans="1:20" ht="14.5" x14ac:dyDescent="0.35">
      <c r="A878">
        <f t="shared" si="143"/>
        <v>877</v>
      </c>
      <c r="B878">
        <f t="shared" ca="1" si="144"/>
        <v>46104</v>
      </c>
      <c r="C878">
        <f t="shared" ca="1" si="145"/>
        <v>46157</v>
      </c>
      <c r="D878">
        <f t="shared" ca="1" si="146"/>
        <v>9</v>
      </c>
      <c r="E878">
        <f t="shared" ca="1" si="147"/>
        <v>6.7476744464923244E-2</v>
      </c>
      <c r="F878">
        <f t="shared" ca="1" si="148"/>
        <v>258.06</v>
      </c>
      <c r="G878" t="str">
        <f t="shared" ca="1" si="149"/>
        <v>hipotecario</v>
      </c>
      <c r="H87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78" t="str">
        <f t="shared" ca="1" si="150"/>
        <v>No</v>
      </c>
      <c r="J87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164998.89043714415</v>
      </c>
      <c r="K878" t="str">
        <f ca="1">IF(Tabla2[[#This Row],[¿cliente deuda abierta?]]="Sí", Tabla2[[#This Row],[Deuda actual]]*Tabla2[[#This Row],[diferencia de días]], "0")</f>
        <v>0</v>
      </c>
      <c r="L87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7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878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878">
        <f t="shared" ca="1" si="151"/>
        <v>2196.4</v>
      </c>
      <c r="P878">
        <f t="shared" ca="1" si="152"/>
        <v>249733.86</v>
      </c>
      <c r="Q878">
        <f t="shared" ca="1" si="153"/>
        <v>1</v>
      </c>
      <c r="R878">
        <f ca="1">((Tabla2[[#This Row],[Fantasma Comunicación]]+1)/(Tabla2[[#This Row],[Fantasma Comunicación]]+RANDBETWEEN(0,5)+2))-0.5</f>
        <v>0.16666666666666663</v>
      </c>
      <c r="S878">
        <f ca="1">1+MAX(0,Tabla2[[#This Row],[Deuda actual]]/Tabla2[[#This Row],[Liquidez]]+Tabla2[[#This Row],[Liquidez]]/(Tabla2[[#This Row],[Activos]]+Tabla2[[#This Row],[Liquidez]])+Tabla2[[#This Row],[Comunicación]])</f>
        <v>1.2928772124954486</v>
      </c>
      <c r="T878">
        <f ca="1">Tabla2[[#This Row],[Deuda actual]]*EXP(Tabla2[[#This Row],[Ki]]*Tabla2[[#This Row],[diferencia de días]])*(1+Tabla2[[#This Row],[Hg]])</f>
        <v>206.81994104651781</v>
      </c>
    </row>
    <row r="879" spans="1:20" ht="14.5" x14ac:dyDescent="0.35">
      <c r="A879">
        <f t="shared" si="143"/>
        <v>878</v>
      </c>
      <c r="B879">
        <f t="shared" ca="1" si="144"/>
        <v>46120</v>
      </c>
      <c r="C879">
        <f t="shared" ca="1" si="145"/>
        <v>46157</v>
      </c>
      <c r="D879">
        <f t="shared" ca="1" si="146"/>
        <v>16</v>
      </c>
      <c r="E879">
        <f t="shared" ca="1" si="147"/>
        <v>0.1198899185045178</v>
      </c>
      <c r="F879">
        <f t="shared" ca="1" si="148"/>
        <v>983.91</v>
      </c>
      <c r="G879" t="str">
        <f t="shared" ca="1" si="149"/>
        <v>personal</v>
      </c>
      <c r="H87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79" t="str">
        <f t="shared" ca="1" si="150"/>
        <v>Sí</v>
      </c>
      <c r="J87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79">
        <f ca="1">IF(Tabla2[[#This Row],[¿cliente deuda abierta?]]="Sí", Tabla2[[#This Row],[Deuda actual]]*Tabla2[[#This Row],[diferencia de días]], "0")</f>
        <v>15742.56</v>
      </c>
      <c r="L87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7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7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79">
        <f t="shared" ca="1" si="151"/>
        <v>1693.71</v>
      </c>
      <c r="P879">
        <f t="shared" ca="1" si="152"/>
        <v>161094.76999999999</v>
      </c>
      <c r="Q879">
        <f t="shared" ca="1" si="153"/>
        <v>5</v>
      </c>
      <c r="R879">
        <f ca="1">((Tabla2[[#This Row],[Fantasma Comunicación]]+1)/(Tabla2[[#This Row],[Fantasma Comunicación]]+RANDBETWEEN(0,5)+2))-0.5</f>
        <v>0.16666666666666663</v>
      </c>
      <c r="S879">
        <f ca="1">1+MAX(0,Tabla2[[#This Row],[Deuda actual]]/Tabla2[[#This Row],[Liquidez]]+Tabla2[[#This Row],[Liquidez]]/(Tabla2[[#This Row],[Activos]]+Tabla2[[#This Row],[Liquidez]])+Tabla2[[#This Row],[Comunicación]])</f>
        <v>1.7579910191816674</v>
      </c>
      <c r="T879">
        <f ca="1">Tabla2[[#This Row],[Deuda actual]]*EXP(Tabla2[[#This Row],[Ki]]*Tabla2[[#This Row],[diferencia de días]])*(1+Tabla2[[#This Row],[Hg]])</f>
        <v>1039.73857841002</v>
      </c>
    </row>
    <row r="880" spans="1:20" ht="14.5" x14ac:dyDescent="0.35">
      <c r="A880">
        <f t="shared" si="143"/>
        <v>879</v>
      </c>
      <c r="B880">
        <f t="shared" ca="1" si="144"/>
        <v>46089</v>
      </c>
      <c r="C880">
        <f t="shared" ca="1" si="145"/>
        <v>46157</v>
      </c>
      <c r="D880">
        <f t="shared" ca="1" si="146"/>
        <v>25</v>
      </c>
      <c r="E880">
        <f t="shared" ca="1" si="147"/>
        <v>0.37489460838230948</v>
      </c>
      <c r="F880">
        <f t="shared" ca="1" si="148"/>
        <v>10000</v>
      </c>
      <c r="G880" t="str">
        <f t="shared" ca="1" si="149"/>
        <v>personal</v>
      </c>
      <c r="H88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80" t="str">
        <f t="shared" ca="1" si="150"/>
        <v>Sí</v>
      </c>
      <c r="J88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80">
        <f ca="1">IF(Tabla2[[#This Row],[¿cliente deuda abierta?]]="Sí", Tabla2[[#This Row],[Deuda actual]]*Tabla2[[#This Row],[diferencia de días]], "0")</f>
        <v>250000</v>
      </c>
      <c r="L88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0.2</v>
      </c>
      <c r="M88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80">
        <f ca="1">MAX(Tabla2[[#This Row],[VALORES DE Hg para actuales deudores]:[Valores de HG para deudores cerrados]])*IF(Tabla2[[#This Row],[VALORES DE Hg para actuales deudores]]&gt;Tabla2[[#This Row],[Valores de HG para deudores cerrados]],-1,1)</f>
        <v>0.2</v>
      </c>
      <c r="O880">
        <f t="shared" ca="1" si="151"/>
        <v>1594.94</v>
      </c>
      <c r="P880">
        <f t="shared" ca="1" si="152"/>
        <v>256179.84</v>
      </c>
      <c r="Q880">
        <f t="shared" ca="1" si="153"/>
        <v>3</v>
      </c>
      <c r="R880">
        <f ca="1">((Tabla2[[#This Row],[Fantasma Comunicación]]+1)/(Tabla2[[#This Row],[Fantasma Comunicación]]+RANDBETWEEN(0,5)+2))-0.5</f>
        <v>0.30000000000000004</v>
      </c>
      <c r="S880">
        <f ca="1">1+MAX(0,Tabla2[[#This Row],[Deuda actual]]/Tabla2[[#This Row],[Liquidez]]+Tabla2[[#This Row],[Liquidez]]/(Tabla2[[#This Row],[Activos]]+Tabla2[[#This Row],[Liquidez]])+Tabla2[[#This Row],[Comunicación]])</f>
        <v>7.5760156712961333</v>
      </c>
      <c r="T880">
        <f ca="1">Tabla2[[#This Row],[Deuda actual]]*EXP(Tabla2[[#This Row],[Ki]]*Tabla2[[#This Row],[diferencia de días]])*(1+Tabla2[[#This Row],[Hg]])</f>
        <v>12120.602005010014</v>
      </c>
    </row>
    <row r="881" spans="1:20" ht="14.5" x14ac:dyDescent="0.35">
      <c r="A881">
        <f t="shared" si="143"/>
        <v>880</v>
      </c>
      <c r="B881">
        <f t="shared" ca="1" si="144"/>
        <v>46108</v>
      </c>
      <c r="C881">
        <f t="shared" ca="1" si="145"/>
        <v>46157</v>
      </c>
      <c r="D881">
        <f t="shared" ca="1" si="146"/>
        <v>28</v>
      </c>
      <c r="E881">
        <f t="shared" ca="1" si="147"/>
        <v>0.32026895037258474</v>
      </c>
      <c r="F881">
        <f t="shared" ca="1" si="148"/>
        <v>853.39</v>
      </c>
      <c r="G881" t="str">
        <f t="shared" ca="1" si="149"/>
        <v>personal</v>
      </c>
      <c r="H88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81" t="str">
        <f t="shared" ca="1" si="150"/>
        <v>Sí</v>
      </c>
      <c r="J88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81">
        <f ca="1">IF(Tabla2[[#This Row],[¿cliente deuda abierta?]]="Sí", Tabla2[[#This Row],[Deuda actual]]*Tabla2[[#This Row],[diferencia de días]], "0")</f>
        <v>23894.92</v>
      </c>
      <c r="L88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8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8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81">
        <f t="shared" ca="1" si="151"/>
        <v>1378.58</v>
      </c>
      <c r="P881">
        <f t="shared" ca="1" si="152"/>
        <v>355480.14</v>
      </c>
      <c r="Q881">
        <f t="shared" ca="1" si="153"/>
        <v>5</v>
      </c>
      <c r="R881">
        <f ca="1">((Tabla2[[#This Row],[Fantasma Comunicación]]+1)/(Tabla2[[#This Row],[Fantasma Comunicación]]+RANDBETWEEN(0,5)+2))-0.5</f>
        <v>0.16666666666666663</v>
      </c>
      <c r="S881">
        <f ca="1">1+MAX(0,Tabla2[[#This Row],[Deuda actual]]/Tabla2[[#This Row],[Liquidez]]+Tabla2[[#This Row],[Liquidez]]/(Tabla2[[#This Row],[Activos]]+Tabla2[[#This Row],[Liquidez]])+Tabla2[[#This Row],[Comunicación]])</f>
        <v>1.7895652933979345</v>
      </c>
      <c r="T881">
        <f ca="1">Tabla2[[#This Row],[Deuda actual]]*EXP(Tabla2[[#This Row],[Ki]]*Tabla2[[#This Row],[diferencia de días]])*(1+Tabla2[[#This Row],[Hg]])</f>
        <v>906.15177765715816</v>
      </c>
    </row>
    <row r="882" spans="1:20" ht="14.5" x14ac:dyDescent="0.35">
      <c r="A882">
        <f t="shared" si="143"/>
        <v>881</v>
      </c>
      <c r="B882">
        <f t="shared" ca="1" si="144"/>
        <v>46124</v>
      </c>
      <c r="C882">
        <f t="shared" ca="1" si="145"/>
        <v>46157</v>
      </c>
      <c r="D882">
        <f t="shared" ca="1" si="146"/>
        <v>6</v>
      </c>
      <c r="E882">
        <f t="shared" ca="1" si="147"/>
        <v>0.76486699188529228</v>
      </c>
      <c r="F882">
        <f t="shared" ca="1" si="148"/>
        <v>1132.3</v>
      </c>
      <c r="G882" t="str">
        <f t="shared" ca="1" si="149"/>
        <v>personal</v>
      </c>
      <c r="H88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82" t="str">
        <f t="shared" ca="1" si="150"/>
        <v>No</v>
      </c>
      <c r="J88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11999.792971944889</v>
      </c>
      <c r="K882" t="str">
        <f ca="1">IF(Tabla2[[#This Row],[¿cliente deuda abierta?]]="Sí", Tabla2[[#This Row],[Deuda actual]]*Tabla2[[#This Row],[diferencia de días]], "0")</f>
        <v>0</v>
      </c>
      <c r="L88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8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82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82">
        <f t="shared" ca="1" si="151"/>
        <v>1492.48</v>
      </c>
      <c r="P882">
        <f t="shared" ca="1" si="152"/>
        <v>100038.79</v>
      </c>
      <c r="Q882">
        <f t="shared" ca="1" si="153"/>
        <v>1</v>
      </c>
      <c r="R882">
        <f ca="1">((Tabla2[[#This Row],[Fantasma Comunicación]]+1)/(Tabla2[[#This Row],[Fantasma Comunicación]]+RANDBETWEEN(0,5)+2))-0.5</f>
        <v>-0.16666666666666669</v>
      </c>
      <c r="S882">
        <f ca="1">1+MAX(0,Tabla2[[#This Row],[Deuda actual]]/Tabla2[[#This Row],[Liquidez]]+Tabla2[[#This Row],[Liquidez]]/(Tabla2[[#This Row],[Activos]]+Tabla2[[#This Row],[Liquidez]])+Tabla2[[#This Row],[Comunicación]])</f>
        <v>1.6067031740510445</v>
      </c>
      <c r="T882">
        <f ca="1">Tabla2[[#This Row],[Deuda actual]]*EXP(Tabla2[[#This Row],[Ki]]*Tabla2[[#This Row],[diferencia de días]])*(1+Tabla2[[#This Row],[Hg]])</f>
        <v>1020.2936180239802</v>
      </c>
    </row>
    <row r="883" spans="1:20" ht="14.5" x14ac:dyDescent="0.35">
      <c r="A883">
        <f>1</f>
        <v>1</v>
      </c>
      <c r="B883">
        <f t="shared" ca="1" si="144"/>
        <v>46083</v>
      </c>
      <c r="C883">
        <f t="shared" ca="1" si="145"/>
        <v>46157</v>
      </c>
      <c r="D883">
        <f t="shared" ca="1" si="146"/>
        <v>11</v>
      </c>
      <c r="E883">
        <f t="shared" ca="1" si="147"/>
        <v>0.18158433355779258</v>
      </c>
      <c r="F883">
        <f t="shared" ca="1" si="148"/>
        <v>2742.45</v>
      </c>
      <c r="G883" t="str">
        <f t="shared" ca="1" si="149"/>
        <v>personal</v>
      </c>
      <c r="H88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83" t="str">
        <f t="shared" ca="1" si="150"/>
        <v>No</v>
      </c>
      <c r="J88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12001.307014274329</v>
      </c>
      <c r="K883" t="str">
        <f ca="1">IF(Tabla2[[#This Row],[¿cliente deuda abierta?]]="Sí", Tabla2[[#This Row],[Deuda actual]]*Tabla2[[#This Row],[diferencia de días]], "0")</f>
        <v>0</v>
      </c>
      <c r="L88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8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8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83">
        <f t="shared" ca="1" si="151"/>
        <v>1876.88</v>
      </c>
      <c r="P883">
        <f t="shared" ca="1" si="152"/>
        <v>60162.5</v>
      </c>
      <c r="Q883">
        <f t="shared" ca="1" si="153"/>
        <v>4</v>
      </c>
      <c r="R883">
        <f ca="1">((Tabla2[[#This Row],[Fantasma Comunicación]]+1)/(Tabla2[[#This Row],[Fantasma Comunicación]]+RANDBETWEEN(0,5)+2))-0.5</f>
        <v>0.33333333333333337</v>
      </c>
      <c r="S883">
        <f ca="1">1+MAX(0,Tabla2[[#This Row],[Deuda actual]]/Tabla2[[#This Row],[Liquidez]]+Tabla2[[#This Row],[Liquidez]]/(Tabla2[[#This Row],[Activos]]+Tabla2[[#This Row],[Liquidez]])+Tabla2[[#This Row],[Comunicación]])</f>
        <v>2.8247613044412558</v>
      </c>
      <c r="T883">
        <f ca="1">Tabla2[[#This Row],[Deuda actual]]*EXP(Tabla2[[#This Row],[Ki]]*Tabla2[[#This Row],[diferencia de días]])*(1+Tabla2[[#This Row],[Hg]])</f>
        <v>2473.6410284387512</v>
      </c>
    </row>
    <row r="884" spans="1:20" ht="14.5" x14ac:dyDescent="0.35">
      <c r="A884">
        <f t="shared" ref="A884:A915" si="154">A883+1</f>
        <v>2</v>
      </c>
      <c r="B884">
        <f t="shared" ca="1" si="144"/>
        <v>46087</v>
      </c>
      <c r="C884">
        <f t="shared" ca="1" si="145"/>
        <v>46157</v>
      </c>
      <c r="D884">
        <f t="shared" ca="1" si="146"/>
        <v>25</v>
      </c>
      <c r="E884">
        <f t="shared" ca="1" si="147"/>
        <v>0.32198436175395206</v>
      </c>
      <c r="F884">
        <f t="shared" ca="1" si="148"/>
        <v>10000</v>
      </c>
      <c r="G884" t="str">
        <f t="shared" ca="1" si="149"/>
        <v>personal</v>
      </c>
      <c r="H88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84" t="str">
        <f t="shared" ca="1" si="150"/>
        <v>Sí</v>
      </c>
      <c r="J88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84">
        <f ca="1">IF(Tabla2[[#This Row],[¿cliente deuda abierta?]]="Sí", Tabla2[[#This Row],[Deuda actual]]*Tabla2[[#This Row],[diferencia de días]], "0")</f>
        <v>250000</v>
      </c>
      <c r="L88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0.2</v>
      </c>
      <c r="M88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84">
        <f ca="1">MAX(Tabla2[[#This Row],[VALORES DE Hg para actuales deudores]:[Valores de HG para deudores cerrados]])*IF(Tabla2[[#This Row],[VALORES DE Hg para actuales deudores]]&gt;Tabla2[[#This Row],[Valores de HG para deudores cerrados]],-1,1)</f>
        <v>0.2</v>
      </c>
      <c r="O884">
        <f t="shared" ca="1" si="151"/>
        <v>1577.62</v>
      </c>
      <c r="P884">
        <f t="shared" ca="1" si="152"/>
        <v>117621.92</v>
      </c>
      <c r="Q884">
        <f t="shared" ca="1" si="153"/>
        <v>5</v>
      </c>
      <c r="R884">
        <f ca="1">((Tabla2[[#This Row],[Fantasma Comunicación]]+1)/(Tabla2[[#This Row],[Fantasma Comunicación]]+RANDBETWEEN(0,5)+2))-0.5</f>
        <v>0.16666666666666663</v>
      </c>
      <c r="S884">
        <f ca="1">1+MAX(0,Tabla2[[#This Row],[Deuda actual]]/Tabla2[[#This Row],[Liquidez]]+Tabla2[[#This Row],[Liquidez]]/(Tabla2[[#This Row],[Activos]]+Tabla2[[#This Row],[Liquidez]])+Tabla2[[#This Row],[Comunicación]])</f>
        <v>7.5185638200734886</v>
      </c>
      <c r="T884">
        <f ca="1">Tabla2[[#This Row],[Deuda actual]]*EXP(Tabla2[[#This Row],[Ki]]*Tabla2[[#This Row],[diferencia de días]])*(1+Tabla2[[#This Row],[Hg]])</f>
        <v>12120.602005010014</v>
      </c>
    </row>
    <row r="885" spans="1:20" ht="14.5" x14ac:dyDescent="0.35">
      <c r="A885">
        <f t="shared" si="154"/>
        <v>3</v>
      </c>
      <c r="B885">
        <f t="shared" ca="1" si="144"/>
        <v>46124</v>
      </c>
      <c r="C885">
        <f t="shared" ca="1" si="145"/>
        <v>46157</v>
      </c>
      <c r="D885">
        <f t="shared" ca="1" si="146"/>
        <v>1</v>
      </c>
      <c r="E885">
        <f t="shared" ca="1" si="147"/>
        <v>0.40506858275589563</v>
      </c>
      <c r="F885">
        <f t="shared" ca="1" si="148"/>
        <v>1186.54</v>
      </c>
      <c r="G885" t="str">
        <f t="shared" ca="1" si="149"/>
        <v>personal</v>
      </c>
      <c r="H88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85" t="str">
        <f t="shared" ca="1" si="150"/>
        <v>Sí</v>
      </c>
      <c r="J88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85">
        <f ca="1">IF(Tabla2[[#This Row],[¿cliente deuda abierta?]]="Sí", Tabla2[[#This Row],[Deuda actual]]*Tabla2[[#This Row],[diferencia de días]], "0")</f>
        <v>1186.54</v>
      </c>
      <c r="L88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8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8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85">
        <f t="shared" ca="1" si="151"/>
        <v>1094.18</v>
      </c>
      <c r="P885">
        <f t="shared" ca="1" si="152"/>
        <v>317038.33</v>
      </c>
      <c r="Q885">
        <f t="shared" ca="1" si="153"/>
        <v>3</v>
      </c>
      <c r="R885">
        <f ca="1">((Tabla2[[#This Row],[Fantasma Comunicación]]+1)/(Tabla2[[#This Row],[Fantasma Comunicación]]+RANDBETWEEN(0,5)+2))-0.5</f>
        <v>0.30000000000000004</v>
      </c>
      <c r="S885">
        <f ca="1">1+MAX(0,Tabla2[[#This Row],[Deuda actual]]/Tabla2[[#This Row],[Liquidez]]+Tabla2[[#This Row],[Liquidez]]/(Tabla2[[#This Row],[Activos]]+Tabla2[[#This Row],[Liquidez]])+Tabla2[[#This Row],[Comunicación]])</f>
        <v>2.3878496277122729</v>
      </c>
      <c r="T885">
        <f ca="1">Tabla2[[#This Row],[Deuda actual]]*EXP(Tabla2[[#This Row],[Ki]]*Tabla2[[#This Row],[diferencia de días]])*(1+Tabla2[[#This Row],[Hg]])</f>
        <v>1246.1161983190013</v>
      </c>
    </row>
    <row r="886" spans="1:20" ht="14.5" x14ac:dyDescent="0.35">
      <c r="A886">
        <f t="shared" si="154"/>
        <v>4</v>
      </c>
      <c r="B886">
        <f t="shared" ca="1" si="144"/>
        <v>46132</v>
      </c>
      <c r="C886">
        <f t="shared" ca="1" si="145"/>
        <v>46157</v>
      </c>
      <c r="D886">
        <f t="shared" ca="1" si="146"/>
        <v>68</v>
      </c>
      <c r="E886">
        <f t="shared" ca="1" si="147"/>
        <v>0.4195927898534686</v>
      </c>
      <c r="F886">
        <f t="shared" ca="1" si="148"/>
        <v>2839.9</v>
      </c>
      <c r="G886" t="str">
        <f t="shared" ca="1" si="149"/>
        <v>personal</v>
      </c>
      <c r="H88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886" t="str">
        <f t="shared" ca="1" si="150"/>
        <v>Sí</v>
      </c>
      <c r="J88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86">
        <f ca="1">IF(Tabla2[[#This Row],[¿cliente deuda abierta?]]="Sí", Tabla2[[#This Row],[Deuda actual]]*Tabla2[[#This Row],[diferencia de días]], "0")</f>
        <v>193113.2</v>
      </c>
      <c r="L88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88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86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886">
        <f t="shared" ca="1" si="151"/>
        <v>1559.91</v>
      </c>
      <c r="P886">
        <f t="shared" ca="1" si="152"/>
        <v>258499.36</v>
      </c>
      <c r="Q886">
        <f t="shared" ca="1" si="153"/>
        <v>2</v>
      </c>
      <c r="R886">
        <f ca="1">((Tabla2[[#This Row],[Fantasma Comunicación]]+1)/(Tabla2[[#This Row],[Fantasma Comunicación]]+RANDBETWEEN(0,5)+2))-0.5</f>
        <v>-7.1428571428571452E-2</v>
      </c>
      <c r="S886">
        <f ca="1">1+MAX(0,Tabla2[[#This Row],[Deuda actual]]/Tabla2[[#This Row],[Liquidez]]+Tabla2[[#This Row],[Liquidez]]/(Tabla2[[#This Row],[Activos]]+Tabla2[[#This Row],[Liquidez]])+Tabla2[[#This Row],[Comunicación]])</f>
        <v>2.7551234649347984</v>
      </c>
      <c r="T886">
        <f ca="1">Tabla2[[#This Row],[Deuda actual]]*EXP(Tabla2[[#This Row],[Ki]]*Tabla2[[#This Row],[diferencia de días]])*(1+Tabla2[[#This Row],[Hg]])</f>
        <v>3495.6900054812018</v>
      </c>
    </row>
    <row r="887" spans="1:20" ht="14.5" x14ac:dyDescent="0.35">
      <c r="A887">
        <f t="shared" si="154"/>
        <v>5</v>
      </c>
      <c r="B887">
        <f t="shared" ca="1" si="144"/>
        <v>46094</v>
      </c>
      <c r="C887">
        <f t="shared" ca="1" si="145"/>
        <v>46157</v>
      </c>
      <c r="D887">
        <f t="shared" ca="1" si="146"/>
        <v>24</v>
      </c>
      <c r="E887">
        <f t="shared" ca="1" si="147"/>
        <v>0.96101269816617174</v>
      </c>
      <c r="F887">
        <f t="shared" ca="1" si="148"/>
        <v>926.4</v>
      </c>
      <c r="G887" t="str">
        <f t="shared" ca="1" si="149"/>
        <v>personal</v>
      </c>
      <c r="H88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87" t="str">
        <f t="shared" ca="1" si="150"/>
        <v>Sí</v>
      </c>
      <c r="J88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87">
        <f ca="1">IF(Tabla2[[#This Row],[¿cliente deuda abierta?]]="Sí", Tabla2[[#This Row],[Deuda actual]]*Tabla2[[#This Row],[diferencia de días]], "0")</f>
        <v>22233.599999999999</v>
      </c>
      <c r="L88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8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8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87">
        <f t="shared" ca="1" si="151"/>
        <v>1981.47</v>
      </c>
      <c r="P887">
        <f t="shared" ca="1" si="152"/>
        <v>144629.12</v>
      </c>
      <c r="Q887">
        <f t="shared" ca="1" si="153"/>
        <v>4</v>
      </c>
      <c r="R887">
        <f ca="1">((Tabla2[[#This Row],[Fantasma Comunicación]]+1)/(Tabla2[[#This Row],[Fantasma Comunicación]]+RANDBETWEEN(0,5)+2))-0.5</f>
        <v>0.2142857142857143</v>
      </c>
      <c r="S887">
        <f ca="1">1+MAX(0,Tabla2[[#This Row],[Deuda actual]]/Tabla2[[#This Row],[Liquidez]]+Tabla2[[#This Row],[Liquidez]]/(Tabla2[[#This Row],[Activos]]+Tabla2[[#This Row],[Liquidez]])+Tabla2[[#This Row],[Comunicación]])</f>
        <v>1.6953325854477646</v>
      </c>
      <c r="T887">
        <f ca="1">Tabla2[[#This Row],[Deuda actual]]*EXP(Tabla2[[#This Row],[Ki]]*Tabla2[[#This Row],[diferencia de días]])*(1+Tabla2[[#This Row],[Hg]])</f>
        <v>982.10307871590248</v>
      </c>
    </row>
    <row r="888" spans="1:20" ht="14.5" x14ac:dyDescent="0.35">
      <c r="A888">
        <f t="shared" si="154"/>
        <v>6</v>
      </c>
      <c r="B888">
        <f t="shared" ca="1" si="144"/>
        <v>46141</v>
      </c>
      <c r="C888">
        <f t="shared" ca="1" si="145"/>
        <v>46157</v>
      </c>
      <c r="D888">
        <f t="shared" ca="1" si="146"/>
        <v>17</v>
      </c>
      <c r="E888">
        <f t="shared" ca="1" si="147"/>
        <v>0.77170712915038764</v>
      </c>
      <c r="F888">
        <f t="shared" ca="1" si="148"/>
        <v>848.59</v>
      </c>
      <c r="G888" t="str">
        <f t="shared" ca="1" si="149"/>
        <v>personal</v>
      </c>
      <c r="H88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88" t="str">
        <f t="shared" ca="1" si="150"/>
        <v>No</v>
      </c>
      <c r="J88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11999.283037229279</v>
      </c>
      <c r="K888" t="str">
        <f ca="1">IF(Tabla2[[#This Row],[¿cliente deuda abierta?]]="Sí", Tabla2[[#This Row],[Deuda actual]]*Tabla2[[#This Row],[diferencia de días]], "0")</f>
        <v>0</v>
      </c>
      <c r="L88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8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8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88">
        <f t="shared" ca="1" si="151"/>
        <v>1511.77</v>
      </c>
      <c r="P888">
        <f t="shared" ca="1" si="152"/>
        <v>52461.64</v>
      </c>
      <c r="Q888">
        <f t="shared" ca="1" si="153"/>
        <v>5</v>
      </c>
      <c r="R888">
        <f ca="1">((Tabla2[[#This Row],[Fantasma Comunicación]]+1)/(Tabla2[[#This Row],[Fantasma Comunicación]]+RANDBETWEEN(0,5)+2))-0.5</f>
        <v>0</v>
      </c>
      <c r="S888">
        <f ca="1">1+MAX(0,Tabla2[[#This Row],[Deuda actual]]/Tabla2[[#This Row],[Liquidez]]+Tabla2[[#This Row],[Liquidez]]/(Tabla2[[#This Row],[Activos]]+Tabla2[[#This Row],[Liquidez]])+Tabla2[[#This Row],[Comunicación]])</f>
        <v>1.5893316916361866</v>
      </c>
      <c r="T888">
        <f ca="1">Tabla2[[#This Row],[Deuda actual]]*EXP(Tabla2[[#This Row],[Ki]]*Tabla2[[#This Row],[diferencia de días]])*(1+Tabla2[[#This Row],[Hg]])</f>
        <v>768.94206835243051</v>
      </c>
    </row>
    <row r="889" spans="1:20" ht="14.5" x14ac:dyDescent="0.35">
      <c r="A889">
        <f t="shared" si="154"/>
        <v>7</v>
      </c>
      <c r="B889">
        <f t="shared" ca="1" si="144"/>
        <v>46122</v>
      </c>
      <c r="C889">
        <f t="shared" ca="1" si="145"/>
        <v>46157</v>
      </c>
      <c r="D889">
        <f t="shared" ca="1" si="146"/>
        <v>2</v>
      </c>
      <c r="E889">
        <f t="shared" ca="1" si="147"/>
        <v>0.60826256988509708</v>
      </c>
      <c r="F889">
        <f t="shared" ca="1" si="148"/>
        <v>610.63</v>
      </c>
      <c r="G889" t="str">
        <f t="shared" ca="1" si="149"/>
        <v>hipotecario</v>
      </c>
      <c r="H88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89" t="str">
        <f t="shared" ca="1" si="150"/>
        <v>Sí</v>
      </c>
      <c r="J88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89">
        <f ca="1">IF(Tabla2[[#This Row],[¿cliente deuda abierta?]]="Sí", Tabla2[[#This Row],[Deuda actual]]*Tabla2[[#This Row],[diferencia de días]], "0")</f>
        <v>1221.26</v>
      </c>
      <c r="L88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8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8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89">
        <f t="shared" ca="1" si="151"/>
        <v>1762.48</v>
      </c>
      <c r="P889">
        <f t="shared" ca="1" si="152"/>
        <v>112671.42</v>
      </c>
      <c r="Q889">
        <f t="shared" ca="1" si="153"/>
        <v>0</v>
      </c>
      <c r="R889">
        <f ca="1">((Tabla2[[#This Row],[Fantasma Comunicación]]+1)/(Tabla2[[#This Row],[Fantasma Comunicación]]+RANDBETWEEN(0,5)+2))-0.5</f>
        <v>-0.25</v>
      </c>
      <c r="S889">
        <f ca="1">1+MAX(0,Tabla2[[#This Row],[Deuda actual]]/Tabla2[[#This Row],[Liquidez]]+Tabla2[[#This Row],[Liquidez]]/(Tabla2[[#This Row],[Activos]]+Tabla2[[#This Row],[Liquidez]])+Tabla2[[#This Row],[Comunicación]])</f>
        <v>1.1118623987894236</v>
      </c>
      <c r="T889">
        <f ca="1">Tabla2[[#This Row],[Deuda actual]]*EXP(Tabla2[[#This Row],[Ki]]*Tabla2[[#This Row],[diferencia de días]])*(1+Tabla2[[#This Row],[Hg]])</f>
        <v>641.41801589975978</v>
      </c>
    </row>
    <row r="890" spans="1:20" ht="14.5" x14ac:dyDescent="0.35">
      <c r="A890">
        <f t="shared" si="154"/>
        <v>8</v>
      </c>
      <c r="B890">
        <f t="shared" ca="1" si="144"/>
        <v>46136</v>
      </c>
      <c r="C890">
        <f t="shared" ca="1" si="145"/>
        <v>46157</v>
      </c>
      <c r="D890">
        <f t="shared" ca="1" si="146"/>
        <v>1</v>
      </c>
      <c r="E890">
        <f t="shared" ca="1" si="147"/>
        <v>0.99401773565767337</v>
      </c>
      <c r="F890">
        <f t="shared" ca="1" si="148"/>
        <v>231.11</v>
      </c>
      <c r="G890" t="str">
        <f t="shared" ca="1" si="149"/>
        <v>personal</v>
      </c>
      <c r="H89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90" t="str">
        <f t="shared" ca="1" si="150"/>
        <v>Sí</v>
      </c>
      <c r="J89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90">
        <f ca="1">IF(Tabla2[[#This Row],[¿cliente deuda abierta?]]="Sí", Tabla2[[#This Row],[Deuda actual]]*Tabla2[[#This Row],[diferencia de días]], "0")</f>
        <v>231.11</v>
      </c>
      <c r="L89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9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9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90">
        <f t="shared" ca="1" si="151"/>
        <v>1508.58</v>
      </c>
      <c r="P890">
        <f t="shared" ca="1" si="152"/>
        <v>155427.09</v>
      </c>
      <c r="Q890">
        <f t="shared" ca="1" si="153"/>
        <v>1</v>
      </c>
      <c r="R890">
        <f ca="1">((Tabla2[[#This Row],[Fantasma Comunicación]]+1)/(Tabla2[[#This Row],[Fantasma Comunicación]]+RANDBETWEEN(0,5)+2))-0.5</f>
        <v>-0.2142857142857143</v>
      </c>
      <c r="S890">
        <f ca="1">1+MAX(0,Tabla2[[#This Row],[Deuda actual]]/Tabla2[[#This Row],[Liquidez]]+Tabla2[[#This Row],[Liquidez]]/(Tabla2[[#This Row],[Activos]]+Tabla2[[#This Row],[Liquidez]])+Tabla2[[#This Row],[Comunicación]])</f>
        <v>1</v>
      </c>
      <c r="T890">
        <f ca="1">Tabla2[[#This Row],[Deuda actual]]*EXP(Tabla2[[#This Row],[Ki]]*Tabla2[[#This Row],[diferencia de días]])*(1+Tabla2[[#This Row],[Hg]])</f>
        <v>242.71403795363361</v>
      </c>
    </row>
    <row r="891" spans="1:20" ht="14.5" x14ac:dyDescent="0.35">
      <c r="A891">
        <f t="shared" si="154"/>
        <v>9</v>
      </c>
      <c r="B891">
        <f t="shared" ca="1" si="144"/>
        <v>46109</v>
      </c>
      <c r="C891">
        <f t="shared" ca="1" si="145"/>
        <v>46157</v>
      </c>
      <c r="D891">
        <f t="shared" ca="1" si="146"/>
        <v>37</v>
      </c>
      <c r="E891">
        <f t="shared" ca="1" si="147"/>
        <v>0.42489444422090183</v>
      </c>
      <c r="F891">
        <f t="shared" ca="1" si="148"/>
        <v>3465.7</v>
      </c>
      <c r="G891" t="str">
        <f t="shared" ca="1" si="149"/>
        <v>personal</v>
      </c>
      <c r="H89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891" t="str">
        <f t="shared" ca="1" si="150"/>
        <v>Sí</v>
      </c>
      <c r="J89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91">
        <f ca="1">IF(Tabla2[[#This Row],[¿cliente deuda abierta?]]="Sí", Tabla2[[#This Row],[Deuda actual]]*Tabla2[[#This Row],[diferencia de días]], "0")</f>
        <v>128230.9</v>
      </c>
      <c r="L89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89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91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891">
        <f t="shared" ca="1" si="151"/>
        <v>1792.32</v>
      </c>
      <c r="P891">
        <f t="shared" ca="1" si="152"/>
        <v>154246.03</v>
      </c>
      <c r="Q891">
        <f t="shared" ca="1" si="153"/>
        <v>5</v>
      </c>
      <c r="R891">
        <f ca="1">((Tabla2[[#This Row],[Fantasma Comunicación]]+1)/(Tabla2[[#This Row],[Fantasma Comunicación]]+RANDBETWEEN(0,5)+2))-0.5</f>
        <v>4.5454545454545414E-2</v>
      </c>
      <c r="S891">
        <f ca="1">1+MAX(0,Tabla2[[#This Row],[Deuda actual]]/Tabla2[[#This Row],[Liquidez]]+Tabla2[[#This Row],[Liquidez]]/(Tabla2[[#This Row],[Activos]]+Tabla2[[#This Row],[Liquidez]])+Tabla2[[#This Row],[Comunicación]])</f>
        <v>2.9905800347887794</v>
      </c>
      <c r="T891">
        <f ca="1">Tabla2[[#This Row],[Deuda actual]]*EXP(Tabla2[[#This Row],[Ki]]*Tabla2[[#This Row],[diferencia de días]])*(1+Tabla2[[#This Row],[Hg]])</f>
        <v>4135.7826076666215</v>
      </c>
    </row>
    <row r="892" spans="1:20" ht="14.5" x14ac:dyDescent="0.35">
      <c r="A892">
        <f t="shared" si="154"/>
        <v>10</v>
      </c>
      <c r="B892">
        <f t="shared" ca="1" si="144"/>
        <v>46093</v>
      </c>
      <c r="C892">
        <f t="shared" ca="1" si="145"/>
        <v>46157</v>
      </c>
      <c r="D892">
        <f t="shared" ca="1" si="146"/>
        <v>13</v>
      </c>
      <c r="E892">
        <f t="shared" ca="1" si="147"/>
        <v>0.25561001519081172</v>
      </c>
      <c r="F892">
        <f t="shared" ca="1" si="148"/>
        <v>6071.11</v>
      </c>
      <c r="G892" t="str">
        <f t="shared" ca="1" si="149"/>
        <v>personal</v>
      </c>
      <c r="H89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92" t="str">
        <f t="shared" ca="1" si="150"/>
        <v>Sí</v>
      </c>
      <c r="J89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92">
        <f ca="1">IF(Tabla2[[#This Row],[¿cliente deuda abierta?]]="Sí", Tabla2[[#This Row],[Deuda actual]]*Tabla2[[#This Row],[diferencia de días]], "0")</f>
        <v>78924.429999999993</v>
      </c>
      <c r="L89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89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92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892">
        <f t="shared" ca="1" si="151"/>
        <v>1775.7</v>
      </c>
      <c r="P892">
        <f t="shared" ca="1" si="152"/>
        <v>172483.69</v>
      </c>
      <c r="Q892">
        <f t="shared" ca="1" si="153"/>
        <v>4</v>
      </c>
      <c r="R892">
        <f ca="1">((Tabla2[[#This Row],[Fantasma Comunicación]]+1)/(Tabla2[[#This Row],[Fantasma Comunicación]]+RANDBETWEEN(0,5)+2))-0.5</f>
        <v>0.33333333333333337</v>
      </c>
      <c r="S892">
        <f ca="1">1+MAX(0,Tabla2[[#This Row],[Deuda actual]]/Tabla2[[#This Row],[Liquidez]]+Tabla2[[#This Row],[Liquidez]]/(Tabla2[[#This Row],[Activos]]+Tabla2[[#This Row],[Liquidez]])+Tabla2[[#This Row],[Comunicación]])</f>
        <v>4.7625186408481603</v>
      </c>
      <c r="T892">
        <f ca="1">Tabla2[[#This Row],[Deuda actual]]*EXP(Tabla2[[#This Row],[Ki]]*Tabla2[[#This Row],[diferencia de días]])*(1+Tabla2[[#This Row],[Hg]])</f>
        <v>6999.9527377698205</v>
      </c>
    </row>
    <row r="893" spans="1:20" ht="14.5" x14ac:dyDescent="0.35">
      <c r="A893">
        <f t="shared" si="154"/>
        <v>11</v>
      </c>
      <c r="B893">
        <f t="shared" ca="1" si="144"/>
        <v>46112</v>
      </c>
      <c r="C893">
        <f t="shared" ca="1" si="145"/>
        <v>46157</v>
      </c>
      <c r="D893">
        <f t="shared" ca="1" si="146"/>
        <v>33</v>
      </c>
      <c r="E893">
        <f t="shared" ca="1" si="147"/>
        <v>0.37864679312757099</v>
      </c>
      <c r="F893">
        <f t="shared" ca="1" si="148"/>
        <v>1984.24</v>
      </c>
      <c r="G893" t="str">
        <f t="shared" ca="1" si="149"/>
        <v>hipotecario</v>
      </c>
      <c r="H89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893" t="str">
        <f t="shared" ca="1" si="150"/>
        <v>Sí</v>
      </c>
      <c r="J89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93">
        <f ca="1">IF(Tabla2[[#This Row],[¿cliente deuda abierta?]]="Sí", Tabla2[[#This Row],[Deuda actual]]*Tabla2[[#This Row],[diferencia de días]], "0")</f>
        <v>65479.92</v>
      </c>
      <c r="L89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89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93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893">
        <f t="shared" ca="1" si="151"/>
        <v>2482.4899999999998</v>
      </c>
      <c r="P893">
        <f t="shared" ca="1" si="152"/>
        <v>57192.800000000003</v>
      </c>
      <c r="Q893">
        <f t="shared" ca="1" si="153"/>
        <v>3</v>
      </c>
      <c r="R893">
        <f ca="1">((Tabla2[[#This Row],[Fantasma Comunicación]]+1)/(Tabla2[[#This Row],[Fantasma Comunicación]]+RANDBETWEEN(0,5)+2))-0.5</f>
        <v>0.30000000000000004</v>
      </c>
      <c r="S893">
        <f ca="1">1+MAX(0,Tabla2[[#This Row],[Deuda actual]]/Tabla2[[#This Row],[Liquidez]]+Tabla2[[#This Row],[Liquidez]]/(Tabla2[[#This Row],[Activos]]+Tabla2[[#This Row],[Liquidez]])+Tabla2[[#This Row],[Comunicación]])</f>
        <v>2.1408942223886789</v>
      </c>
      <c r="T893">
        <f ca="1">Tabla2[[#This Row],[Deuda actual]]*EXP(Tabla2[[#This Row],[Ki]]*Tabla2[[#This Row],[diferencia de días]])*(1+Tabla2[[#This Row],[Hg]])</f>
        <v>2358.4341702817933</v>
      </c>
    </row>
    <row r="894" spans="1:20" ht="14.5" x14ac:dyDescent="0.35">
      <c r="A894">
        <f t="shared" si="154"/>
        <v>12</v>
      </c>
      <c r="B894">
        <f t="shared" ca="1" si="144"/>
        <v>46108</v>
      </c>
      <c r="C894">
        <f t="shared" ca="1" si="145"/>
        <v>46157</v>
      </c>
      <c r="D894">
        <f t="shared" ca="1" si="146"/>
        <v>23</v>
      </c>
      <c r="E894">
        <f t="shared" ca="1" si="147"/>
        <v>0.93720529274795594</v>
      </c>
      <c r="F894">
        <f t="shared" ca="1" si="148"/>
        <v>545.37</v>
      </c>
      <c r="G894" t="str">
        <f t="shared" ca="1" si="149"/>
        <v>hipotecario</v>
      </c>
      <c r="H89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94" t="str">
        <f t="shared" ca="1" si="150"/>
        <v>No</v>
      </c>
      <c r="J89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165000.31190928098</v>
      </c>
      <c r="K894" t="str">
        <f ca="1">IF(Tabla2[[#This Row],[¿cliente deuda abierta?]]="Sí", Tabla2[[#This Row],[Deuda actual]]*Tabla2[[#This Row],[diferencia de días]], "0")</f>
        <v>0</v>
      </c>
      <c r="L89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9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894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894">
        <f t="shared" ca="1" si="151"/>
        <v>1460.74</v>
      </c>
      <c r="P894">
        <f t="shared" ca="1" si="152"/>
        <v>38374.79</v>
      </c>
      <c r="Q894">
        <f t="shared" ca="1" si="153"/>
        <v>1</v>
      </c>
      <c r="R894">
        <f ca="1">((Tabla2[[#This Row],[Fantasma Comunicación]]+1)/(Tabla2[[#This Row],[Fantasma Comunicación]]+RANDBETWEEN(0,5)+2))-0.5</f>
        <v>0</v>
      </c>
      <c r="S894">
        <f ca="1">1+MAX(0,Tabla2[[#This Row],[Deuda actual]]/Tabla2[[#This Row],[Liquidez]]+Tabla2[[#This Row],[Liquidez]]/(Tabla2[[#This Row],[Activos]]+Tabla2[[#This Row],[Liquidez]])+Tabla2[[#This Row],[Comunicación]])</f>
        <v>1.4100211376455274</v>
      </c>
      <c r="T894">
        <f ca="1">Tabla2[[#This Row],[Deuda actual]]*EXP(Tabla2[[#This Row],[Ki]]*Tabla2[[#This Row],[diferencia de días]])*(1+Tabla2[[#This Row],[Hg]])</f>
        <v>440.32844400026971</v>
      </c>
    </row>
    <row r="895" spans="1:20" ht="14.5" x14ac:dyDescent="0.35">
      <c r="A895">
        <f t="shared" si="154"/>
        <v>13</v>
      </c>
      <c r="B895">
        <f t="shared" ca="1" si="144"/>
        <v>46103</v>
      </c>
      <c r="C895">
        <f t="shared" ca="1" si="145"/>
        <v>46157</v>
      </c>
      <c r="D895">
        <f t="shared" ca="1" si="146"/>
        <v>48</v>
      </c>
      <c r="E895">
        <f t="shared" ca="1" si="147"/>
        <v>0.8637666073242124</v>
      </c>
      <c r="F895">
        <f t="shared" ca="1" si="148"/>
        <v>2276.23</v>
      </c>
      <c r="G895" t="str">
        <f t="shared" ca="1" si="149"/>
        <v>personal</v>
      </c>
      <c r="H89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895" t="str">
        <f t="shared" ca="1" si="150"/>
        <v>No</v>
      </c>
      <c r="J89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11998.024938022534</v>
      </c>
      <c r="K895" t="str">
        <f ca="1">IF(Tabla2[[#This Row],[¿cliente deuda abierta?]]="Sí", Tabla2[[#This Row],[Deuda actual]]*Tabla2[[#This Row],[diferencia de días]], "0")</f>
        <v>0</v>
      </c>
      <c r="L89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9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9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95">
        <f t="shared" ca="1" si="151"/>
        <v>1598.12</v>
      </c>
      <c r="P895">
        <f t="shared" ca="1" si="152"/>
        <v>114630.14</v>
      </c>
      <c r="Q895">
        <f t="shared" ca="1" si="153"/>
        <v>1</v>
      </c>
      <c r="R895">
        <f ca="1">((Tabla2[[#This Row],[Fantasma Comunicación]]+1)/(Tabla2[[#This Row],[Fantasma Comunicación]]+RANDBETWEEN(0,5)+2))-0.5</f>
        <v>-9.9999999999999978E-2</v>
      </c>
      <c r="S895">
        <f ca="1">1+MAX(0,Tabla2[[#This Row],[Deuda actual]]/Tabla2[[#This Row],[Liquidez]]+Tabla2[[#This Row],[Liquidez]]/(Tabla2[[#This Row],[Activos]]+Tabla2[[#This Row],[Liquidez]])+Tabla2[[#This Row],[Comunicación]])</f>
        <v>2.3380671630395207</v>
      </c>
      <c r="T895">
        <f ca="1">Tabla2[[#This Row],[Deuda actual]]*EXP(Tabla2[[#This Row],[Ki]]*Tabla2[[#This Row],[diferencia de días]])*(1+Tabla2[[#This Row],[Hg]])</f>
        <v>2149.338348692298</v>
      </c>
    </row>
    <row r="896" spans="1:20" ht="14.5" x14ac:dyDescent="0.35">
      <c r="A896">
        <f t="shared" si="154"/>
        <v>14</v>
      </c>
      <c r="B896">
        <f t="shared" ca="1" si="144"/>
        <v>46097</v>
      </c>
      <c r="C896">
        <f t="shared" ca="1" si="145"/>
        <v>46157</v>
      </c>
      <c r="D896">
        <f t="shared" ca="1" si="146"/>
        <v>25</v>
      </c>
      <c r="E896">
        <f t="shared" ca="1" si="147"/>
        <v>0.45928849736875776</v>
      </c>
      <c r="F896">
        <f t="shared" ca="1" si="148"/>
        <v>2029.16</v>
      </c>
      <c r="G896" t="str">
        <f t="shared" ca="1" si="149"/>
        <v>personal</v>
      </c>
      <c r="H89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896" t="str">
        <f t="shared" ca="1" si="150"/>
        <v>No</v>
      </c>
      <c r="J89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11999.202786090782</v>
      </c>
      <c r="K896" t="str">
        <f ca="1">IF(Tabla2[[#This Row],[¿cliente deuda abierta?]]="Sí", Tabla2[[#This Row],[Deuda actual]]*Tabla2[[#This Row],[diferencia de días]], "0")</f>
        <v>0</v>
      </c>
      <c r="L89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9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896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896">
        <f t="shared" ca="1" si="151"/>
        <v>1755.51</v>
      </c>
      <c r="P896">
        <f t="shared" ca="1" si="152"/>
        <v>111741.67</v>
      </c>
      <c r="Q896">
        <f t="shared" ca="1" si="153"/>
        <v>1</v>
      </c>
      <c r="R896">
        <f ca="1">((Tabla2[[#This Row],[Fantasma Comunicación]]+1)/(Tabla2[[#This Row],[Fantasma Comunicación]]+RANDBETWEEN(0,5)+2))-0.5</f>
        <v>-0.2142857142857143</v>
      </c>
      <c r="S896">
        <f ca="1">1+MAX(0,Tabla2[[#This Row],[Deuda actual]]/Tabla2[[#This Row],[Liquidez]]+Tabla2[[#This Row],[Liquidez]]/(Tabla2[[#This Row],[Activos]]+Tabla2[[#This Row],[Liquidez]])+Tabla2[[#This Row],[Comunicación]])</f>
        <v>1.9570623457555083</v>
      </c>
      <c r="T896">
        <f ca="1">Tabla2[[#This Row],[Deuda actual]]*EXP(Tabla2[[#This Row],[Ki]]*Tabla2[[#This Row],[diferencia de días]])*(1+Tabla2[[#This Row],[Hg]])</f>
        <v>1844.5980573364593</v>
      </c>
    </row>
    <row r="897" spans="1:20" ht="14.5" x14ac:dyDescent="0.35">
      <c r="A897">
        <f t="shared" si="154"/>
        <v>15</v>
      </c>
      <c r="B897">
        <f t="shared" ca="1" si="144"/>
        <v>46084</v>
      </c>
      <c r="C897">
        <f t="shared" ca="1" si="145"/>
        <v>46157</v>
      </c>
      <c r="D897">
        <f t="shared" ca="1" si="146"/>
        <v>4</v>
      </c>
      <c r="E897">
        <f t="shared" ca="1" si="147"/>
        <v>0.22938059198575855</v>
      </c>
      <c r="F897">
        <f t="shared" ca="1" si="148"/>
        <v>765.78</v>
      </c>
      <c r="G897" t="str">
        <f t="shared" ca="1" si="149"/>
        <v>personal</v>
      </c>
      <c r="H89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97" t="str">
        <f t="shared" ca="1" si="150"/>
        <v>Sí</v>
      </c>
      <c r="J89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97">
        <f ca="1">IF(Tabla2[[#This Row],[¿cliente deuda abierta?]]="Sí", Tabla2[[#This Row],[Deuda actual]]*Tabla2[[#This Row],[diferencia de días]], "0")</f>
        <v>3063.12</v>
      </c>
      <c r="L89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89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9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897">
        <f t="shared" ca="1" si="151"/>
        <v>1765.42</v>
      </c>
      <c r="P897">
        <f t="shared" ca="1" si="152"/>
        <v>66551.59</v>
      </c>
      <c r="Q897">
        <f t="shared" ca="1" si="153"/>
        <v>5</v>
      </c>
      <c r="R897">
        <f ca="1">((Tabla2[[#This Row],[Fantasma Comunicación]]+1)/(Tabla2[[#This Row],[Fantasma Comunicación]]+RANDBETWEEN(0,5)+2))-0.5</f>
        <v>0.16666666666666663</v>
      </c>
      <c r="S897">
        <f ca="1">1+MAX(0,Tabla2[[#This Row],[Deuda actual]]/Tabla2[[#This Row],[Liquidez]]+Tabla2[[#This Row],[Liquidez]]/(Tabla2[[#This Row],[Activos]]+Tabla2[[#This Row],[Liquidez]])+Tabla2[[#This Row],[Comunicación]])</f>
        <v>1.6262747234576511</v>
      </c>
      <c r="T897">
        <f ca="1">Tabla2[[#This Row],[Deuda actual]]*EXP(Tabla2[[#This Row],[Ki]]*Tabla2[[#This Row],[diferencia de días]])*(1+Tabla2[[#This Row],[Hg]])</f>
        <v>804.71251257070764</v>
      </c>
    </row>
    <row r="898" spans="1:20" ht="14.5" x14ac:dyDescent="0.35">
      <c r="A898">
        <f t="shared" si="154"/>
        <v>16</v>
      </c>
      <c r="B898">
        <f t="shared" ref="B898:B961" ca="1" si="155">RANDBETWEEN(DATE(2026,3,1), DATE(2026,5,1))</f>
        <v>46141</v>
      </c>
      <c r="C898">
        <f t="shared" ref="C898:C961" ca="1" si="156">TODAY()</f>
        <v>46157</v>
      </c>
      <c r="D898">
        <f t="shared" ref="D898:D961" ca="1" si="157">ROUND((-(15) * LN(RAND())),0)</f>
        <v>5</v>
      </c>
      <c r="E898">
        <f t="shared" ref="E898:E961" ca="1" si="158">RAND()</f>
        <v>0.97542876559186542</v>
      </c>
      <c r="F898">
        <f t="shared" ref="F898:F961" ca="1" si="159">ROUND(MIN(10000, _xlfn.LOGNORM.INV(RAND(), 69/10, 13/10)),2)</f>
        <v>8648.9500000000007</v>
      </c>
      <c r="G898" t="str">
        <f t="shared" ref="G898:G961" ca="1" si="160">IF(RAND()&lt;=0.5,"personal","hipotecario")</f>
        <v>personal</v>
      </c>
      <c r="H89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98" t="str">
        <f t="shared" ref="I898:I961" ca="1" si="161">IF(RAND()&lt;=0.65, "Sí", "No")</f>
        <v>Sí</v>
      </c>
      <c r="J89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898">
        <f ca="1">IF(Tabla2[[#This Row],[¿cliente deuda abierta?]]="Sí", Tabla2[[#This Row],[Deuda actual]]*Tabla2[[#This Row],[diferencia de días]], "0")</f>
        <v>43244.75</v>
      </c>
      <c r="L89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89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898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898">
        <f t="shared" ref="O898:O961" ca="1" si="162">ROUND(1000*(_xlfn.LOGNORM.INV(RAND(), 0.5, 0.2)),2)</f>
        <v>1521.62</v>
      </c>
      <c r="P898">
        <f t="shared" ref="P898:P961" ca="1" si="163">ROUND(50000*(_xlfn.LOGNORM.INV(RAND(), 1, 0.75)),2)</f>
        <v>374472.86</v>
      </c>
      <c r="Q898">
        <f t="shared" ref="Q898:Q961" ca="1" si="164">RANDBETWEEN(0,5)</f>
        <v>1</v>
      </c>
      <c r="R898">
        <f ca="1">((Tabla2[[#This Row],[Fantasma Comunicación]]+1)/(Tabla2[[#This Row],[Fantasma Comunicación]]+RANDBETWEEN(0,5)+2))-0.5</f>
        <v>-0.16666666666666669</v>
      </c>
      <c r="S898">
        <f ca="1">1+MAX(0,Tabla2[[#This Row],[Deuda actual]]/Tabla2[[#This Row],[Liquidez]]+Tabla2[[#This Row],[Liquidez]]/(Tabla2[[#This Row],[Activos]]+Tabla2[[#This Row],[Liquidez]])+Tabla2[[#This Row],[Comunicación]])</f>
        <v>6.5214209479191396</v>
      </c>
      <c r="T898">
        <f ca="1">Tabla2[[#This Row],[Deuda actual]]*EXP(Tabla2[[#This Row],[Ki]]*Tabla2[[#This Row],[diferencia de días]])*(1+Tabla2[[#This Row],[Hg]])</f>
        <v>9523.3636035085401</v>
      </c>
    </row>
    <row r="899" spans="1:20" ht="14.5" x14ac:dyDescent="0.35">
      <c r="A899">
        <f t="shared" si="154"/>
        <v>17</v>
      </c>
      <c r="B899">
        <f t="shared" ca="1" si="155"/>
        <v>46111</v>
      </c>
      <c r="C899">
        <f t="shared" ca="1" si="156"/>
        <v>46157</v>
      </c>
      <c r="D899">
        <f t="shared" ca="1" si="157"/>
        <v>1</v>
      </c>
      <c r="E899">
        <f t="shared" ca="1" si="158"/>
        <v>0.72612842033282154</v>
      </c>
      <c r="F899">
        <f t="shared" ca="1" si="159"/>
        <v>827.01</v>
      </c>
      <c r="G899" t="str">
        <f t="shared" ca="1" si="160"/>
        <v>hipotecario</v>
      </c>
      <c r="H89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899" t="str">
        <f t="shared" ca="1" si="161"/>
        <v>No</v>
      </c>
      <c r="J89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164999.4005431798</v>
      </c>
      <c r="K899" t="str">
        <f ca="1">IF(Tabla2[[#This Row],[¿cliente deuda abierta?]]="Sí", Tabla2[[#This Row],[Deuda actual]]*Tabla2[[#This Row],[diferencia de días]], "0")</f>
        <v>0</v>
      </c>
      <c r="L89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89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899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899">
        <f t="shared" ca="1" si="162"/>
        <v>1317.9</v>
      </c>
      <c r="P899">
        <f t="shared" ca="1" si="163"/>
        <v>182700.12</v>
      </c>
      <c r="Q899">
        <f t="shared" ca="1" si="164"/>
        <v>0</v>
      </c>
      <c r="R899">
        <f ca="1">((Tabla2[[#This Row],[Fantasma Comunicación]]+1)/(Tabla2[[#This Row],[Fantasma Comunicación]]+RANDBETWEEN(0,5)+2))-0.5</f>
        <v>0</v>
      </c>
      <c r="S899">
        <f ca="1">1+MAX(0,Tabla2[[#This Row],[Deuda actual]]/Tabla2[[#This Row],[Liquidez]]+Tabla2[[#This Row],[Liquidez]]/(Tabla2[[#This Row],[Activos]]+Tabla2[[#This Row],[Liquidez]])+Tabla2[[#This Row],[Comunicación]])</f>
        <v>1.6346828548366239</v>
      </c>
      <c r="T899">
        <f ca="1">Tabla2[[#This Row],[Deuda actual]]*EXP(Tabla2[[#This Row],[Ki]]*Tabla2[[#This Row],[diferencia de días]])*(1+Tabla2[[#This Row],[Hg]])</f>
        <v>661.7403348330422</v>
      </c>
    </row>
    <row r="900" spans="1:20" ht="14.5" x14ac:dyDescent="0.35">
      <c r="A900">
        <f t="shared" si="154"/>
        <v>18</v>
      </c>
      <c r="B900">
        <f t="shared" ca="1" si="155"/>
        <v>46089</v>
      </c>
      <c r="C900">
        <f t="shared" ca="1" si="156"/>
        <v>46157</v>
      </c>
      <c r="D900">
        <f t="shared" ca="1" si="157"/>
        <v>44</v>
      </c>
      <c r="E900">
        <f t="shared" ca="1" si="158"/>
        <v>0.72220625497261348</v>
      </c>
      <c r="F900">
        <f t="shared" ca="1" si="159"/>
        <v>244.1</v>
      </c>
      <c r="G900" t="str">
        <f t="shared" ca="1" si="160"/>
        <v>personal</v>
      </c>
      <c r="H90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900" t="str">
        <f t="shared" ca="1" si="161"/>
        <v>Sí</v>
      </c>
      <c r="J90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00">
        <f ca="1">IF(Tabla2[[#This Row],[¿cliente deuda abierta?]]="Sí", Tabla2[[#This Row],[Deuda actual]]*Tabla2[[#This Row],[diferencia de días]], "0")</f>
        <v>10740.4</v>
      </c>
      <c r="L90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0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0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00">
        <f t="shared" ca="1" si="162"/>
        <v>2135.1</v>
      </c>
      <c r="P900">
        <f t="shared" ca="1" si="163"/>
        <v>207516.18</v>
      </c>
      <c r="Q900">
        <f t="shared" ca="1" si="164"/>
        <v>3</v>
      </c>
      <c r="R900">
        <f ca="1">((Tabla2[[#This Row],[Fantasma Comunicación]]+1)/(Tabla2[[#This Row],[Fantasma Comunicación]]+RANDBETWEEN(0,5)+2))-0.5</f>
        <v>0.30000000000000004</v>
      </c>
      <c r="S900">
        <f ca="1">1+MAX(0,Tabla2[[#This Row],[Deuda actual]]/Tabla2[[#This Row],[Liquidez]]+Tabla2[[#This Row],[Liquidez]]/(Tabla2[[#This Row],[Activos]]+Tabla2[[#This Row],[Liquidez]])+Tabla2[[#This Row],[Comunicación]])</f>
        <v>1.424511251995916</v>
      </c>
      <c r="T900">
        <f ca="1">Tabla2[[#This Row],[Deuda actual]]*EXP(Tabla2[[#This Row],[Ki]]*Tabla2[[#This Row],[diferencia de días]])*(1+Tabla2[[#This Row],[Hg]])</f>
        <v>267.83420246968262</v>
      </c>
    </row>
    <row r="901" spans="1:20" ht="14.5" x14ac:dyDescent="0.35">
      <c r="A901">
        <f t="shared" si="154"/>
        <v>19</v>
      </c>
      <c r="B901">
        <f t="shared" ca="1" si="155"/>
        <v>46124</v>
      </c>
      <c r="C901">
        <f t="shared" ca="1" si="156"/>
        <v>46157</v>
      </c>
      <c r="D901">
        <f t="shared" ca="1" si="157"/>
        <v>15</v>
      </c>
      <c r="E901">
        <f t="shared" ca="1" si="158"/>
        <v>1.9287106630953121E-2</v>
      </c>
      <c r="F901">
        <f t="shared" ca="1" si="159"/>
        <v>252.84</v>
      </c>
      <c r="G901" t="str">
        <f t="shared" ca="1" si="160"/>
        <v>hipotecario</v>
      </c>
      <c r="H90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01" t="str">
        <f t="shared" ca="1" si="161"/>
        <v>Sí</v>
      </c>
      <c r="J90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01">
        <f ca="1">IF(Tabla2[[#This Row],[¿cliente deuda abierta?]]="Sí", Tabla2[[#This Row],[Deuda actual]]*Tabla2[[#This Row],[diferencia de días]], "0")</f>
        <v>3792.6</v>
      </c>
      <c r="L90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0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0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01">
        <f t="shared" ca="1" si="162"/>
        <v>1226.77</v>
      </c>
      <c r="P901">
        <f t="shared" ca="1" si="163"/>
        <v>88179.24</v>
      </c>
      <c r="Q901">
        <f t="shared" ca="1" si="164"/>
        <v>2</v>
      </c>
      <c r="R901">
        <f ca="1">((Tabla2[[#This Row],[Fantasma Comunicación]]+1)/(Tabla2[[#This Row],[Fantasma Comunicación]]+RANDBETWEEN(0,5)+2))-0.5</f>
        <v>-0.125</v>
      </c>
      <c r="S901">
        <f ca="1">1+MAX(0,Tabla2[[#This Row],[Deuda actual]]/Tabla2[[#This Row],[Liquidez]]+Tabla2[[#This Row],[Liquidez]]/(Tabla2[[#This Row],[Activos]]+Tabla2[[#This Row],[Liquidez]])+Tabla2[[#This Row],[Comunicación]])</f>
        <v>1.0948235404248996</v>
      </c>
      <c r="T901">
        <f ca="1">Tabla2[[#This Row],[Deuda actual]]*EXP(Tabla2[[#This Row],[Ki]]*Tabla2[[#This Row],[diferencia de días]])*(1+Tabla2[[#This Row],[Hg]])</f>
        <v>267.07968024770526</v>
      </c>
    </row>
    <row r="902" spans="1:20" ht="14.5" x14ac:dyDescent="0.35">
      <c r="A902">
        <f t="shared" si="154"/>
        <v>20</v>
      </c>
      <c r="B902">
        <f t="shared" ca="1" si="155"/>
        <v>46122</v>
      </c>
      <c r="C902">
        <f t="shared" ca="1" si="156"/>
        <v>46157</v>
      </c>
      <c r="D902">
        <f t="shared" ca="1" si="157"/>
        <v>2</v>
      </c>
      <c r="E902">
        <f t="shared" ca="1" si="158"/>
        <v>0.3017514797790144</v>
      </c>
      <c r="F902">
        <f t="shared" ca="1" si="159"/>
        <v>185.46</v>
      </c>
      <c r="G902" t="str">
        <f t="shared" ca="1" si="160"/>
        <v>hipotecario</v>
      </c>
      <c r="H90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02" t="str">
        <f t="shared" ca="1" si="161"/>
        <v>No</v>
      </c>
      <c r="J90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165000.3771098624</v>
      </c>
      <c r="K902" t="str">
        <f ca="1">IF(Tabla2[[#This Row],[¿cliente deuda abierta?]]="Sí", Tabla2[[#This Row],[Deuda actual]]*Tabla2[[#This Row],[diferencia de días]], "0")</f>
        <v>0</v>
      </c>
      <c r="L90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0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0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02">
        <f t="shared" ca="1" si="162"/>
        <v>1689.65</v>
      </c>
      <c r="P902">
        <f t="shared" ca="1" si="163"/>
        <v>122109.19</v>
      </c>
      <c r="Q902">
        <f t="shared" ca="1" si="164"/>
        <v>0</v>
      </c>
      <c r="R902">
        <f ca="1">((Tabla2[[#This Row],[Fantasma Comunicación]]+1)/(Tabla2[[#This Row],[Fantasma Comunicación]]+RANDBETWEEN(0,5)+2))-0.5</f>
        <v>-0.3</v>
      </c>
      <c r="S902">
        <f ca="1">1+MAX(0,Tabla2[[#This Row],[Deuda actual]]/Tabla2[[#This Row],[Liquidez]]+Tabla2[[#This Row],[Liquidez]]/(Tabla2[[#This Row],[Activos]]+Tabla2[[#This Row],[Liquidez]])+Tabla2[[#This Row],[Comunicación]])</f>
        <v>1</v>
      </c>
      <c r="T902">
        <f ca="1">Tabla2[[#This Row],[Deuda actual]]*EXP(Tabla2[[#This Row],[Ki]]*Tabla2[[#This Row],[diferencia de días]])*(1+Tabla2[[#This Row],[Hg]])</f>
        <v>148.42735907102278</v>
      </c>
    </row>
    <row r="903" spans="1:20" ht="14.5" x14ac:dyDescent="0.35">
      <c r="A903">
        <f t="shared" si="154"/>
        <v>21</v>
      </c>
      <c r="B903">
        <f t="shared" ca="1" si="155"/>
        <v>46141</v>
      </c>
      <c r="C903">
        <f t="shared" ca="1" si="156"/>
        <v>46157</v>
      </c>
      <c r="D903">
        <f t="shared" ca="1" si="157"/>
        <v>13</v>
      </c>
      <c r="E903">
        <f t="shared" ca="1" si="158"/>
        <v>0.26916080747935689</v>
      </c>
      <c r="F903">
        <f t="shared" ca="1" si="159"/>
        <v>647.26</v>
      </c>
      <c r="G903" t="str">
        <f t="shared" ca="1" si="160"/>
        <v>personal</v>
      </c>
      <c r="H90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03" t="str">
        <f t="shared" ca="1" si="161"/>
        <v>Sí</v>
      </c>
      <c r="J90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03">
        <f ca="1">IF(Tabla2[[#This Row],[¿cliente deuda abierta?]]="Sí", Tabla2[[#This Row],[Deuda actual]]*Tabla2[[#This Row],[diferencia de días]], "0")</f>
        <v>8414.3799999999992</v>
      </c>
      <c r="L90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0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0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03">
        <f t="shared" ca="1" si="162"/>
        <v>1087.97</v>
      </c>
      <c r="P903">
        <f t="shared" ca="1" si="163"/>
        <v>1217461.52</v>
      </c>
      <c r="Q903">
        <f t="shared" ca="1" si="164"/>
        <v>3</v>
      </c>
      <c r="R903">
        <f ca="1">((Tabla2[[#This Row],[Fantasma Comunicación]]+1)/(Tabla2[[#This Row],[Fantasma Comunicación]]+RANDBETWEEN(0,5)+2))-0.5</f>
        <v>-9.9999999999999978E-2</v>
      </c>
      <c r="S903">
        <f ca="1">1+MAX(0,Tabla2[[#This Row],[Deuda actual]]/Tabla2[[#This Row],[Liquidez]]+Tabla2[[#This Row],[Liquidez]]/(Tabla2[[#This Row],[Activos]]+Tabla2[[#This Row],[Liquidez]])+Tabla2[[#This Row],[Comunicación]])</f>
        <v>1.4958173326276061</v>
      </c>
      <c r="T903">
        <f ca="1">Tabla2[[#This Row],[Deuda actual]]*EXP(Tabla2[[#This Row],[Ki]]*Tabla2[[#This Row],[diferencia de días]])*(1+Tabla2[[#This Row],[Hg]])</f>
        <v>681.39231891787699</v>
      </c>
    </row>
    <row r="904" spans="1:20" ht="14.5" x14ac:dyDescent="0.35">
      <c r="A904">
        <f t="shared" si="154"/>
        <v>22</v>
      </c>
      <c r="B904">
        <f t="shared" ca="1" si="155"/>
        <v>46089</v>
      </c>
      <c r="C904">
        <f t="shared" ca="1" si="156"/>
        <v>46157</v>
      </c>
      <c r="D904">
        <f t="shared" ca="1" si="157"/>
        <v>25</v>
      </c>
      <c r="E904">
        <f t="shared" ca="1" si="158"/>
        <v>0.36395207226385939</v>
      </c>
      <c r="F904">
        <f t="shared" ca="1" si="159"/>
        <v>538.38</v>
      </c>
      <c r="G904" t="str">
        <f t="shared" ca="1" si="160"/>
        <v>personal</v>
      </c>
      <c r="H90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04" t="str">
        <f t="shared" ca="1" si="161"/>
        <v>Sí</v>
      </c>
      <c r="J90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04">
        <f ca="1">IF(Tabla2[[#This Row],[¿cliente deuda abierta?]]="Sí", Tabla2[[#This Row],[Deuda actual]]*Tabla2[[#This Row],[diferencia de días]], "0")</f>
        <v>13459.5</v>
      </c>
      <c r="L90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0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0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04">
        <f t="shared" ca="1" si="162"/>
        <v>1547.6</v>
      </c>
      <c r="P904">
        <f t="shared" ca="1" si="163"/>
        <v>90229.22</v>
      </c>
      <c r="Q904">
        <f t="shared" ca="1" si="164"/>
        <v>4</v>
      </c>
      <c r="R904">
        <f ca="1">((Tabla2[[#This Row],[Fantasma Comunicación]]+1)/(Tabla2[[#This Row],[Fantasma Comunicación]]+RANDBETWEEN(0,5)+2))-0.5</f>
        <v>0.2142857142857143</v>
      </c>
      <c r="S904">
        <f ca="1">1+MAX(0,Tabla2[[#This Row],[Deuda actual]]/Tabla2[[#This Row],[Liquidez]]+Tabla2[[#This Row],[Liquidez]]/(Tabla2[[#This Row],[Activos]]+Tabla2[[#This Row],[Liquidez]])+Tabla2[[#This Row],[Comunicación]])</f>
        <v>1.5790289492947254</v>
      </c>
      <c r="T904">
        <f ca="1">Tabla2[[#This Row],[Deuda actual]]*EXP(Tabla2[[#This Row],[Ki]]*Tabla2[[#This Row],[diferencia de días]])*(1+Tabla2[[#This Row],[Hg]])</f>
        <v>570.98034940251307</v>
      </c>
    </row>
    <row r="905" spans="1:20" ht="14.5" x14ac:dyDescent="0.35">
      <c r="A905">
        <f t="shared" si="154"/>
        <v>23</v>
      </c>
      <c r="B905">
        <f t="shared" ca="1" si="155"/>
        <v>46083</v>
      </c>
      <c r="C905">
        <f t="shared" ca="1" si="156"/>
        <v>46157</v>
      </c>
      <c r="D905">
        <f t="shared" ca="1" si="157"/>
        <v>50</v>
      </c>
      <c r="E905">
        <f t="shared" ca="1" si="158"/>
        <v>0.94805170014471873</v>
      </c>
      <c r="F905">
        <f t="shared" ca="1" si="159"/>
        <v>47.22</v>
      </c>
      <c r="G905" t="str">
        <f t="shared" ca="1" si="160"/>
        <v>personal</v>
      </c>
      <c r="H90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905" t="str">
        <f t="shared" ca="1" si="161"/>
        <v>Sí</v>
      </c>
      <c r="J90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05">
        <f ca="1">IF(Tabla2[[#This Row],[¿cliente deuda abierta?]]="Sí", Tabla2[[#This Row],[Deuda actual]]*Tabla2[[#This Row],[diferencia de días]], "0")</f>
        <v>2361</v>
      </c>
      <c r="L90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0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0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05">
        <f t="shared" ca="1" si="162"/>
        <v>1197.6099999999999</v>
      </c>
      <c r="P905">
        <f t="shared" ca="1" si="163"/>
        <v>79131.600000000006</v>
      </c>
      <c r="Q905">
        <f t="shared" ca="1" si="164"/>
        <v>1</v>
      </c>
      <c r="R905">
        <f ca="1">((Tabla2[[#This Row],[Fantasma Comunicación]]+1)/(Tabla2[[#This Row],[Fantasma Comunicación]]+RANDBETWEEN(0,5)+2))-0.5</f>
        <v>0</v>
      </c>
      <c r="S905">
        <f ca="1">1+MAX(0,Tabla2[[#This Row],[Deuda actual]]/Tabla2[[#This Row],[Liquidez]]+Tabla2[[#This Row],[Liquidez]]/(Tabla2[[#This Row],[Activos]]+Tabla2[[#This Row],[Liquidez]])+Tabla2[[#This Row],[Comunicación]])</f>
        <v>1.0543373020192148</v>
      </c>
      <c r="T905">
        <f ca="1">Tabla2[[#This Row],[Deuda actual]]*EXP(Tabla2[[#This Row],[Ki]]*Tabla2[[#This Row],[diferencia de días]])*(1+Tabla2[[#This Row],[Hg]])</f>
        <v>53.442574085010911</v>
      </c>
    </row>
    <row r="906" spans="1:20" ht="14.5" x14ac:dyDescent="0.35">
      <c r="A906">
        <f t="shared" si="154"/>
        <v>24</v>
      </c>
      <c r="B906">
        <f t="shared" ca="1" si="155"/>
        <v>46101</v>
      </c>
      <c r="C906">
        <f t="shared" ca="1" si="156"/>
        <v>46157</v>
      </c>
      <c r="D906">
        <f t="shared" ca="1" si="157"/>
        <v>12</v>
      </c>
      <c r="E906">
        <f t="shared" ca="1" si="158"/>
        <v>0.47935034787792574</v>
      </c>
      <c r="F906">
        <f t="shared" ca="1" si="159"/>
        <v>563.64</v>
      </c>
      <c r="G906" t="str">
        <f t="shared" ca="1" si="160"/>
        <v>personal</v>
      </c>
      <c r="H90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06" t="str">
        <f t="shared" ca="1" si="161"/>
        <v>Sí</v>
      </c>
      <c r="J90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06">
        <f ca="1">IF(Tabla2[[#This Row],[¿cliente deuda abierta?]]="Sí", Tabla2[[#This Row],[Deuda actual]]*Tabla2[[#This Row],[diferencia de días]], "0")</f>
        <v>6763.68</v>
      </c>
      <c r="L90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0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0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06">
        <f t="shared" ca="1" si="162"/>
        <v>2126.06</v>
      </c>
      <c r="P906">
        <f t="shared" ca="1" si="163"/>
        <v>141962.4</v>
      </c>
      <c r="Q906">
        <f t="shared" ca="1" si="164"/>
        <v>3</v>
      </c>
      <c r="R906">
        <f ca="1">((Tabla2[[#This Row],[Fantasma Comunicación]]+1)/(Tabla2[[#This Row],[Fantasma Comunicación]]+RANDBETWEEN(0,5)+2))-0.5</f>
        <v>7.1428571428571397E-2</v>
      </c>
      <c r="S906">
        <f ca="1">1+MAX(0,Tabla2[[#This Row],[Deuda actual]]/Tabla2[[#This Row],[Liquidez]]+Tabla2[[#This Row],[Liquidez]]/(Tabla2[[#This Row],[Activos]]+Tabla2[[#This Row],[Liquidez]])+Tabla2[[#This Row],[Comunicación]])</f>
        <v>1.3512939225379381</v>
      </c>
      <c r="T906">
        <f ca="1">Tabla2[[#This Row],[Deuda actual]]*EXP(Tabla2[[#This Row],[Ki]]*Tabla2[[#This Row],[diferencia de días]])*(1+Tabla2[[#This Row],[Hg]])</f>
        <v>593.24407861173643</v>
      </c>
    </row>
    <row r="907" spans="1:20" ht="14.5" x14ac:dyDescent="0.35">
      <c r="A907">
        <f t="shared" si="154"/>
        <v>25</v>
      </c>
      <c r="B907">
        <f t="shared" ca="1" si="155"/>
        <v>46102</v>
      </c>
      <c r="C907">
        <f t="shared" ca="1" si="156"/>
        <v>46157</v>
      </c>
      <c r="D907">
        <f t="shared" ca="1" si="157"/>
        <v>4</v>
      </c>
      <c r="E907">
        <f t="shared" ca="1" si="158"/>
        <v>0.73393189625469191</v>
      </c>
      <c r="F907">
        <f t="shared" ca="1" si="159"/>
        <v>598.66</v>
      </c>
      <c r="G907" t="str">
        <f t="shared" ca="1" si="160"/>
        <v>personal</v>
      </c>
      <c r="H90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07" t="str">
        <f t="shared" ca="1" si="161"/>
        <v>No</v>
      </c>
      <c r="J90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11998.460670282302</v>
      </c>
      <c r="K907" t="str">
        <f ca="1">IF(Tabla2[[#This Row],[¿cliente deuda abierta?]]="Sí", Tabla2[[#This Row],[Deuda actual]]*Tabla2[[#This Row],[diferencia de días]], "0")</f>
        <v>0</v>
      </c>
      <c r="L90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0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907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907">
        <f t="shared" ca="1" si="162"/>
        <v>1888.11</v>
      </c>
      <c r="P907">
        <f t="shared" ca="1" si="163"/>
        <v>152092.84</v>
      </c>
      <c r="Q907">
        <f t="shared" ca="1" si="164"/>
        <v>0</v>
      </c>
      <c r="R907">
        <f ca="1">((Tabla2[[#This Row],[Fantasma Comunicación]]+1)/(Tabla2[[#This Row],[Fantasma Comunicación]]+RANDBETWEEN(0,5)+2))-0.5</f>
        <v>-0.16666666666666669</v>
      </c>
      <c r="S907">
        <f ca="1">1+MAX(0,Tabla2[[#This Row],[Deuda actual]]/Tabla2[[#This Row],[Liquidez]]+Tabla2[[#This Row],[Liquidez]]/(Tabla2[[#This Row],[Activos]]+Tabla2[[#This Row],[Liquidez]])+Tabla2[[#This Row],[Comunicación]])</f>
        <v>1.1626636958430359</v>
      </c>
      <c r="T907">
        <f ca="1">Tabla2[[#This Row],[Deuda actual]]*EXP(Tabla2[[#This Row],[Ki]]*Tabla2[[#This Row],[diferencia de días]])*(1+Tabla2[[#This Row],[Hg]])</f>
        <v>539.22520766006619</v>
      </c>
    </row>
    <row r="908" spans="1:20" ht="14.5" x14ac:dyDescent="0.35">
      <c r="A908">
        <f t="shared" si="154"/>
        <v>26</v>
      </c>
      <c r="B908">
        <f t="shared" ca="1" si="155"/>
        <v>46097</v>
      </c>
      <c r="C908">
        <f t="shared" ca="1" si="156"/>
        <v>46157</v>
      </c>
      <c r="D908">
        <f t="shared" ca="1" si="157"/>
        <v>5</v>
      </c>
      <c r="E908">
        <f t="shared" ca="1" si="158"/>
        <v>0.1617791015891813</v>
      </c>
      <c r="F908">
        <f t="shared" ca="1" si="159"/>
        <v>1523.99</v>
      </c>
      <c r="G908" t="str">
        <f t="shared" ca="1" si="160"/>
        <v>personal</v>
      </c>
      <c r="H90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08" t="str">
        <f t="shared" ca="1" si="161"/>
        <v>Sí</v>
      </c>
      <c r="J90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08">
        <f ca="1">IF(Tabla2[[#This Row],[¿cliente deuda abierta?]]="Sí", Tabla2[[#This Row],[Deuda actual]]*Tabla2[[#This Row],[diferencia de días]], "0")</f>
        <v>7619.95</v>
      </c>
      <c r="L90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0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0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08">
        <f t="shared" ca="1" si="162"/>
        <v>2309.62</v>
      </c>
      <c r="P908">
        <f t="shared" ca="1" si="163"/>
        <v>58082.96</v>
      </c>
      <c r="Q908">
        <f t="shared" ca="1" si="164"/>
        <v>1</v>
      </c>
      <c r="R908">
        <f ca="1">((Tabla2[[#This Row],[Fantasma Comunicación]]+1)/(Tabla2[[#This Row],[Fantasma Comunicación]]+RANDBETWEEN(0,5)+2))-0.5</f>
        <v>-9.9999999999999978E-2</v>
      </c>
      <c r="S908">
        <f ca="1">1+MAX(0,Tabla2[[#This Row],[Deuda actual]]/Tabla2[[#This Row],[Liquidez]]+Tabla2[[#This Row],[Liquidez]]/(Tabla2[[#This Row],[Activos]]+Tabla2[[#This Row],[Liquidez]])+Tabla2[[#This Row],[Comunicación]])</f>
        <v>1.5980879164203579</v>
      </c>
      <c r="T908">
        <f ca="1">Tabla2[[#This Row],[Deuda actual]]*EXP(Tabla2[[#This Row],[Ki]]*Tabla2[[#This Row],[diferencia de días]])*(1+Tabla2[[#This Row],[Hg]])</f>
        <v>1601.7904898615152</v>
      </c>
    </row>
    <row r="909" spans="1:20" ht="14.5" x14ac:dyDescent="0.35">
      <c r="A909">
        <f t="shared" si="154"/>
        <v>27</v>
      </c>
      <c r="B909">
        <f t="shared" ca="1" si="155"/>
        <v>46143</v>
      </c>
      <c r="C909">
        <f t="shared" ca="1" si="156"/>
        <v>46157</v>
      </c>
      <c r="D909">
        <f t="shared" ca="1" si="157"/>
        <v>14</v>
      </c>
      <c r="E909">
        <f t="shared" ca="1" si="158"/>
        <v>0.92253750601677764</v>
      </c>
      <c r="F909">
        <f t="shared" ca="1" si="159"/>
        <v>1147</v>
      </c>
      <c r="G909" t="str">
        <f t="shared" ca="1" si="160"/>
        <v>personal</v>
      </c>
      <c r="H90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09" t="str">
        <f t="shared" ca="1" si="161"/>
        <v>Sí</v>
      </c>
      <c r="J90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09">
        <f ca="1">IF(Tabla2[[#This Row],[¿cliente deuda abierta?]]="Sí", Tabla2[[#This Row],[Deuda actual]]*Tabla2[[#This Row],[diferencia de días]], "0")</f>
        <v>16058</v>
      </c>
      <c r="L90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0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0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09">
        <f t="shared" ca="1" si="162"/>
        <v>1937.36</v>
      </c>
      <c r="P909">
        <f t="shared" ca="1" si="163"/>
        <v>281283.59000000003</v>
      </c>
      <c r="Q909">
        <f t="shared" ca="1" si="164"/>
        <v>1</v>
      </c>
      <c r="R909">
        <f ca="1">((Tabla2[[#This Row],[Fantasma Comunicación]]+1)/(Tabla2[[#This Row],[Fantasma Comunicación]]+RANDBETWEEN(0,5)+2))-0.5</f>
        <v>-0.16666666666666669</v>
      </c>
      <c r="S909">
        <f ca="1">1+MAX(0,Tabla2[[#This Row],[Deuda actual]]/Tabla2[[#This Row],[Liquidez]]+Tabla2[[#This Row],[Liquidez]]/(Tabla2[[#This Row],[Activos]]+Tabla2[[#This Row],[Liquidez]])+Tabla2[[#This Row],[Comunicación]])</f>
        <v>1.4322165676213154</v>
      </c>
      <c r="T909">
        <f ca="1">Tabla2[[#This Row],[Deuda actual]]*EXP(Tabla2[[#This Row],[Ki]]*Tabla2[[#This Row],[diferencia de días]])*(1+Tabla2[[#This Row],[Hg]])</f>
        <v>1207.7269054614014</v>
      </c>
    </row>
    <row r="910" spans="1:20" ht="14.5" x14ac:dyDescent="0.35">
      <c r="A910">
        <f t="shared" si="154"/>
        <v>28</v>
      </c>
      <c r="B910">
        <f t="shared" ca="1" si="155"/>
        <v>46133</v>
      </c>
      <c r="C910">
        <f t="shared" ca="1" si="156"/>
        <v>46157</v>
      </c>
      <c r="D910">
        <f t="shared" ca="1" si="157"/>
        <v>1</v>
      </c>
      <c r="E910">
        <f t="shared" ca="1" si="158"/>
        <v>0.13962612888622705</v>
      </c>
      <c r="F910">
        <f t="shared" ca="1" si="159"/>
        <v>1755.16</v>
      </c>
      <c r="G910" t="str">
        <f t="shared" ca="1" si="160"/>
        <v>hipotecario</v>
      </c>
      <c r="H91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10" t="str">
        <f t="shared" ca="1" si="161"/>
        <v>Sí</v>
      </c>
      <c r="J91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10">
        <f ca="1">IF(Tabla2[[#This Row],[¿cliente deuda abierta?]]="Sí", Tabla2[[#This Row],[Deuda actual]]*Tabla2[[#This Row],[diferencia de días]], "0")</f>
        <v>1755.16</v>
      </c>
      <c r="L91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1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1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10">
        <f t="shared" ca="1" si="162"/>
        <v>1226.05</v>
      </c>
      <c r="P910">
        <f t="shared" ca="1" si="163"/>
        <v>41210.769999999997</v>
      </c>
      <c r="Q910">
        <f t="shared" ca="1" si="164"/>
        <v>3</v>
      </c>
      <c r="R910">
        <f ca="1">((Tabla2[[#This Row],[Fantasma Comunicación]]+1)/(Tabla2[[#This Row],[Fantasma Comunicación]]+RANDBETWEEN(0,5)+2))-0.5</f>
        <v>0</v>
      </c>
      <c r="S910">
        <f ca="1">1+MAX(0,Tabla2[[#This Row],[Deuda actual]]/Tabla2[[#This Row],[Liquidez]]+Tabla2[[#This Row],[Liquidez]]/(Tabla2[[#This Row],[Activos]]+Tabla2[[#This Row],[Liquidez]])+Tabla2[[#This Row],[Comunicación]])</f>
        <v>2.4604478095229618</v>
      </c>
      <c r="T910">
        <f ca="1">Tabla2[[#This Row],[Deuda actual]]*EXP(Tabla2[[#This Row],[Ki]]*Tabla2[[#This Row],[diferencia de días]])*(1+Tabla2[[#This Row],[Hg]])</f>
        <v>1843.2866204608174</v>
      </c>
    </row>
    <row r="911" spans="1:20" ht="14.5" x14ac:dyDescent="0.35">
      <c r="A911">
        <f t="shared" si="154"/>
        <v>29</v>
      </c>
      <c r="B911">
        <f t="shared" ca="1" si="155"/>
        <v>46110</v>
      </c>
      <c r="C911">
        <f t="shared" ca="1" si="156"/>
        <v>46157</v>
      </c>
      <c r="D911">
        <f t="shared" ca="1" si="157"/>
        <v>7</v>
      </c>
      <c r="E911">
        <f t="shared" ca="1" si="158"/>
        <v>0.26322933058885434</v>
      </c>
      <c r="F911">
        <f t="shared" ca="1" si="159"/>
        <v>776.5</v>
      </c>
      <c r="G911" t="str">
        <f t="shared" ca="1" si="160"/>
        <v>hipotecario</v>
      </c>
      <c r="H91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11" t="str">
        <f t="shared" ca="1" si="161"/>
        <v>No</v>
      </c>
      <c r="J911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165000.67660648463</v>
      </c>
      <c r="K911" t="str">
        <f ca="1">IF(Tabla2[[#This Row],[¿cliente deuda abierta?]]="Sí", Tabla2[[#This Row],[Deuda actual]]*Tabla2[[#This Row],[diferencia de días]], "0")</f>
        <v>0</v>
      </c>
      <c r="L91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11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11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11">
        <f t="shared" ca="1" si="162"/>
        <v>1624.95</v>
      </c>
      <c r="P911">
        <f t="shared" ca="1" si="163"/>
        <v>203876.72</v>
      </c>
      <c r="Q911">
        <f t="shared" ca="1" si="164"/>
        <v>0</v>
      </c>
      <c r="R911">
        <f ca="1">((Tabla2[[#This Row],[Fantasma Comunicación]]+1)/(Tabla2[[#This Row],[Fantasma Comunicación]]+RANDBETWEEN(0,5)+2))-0.5</f>
        <v>-0.33333333333333337</v>
      </c>
      <c r="S911">
        <f ca="1">1+MAX(0,Tabla2[[#This Row],[Deuda actual]]/Tabla2[[#This Row],[Liquidez]]+Tabla2[[#This Row],[Liquidez]]/(Tabla2[[#This Row],[Activos]]+Tabla2[[#This Row],[Liquidez]])+Tabla2[[#This Row],[Comunicación]])</f>
        <v>1.1524347589355772</v>
      </c>
      <c r="T911">
        <f ca="1">Tabla2[[#This Row],[Deuda actual]]*EXP(Tabla2[[#This Row],[Ki]]*Tabla2[[#This Row],[diferencia de días]])*(1+Tabla2[[#This Row],[Hg]])</f>
        <v>622.07028906019502</v>
      </c>
    </row>
    <row r="912" spans="1:20" ht="14.5" x14ac:dyDescent="0.35">
      <c r="A912">
        <f t="shared" si="154"/>
        <v>30</v>
      </c>
      <c r="B912">
        <f t="shared" ca="1" si="155"/>
        <v>46134</v>
      </c>
      <c r="C912">
        <f t="shared" ca="1" si="156"/>
        <v>46157</v>
      </c>
      <c r="D912">
        <f t="shared" ca="1" si="157"/>
        <v>11</v>
      </c>
      <c r="E912">
        <f t="shared" ca="1" si="158"/>
        <v>0.87324766476345972</v>
      </c>
      <c r="F912">
        <f t="shared" ca="1" si="159"/>
        <v>813.53</v>
      </c>
      <c r="G912" t="str">
        <f t="shared" ca="1" si="160"/>
        <v>personal</v>
      </c>
      <c r="H91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12" t="str">
        <f t="shared" ca="1" si="161"/>
        <v>Sí</v>
      </c>
      <c r="J91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12">
        <f ca="1">IF(Tabla2[[#This Row],[¿cliente deuda abierta?]]="Sí", Tabla2[[#This Row],[Deuda actual]]*Tabla2[[#This Row],[diferencia de días]], "0")</f>
        <v>8948.83</v>
      </c>
      <c r="L91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1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1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12">
        <f t="shared" ca="1" si="162"/>
        <v>1590.8</v>
      </c>
      <c r="P912">
        <f t="shared" ca="1" si="163"/>
        <v>155424.35999999999</v>
      </c>
      <c r="Q912">
        <f t="shared" ca="1" si="164"/>
        <v>4</v>
      </c>
      <c r="R912">
        <f ca="1">((Tabla2[[#This Row],[Fantasma Comunicación]]+1)/(Tabla2[[#This Row],[Fantasma Comunicación]]+RANDBETWEEN(0,5)+2))-0.5</f>
        <v>0.125</v>
      </c>
      <c r="S912">
        <f ca="1">1+MAX(0,Tabla2[[#This Row],[Deuda actual]]/Tabla2[[#This Row],[Liquidez]]+Tabla2[[#This Row],[Liquidez]]/(Tabla2[[#This Row],[Activos]]+Tabla2[[#This Row],[Liquidez]])+Tabla2[[#This Row],[Comunicación]])</f>
        <v>1.6465282872666611</v>
      </c>
      <c r="T912">
        <f ca="1">Tabla2[[#This Row],[Deuda actual]]*EXP(Tabla2[[#This Row],[Ki]]*Tabla2[[#This Row],[diferencia de días]])*(1+Tabla2[[#This Row],[Hg]])</f>
        <v>856.0878229964959</v>
      </c>
    </row>
    <row r="913" spans="1:20" ht="14.5" x14ac:dyDescent="0.35">
      <c r="A913">
        <f t="shared" si="154"/>
        <v>31</v>
      </c>
      <c r="B913">
        <f t="shared" ca="1" si="155"/>
        <v>46082</v>
      </c>
      <c r="C913">
        <f t="shared" ca="1" si="156"/>
        <v>46157</v>
      </c>
      <c r="D913">
        <f t="shared" ca="1" si="157"/>
        <v>15</v>
      </c>
      <c r="E913">
        <f t="shared" ca="1" si="158"/>
        <v>0.29945984004971515</v>
      </c>
      <c r="F913">
        <f t="shared" ca="1" si="159"/>
        <v>6849.81</v>
      </c>
      <c r="G913" t="str">
        <f t="shared" ca="1" si="160"/>
        <v>personal</v>
      </c>
      <c r="H91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13" t="str">
        <f t="shared" ca="1" si="161"/>
        <v>Sí</v>
      </c>
      <c r="J91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13">
        <f ca="1">IF(Tabla2[[#This Row],[¿cliente deuda abierta?]]="Sí", Tabla2[[#This Row],[Deuda actual]]*Tabla2[[#This Row],[diferencia de días]], "0")</f>
        <v>102747.15000000001</v>
      </c>
      <c r="L91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91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13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913">
        <f t="shared" ca="1" si="162"/>
        <v>1688.94</v>
      </c>
      <c r="P913">
        <f t="shared" ca="1" si="163"/>
        <v>126592.04</v>
      </c>
      <c r="Q913">
        <f t="shared" ca="1" si="164"/>
        <v>1</v>
      </c>
      <c r="R913">
        <f ca="1">((Tabla2[[#This Row],[Fantasma Comunicación]]+1)/(Tabla2[[#This Row],[Fantasma Comunicación]]+RANDBETWEEN(0,5)+2))-0.5</f>
        <v>-9.9999999999999978E-2</v>
      </c>
      <c r="S913">
        <f ca="1">1+MAX(0,Tabla2[[#This Row],[Deuda actual]]/Tabla2[[#This Row],[Liquidez]]+Tabla2[[#This Row],[Liquidez]]/(Tabla2[[#This Row],[Activos]]+Tabla2[[#This Row],[Liquidez]])+Tabla2[[#This Row],[Comunicación]])</f>
        <v>4.9688517572205395</v>
      </c>
      <c r="T913">
        <f ca="1">Tabla2[[#This Row],[Deuda actual]]*EXP(Tabla2[[#This Row],[Ki]]*Tabla2[[#This Row],[diferencia de días]])*(1+Tabla2[[#This Row],[Hg]])</f>
        <v>7924.6872640750189</v>
      </c>
    </row>
    <row r="914" spans="1:20" ht="14.5" x14ac:dyDescent="0.35">
      <c r="A914">
        <f t="shared" si="154"/>
        <v>32</v>
      </c>
      <c r="B914">
        <f t="shared" ca="1" si="155"/>
        <v>46111</v>
      </c>
      <c r="C914">
        <f t="shared" ca="1" si="156"/>
        <v>46157</v>
      </c>
      <c r="D914">
        <f t="shared" ca="1" si="157"/>
        <v>6</v>
      </c>
      <c r="E914">
        <f t="shared" ca="1" si="158"/>
        <v>0.76955919057988531</v>
      </c>
      <c r="F914">
        <f t="shared" ca="1" si="159"/>
        <v>253.16</v>
      </c>
      <c r="G914" t="str">
        <f t="shared" ca="1" si="160"/>
        <v>hipotecario</v>
      </c>
      <c r="H91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14" t="str">
        <f t="shared" ca="1" si="161"/>
        <v>No</v>
      </c>
      <c r="J91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165000.23859295473</v>
      </c>
      <c r="K914" t="str">
        <f ca="1">IF(Tabla2[[#This Row],[¿cliente deuda abierta?]]="Sí", Tabla2[[#This Row],[Deuda actual]]*Tabla2[[#This Row],[diferencia de días]], "0")</f>
        <v>0</v>
      </c>
      <c r="L91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1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14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14">
        <f t="shared" ca="1" si="162"/>
        <v>1910.19</v>
      </c>
      <c r="P914">
        <f t="shared" ca="1" si="163"/>
        <v>226675.9</v>
      </c>
      <c r="Q914">
        <f t="shared" ca="1" si="164"/>
        <v>1</v>
      </c>
      <c r="R914">
        <f ca="1">((Tabla2[[#This Row],[Fantasma Comunicación]]+1)/(Tabla2[[#This Row],[Fantasma Comunicación]]+RANDBETWEEN(0,5)+2))-0.5</f>
        <v>0</v>
      </c>
      <c r="S914">
        <f ca="1">1+MAX(0,Tabla2[[#This Row],[Deuda actual]]/Tabla2[[#This Row],[Liquidez]]+Tabla2[[#This Row],[Liquidez]]/(Tabla2[[#This Row],[Activos]]+Tabla2[[#This Row],[Liquidez]])+Tabla2[[#This Row],[Comunicación]])</f>
        <v>1.1408878641038906</v>
      </c>
      <c r="T914">
        <f ca="1">Tabla2[[#This Row],[Deuda actual]]*EXP(Tabla2[[#This Row],[Ki]]*Tabla2[[#This Row],[diferencia de días]])*(1+Tabla2[[#This Row],[Hg]])</f>
        <v>202.77117947850559</v>
      </c>
    </row>
    <row r="915" spans="1:20" ht="14.5" x14ac:dyDescent="0.35">
      <c r="A915">
        <f t="shared" si="154"/>
        <v>33</v>
      </c>
      <c r="B915">
        <f t="shared" ca="1" si="155"/>
        <v>46099</v>
      </c>
      <c r="C915">
        <f t="shared" ca="1" si="156"/>
        <v>46157</v>
      </c>
      <c r="D915">
        <f t="shared" ca="1" si="157"/>
        <v>11</v>
      </c>
      <c r="E915">
        <f t="shared" ca="1" si="158"/>
        <v>0.89528084530525065</v>
      </c>
      <c r="F915">
        <f t="shared" ca="1" si="159"/>
        <v>3986.82</v>
      </c>
      <c r="G915" t="str">
        <f t="shared" ca="1" si="160"/>
        <v>personal</v>
      </c>
      <c r="H91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15" t="str">
        <f t="shared" ca="1" si="161"/>
        <v>Sí</v>
      </c>
      <c r="J91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15">
        <f ca="1">IF(Tabla2[[#This Row],[¿cliente deuda abierta?]]="Sí", Tabla2[[#This Row],[Deuda actual]]*Tabla2[[#This Row],[diferencia de días]], "0")</f>
        <v>43855.020000000004</v>
      </c>
      <c r="L91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91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15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915">
        <f t="shared" ca="1" si="162"/>
        <v>1462.94</v>
      </c>
      <c r="P915">
        <f t="shared" ca="1" si="163"/>
        <v>109329.12</v>
      </c>
      <c r="Q915">
        <f t="shared" ca="1" si="164"/>
        <v>2</v>
      </c>
      <c r="R915">
        <f ca="1">((Tabla2[[#This Row],[Fantasma Comunicación]]+1)/(Tabla2[[#This Row],[Fantasma Comunicación]]+RANDBETWEEN(0,5)+2))-0.5</f>
        <v>0</v>
      </c>
      <c r="S915">
        <f ca="1">1+MAX(0,Tabla2[[#This Row],[Deuda actual]]/Tabla2[[#This Row],[Liquidez]]+Tabla2[[#This Row],[Liquidez]]/(Tabla2[[#This Row],[Activos]]+Tabla2[[#This Row],[Liquidez]])+Tabla2[[#This Row],[Comunicación]])</f>
        <v>3.7384152525647263</v>
      </c>
      <c r="T915">
        <f ca="1">Tabla2[[#This Row],[Deuda actual]]*EXP(Tabla2[[#This Row],[Ki]]*Tabla2[[#This Row],[diferencia de días]])*(1+Tabla2[[#This Row],[Hg]])</f>
        <v>4395.1607251019268</v>
      </c>
    </row>
    <row r="916" spans="1:20" ht="14.5" x14ac:dyDescent="0.35">
      <c r="A916">
        <f t="shared" ref="A916:A947" si="165">A915+1</f>
        <v>34</v>
      </c>
      <c r="B916">
        <f t="shared" ca="1" si="155"/>
        <v>46130</v>
      </c>
      <c r="C916">
        <f t="shared" ca="1" si="156"/>
        <v>46157</v>
      </c>
      <c r="D916">
        <f t="shared" ca="1" si="157"/>
        <v>14</v>
      </c>
      <c r="E916">
        <f t="shared" ca="1" si="158"/>
        <v>0.22333354112250192</v>
      </c>
      <c r="F916">
        <f t="shared" ca="1" si="159"/>
        <v>994.31</v>
      </c>
      <c r="G916" t="str">
        <f t="shared" ca="1" si="160"/>
        <v>personal</v>
      </c>
      <c r="H91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16" t="str">
        <f t="shared" ca="1" si="161"/>
        <v>Sí</v>
      </c>
      <c r="J91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16">
        <f ca="1">IF(Tabla2[[#This Row],[¿cliente deuda abierta?]]="Sí", Tabla2[[#This Row],[Deuda actual]]*Tabla2[[#This Row],[diferencia de días]], "0")</f>
        <v>13920.34</v>
      </c>
      <c r="L91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1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1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16">
        <f t="shared" ca="1" si="162"/>
        <v>1727.47</v>
      </c>
      <c r="P916">
        <f t="shared" ca="1" si="163"/>
        <v>75460</v>
      </c>
      <c r="Q916">
        <f t="shared" ca="1" si="164"/>
        <v>2</v>
      </c>
      <c r="R916">
        <f ca="1">((Tabla2[[#This Row],[Fantasma Comunicación]]+1)/(Tabla2[[#This Row],[Fantasma Comunicación]]+RANDBETWEEN(0,5)+2))-0.5</f>
        <v>0</v>
      </c>
      <c r="S916">
        <f ca="1">1+MAX(0,Tabla2[[#This Row],[Deuda actual]]/Tabla2[[#This Row],[Liquidez]]+Tabla2[[#This Row],[Liquidez]]/(Tabla2[[#This Row],[Activos]]+Tabla2[[#This Row],[Liquidez]])+Tabla2[[#This Row],[Comunicación]])</f>
        <v>1.5979676065886101</v>
      </c>
      <c r="T916">
        <f ca="1">Tabla2[[#This Row],[Deuda actual]]*EXP(Tabla2[[#This Row],[Ki]]*Tabla2[[#This Row],[diferencia de días]])*(1+Tabla2[[#This Row],[Hg]])</f>
        <v>1046.9528678023767</v>
      </c>
    </row>
    <row r="917" spans="1:20" ht="14.5" x14ac:dyDescent="0.35">
      <c r="A917">
        <f t="shared" si="165"/>
        <v>35</v>
      </c>
      <c r="B917">
        <f t="shared" ca="1" si="155"/>
        <v>46140</v>
      </c>
      <c r="C917">
        <f t="shared" ca="1" si="156"/>
        <v>46157</v>
      </c>
      <c r="D917">
        <f t="shared" ca="1" si="157"/>
        <v>6</v>
      </c>
      <c r="E917">
        <f t="shared" ca="1" si="158"/>
        <v>0.87036796444840847</v>
      </c>
      <c r="F917">
        <f t="shared" ca="1" si="159"/>
        <v>240.02</v>
      </c>
      <c r="G917" t="str">
        <f t="shared" ca="1" si="160"/>
        <v>personal</v>
      </c>
      <c r="H91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17" t="str">
        <f t="shared" ca="1" si="161"/>
        <v>Sí</v>
      </c>
      <c r="J91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17">
        <f ca="1">IF(Tabla2[[#This Row],[¿cliente deuda abierta?]]="Sí", Tabla2[[#This Row],[Deuda actual]]*Tabla2[[#This Row],[diferencia de días]], "0")</f>
        <v>1440.1200000000001</v>
      </c>
      <c r="L91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1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1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17">
        <f t="shared" ca="1" si="162"/>
        <v>1644.73</v>
      </c>
      <c r="P917">
        <f t="shared" ca="1" si="163"/>
        <v>309462.53000000003</v>
      </c>
      <c r="Q917">
        <f t="shared" ca="1" si="164"/>
        <v>2</v>
      </c>
      <c r="R917">
        <f ca="1">((Tabla2[[#This Row],[Fantasma Comunicación]]+1)/(Tabla2[[#This Row],[Fantasma Comunicación]]+RANDBETWEEN(0,5)+2))-0.5</f>
        <v>0.25</v>
      </c>
      <c r="S917">
        <f ca="1">1+MAX(0,Tabla2[[#This Row],[Deuda actual]]/Tabla2[[#This Row],[Liquidez]]+Tabla2[[#This Row],[Liquidez]]/(Tabla2[[#This Row],[Activos]]+Tabla2[[#This Row],[Liquidez]])+Tabla2[[#This Row],[Comunicación]])</f>
        <v>1.4012194646649319</v>
      </c>
      <c r="T917">
        <f ca="1">Tabla2[[#This Row],[Deuda actual]]*EXP(Tabla2[[#This Row],[Ki]]*Tabla2[[#This Row],[diferencia de días]])*(1+Tabla2[[#This Row],[Hg]])</f>
        <v>252.32360672772384</v>
      </c>
    </row>
    <row r="918" spans="1:20" ht="14.5" x14ac:dyDescent="0.35">
      <c r="A918">
        <f t="shared" si="165"/>
        <v>36</v>
      </c>
      <c r="B918">
        <f t="shared" ca="1" si="155"/>
        <v>46105</v>
      </c>
      <c r="C918">
        <f t="shared" ca="1" si="156"/>
        <v>46157</v>
      </c>
      <c r="D918">
        <f t="shared" ca="1" si="157"/>
        <v>2</v>
      </c>
      <c r="E918">
        <f t="shared" ca="1" si="158"/>
        <v>0.61313909006881973</v>
      </c>
      <c r="F918">
        <f t="shared" ca="1" si="159"/>
        <v>1239.82</v>
      </c>
      <c r="G918" t="str">
        <f t="shared" ca="1" si="160"/>
        <v>personal</v>
      </c>
      <c r="H91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18" t="str">
        <f t="shared" ca="1" si="161"/>
        <v>Sí</v>
      </c>
      <c r="J91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18">
        <f ca="1">IF(Tabla2[[#This Row],[¿cliente deuda abierta?]]="Sí", Tabla2[[#This Row],[Deuda actual]]*Tabla2[[#This Row],[diferencia de días]], "0")</f>
        <v>2479.64</v>
      </c>
      <c r="L91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1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1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18">
        <f t="shared" ca="1" si="162"/>
        <v>2628.02</v>
      </c>
      <c r="P918">
        <f t="shared" ca="1" si="163"/>
        <v>60983.66</v>
      </c>
      <c r="Q918">
        <f t="shared" ca="1" si="164"/>
        <v>3</v>
      </c>
      <c r="R918">
        <f ca="1">((Tabla2[[#This Row],[Fantasma Comunicación]]+1)/(Tabla2[[#This Row],[Fantasma Comunicación]]+RANDBETWEEN(0,5)+2))-0.5</f>
        <v>-5.555555555555558E-2</v>
      </c>
      <c r="S918">
        <f ca="1">1+MAX(0,Tabla2[[#This Row],[Deuda actual]]/Tabla2[[#This Row],[Liquidez]]+Tabla2[[#This Row],[Liquidez]]/(Tabla2[[#This Row],[Activos]]+Tabla2[[#This Row],[Liquidez]])+Tabla2[[#This Row],[Comunicación]])</f>
        <v>1.4575275477325564</v>
      </c>
      <c r="T918">
        <f ca="1">Tabla2[[#This Row],[Deuda actual]]*EXP(Tabla2[[#This Row],[Ki]]*Tabla2[[#This Row],[diferencia de días]])*(1+Tabla2[[#This Row],[Hg]])</f>
        <v>1302.3318285587675</v>
      </c>
    </row>
    <row r="919" spans="1:20" ht="14.5" x14ac:dyDescent="0.35">
      <c r="A919">
        <f t="shared" si="165"/>
        <v>37</v>
      </c>
      <c r="B919">
        <f t="shared" ca="1" si="155"/>
        <v>46102</v>
      </c>
      <c r="C919">
        <f t="shared" ca="1" si="156"/>
        <v>46157</v>
      </c>
      <c r="D919">
        <f t="shared" ca="1" si="157"/>
        <v>11</v>
      </c>
      <c r="E919">
        <f t="shared" ca="1" si="158"/>
        <v>0.79617337195398818</v>
      </c>
      <c r="F919">
        <f t="shared" ca="1" si="159"/>
        <v>10000</v>
      </c>
      <c r="G919" t="str">
        <f t="shared" ca="1" si="160"/>
        <v>hipotecario</v>
      </c>
      <c r="H91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19" t="str">
        <f t="shared" ca="1" si="161"/>
        <v>Sí</v>
      </c>
      <c r="J91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19">
        <f ca="1">IF(Tabla2[[#This Row],[¿cliente deuda abierta?]]="Sí", Tabla2[[#This Row],[Deuda actual]]*Tabla2[[#This Row],[diferencia de días]], "0")</f>
        <v>110000</v>
      </c>
      <c r="L91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91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19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919">
        <f t="shared" ca="1" si="162"/>
        <v>1586.13</v>
      </c>
      <c r="P919">
        <f t="shared" ca="1" si="163"/>
        <v>56622.5</v>
      </c>
      <c r="Q919">
        <f t="shared" ca="1" si="164"/>
        <v>5</v>
      </c>
      <c r="R919">
        <f ca="1">((Tabla2[[#This Row],[Fantasma Comunicación]]+1)/(Tabla2[[#This Row],[Fantasma Comunicación]]+RANDBETWEEN(0,5)+2))-0.5</f>
        <v>0.3571428571428571</v>
      </c>
      <c r="S919">
        <f ca="1">1+MAX(0,Tabla2[[#This Row],[Deuda actual]]/Tabla2[[#This Row],[Liquidez]]+Tabla2[[#This Row],[Liquidez]]/(Tabla2[[#This Row],[Activos]]+Tabla2[[#This Row],[Liquidez]])+Tabla2[[#This Row],[Comunicación]])</f>
        <v>7.6890453741105143</v>
      </c>
      <c r="T919">
        <f ca="1">Tabla2[[#This Row],[Deuda actual]]*EXP(Tabla2[[#This Row],[Ki]]*Tabla2[[#This Row],[diferencia de días]])*(1+Tabla2[[#This Row],[Hg]])</f>
        <v>11525.327850419893</v>
      </c>
    </row>
    <row r="920" spans="1:20" ht="14.5" x14ac:dyDescent="0.35">
      <c r="A920">
        <f t="shared" si="165"/>
        <v>38</v>
      </c>
      <c r="B920">
        <f t="shared" ca="1" si="155"/>
        <v>46103</v>
      </c>
      <c r="C920">
        <f t="shared" ca="1" si="156"/>
        <v>46157</v>
      </c>
      <c r="D920">
        <f t="shared" ca="1" si="157"/>
        <v>2</v>
      </c>
      <c r="E920">
        <f t="shared" ca="1" si="158"/>
        <v>0.92010569295315969</v>
      </c>
      <c r="F920">
        <f t="shared" ca="1" si="159"/>
        <v>411.12</v>
      </c>
      <c r="G920" t="str">
        <f t="shared" ca="1" si="160"/>
        <v>personal</v>
      </c>
      <c r="H92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20" t="str">
        <f t="shared" ca="1" si="161"/>
        <v>No</v>
      </c>
      <c r="J92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12000.014472440784</v>
      </c>
      <c r="K920" t="str">
        <f ca="1">IF(Tabla2[[#This Row],[¿cliente deuda abierta?]]="Sí", Tabla2[[#This Row],[Deuda actual]]*Tabla2[[#This Row],[diferencia de días]], "0")</f>
        <v>0</v>
      </c>
      <c r="L92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2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920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920">
        <f t="shared" ca="1" si="162"/>
        <v>1508.72</v>
      </c>
      <c r="P920">
        <f t="shared" ca="1" si="163"/>
        <v>116497.39</v>
      </c>
      <c r="Q920">
        <f t="shared" ca="1" si="164"/>
        <v>2</v>
      </c>
      <c r="R920">
        <f ca="1">((Tabla2[[#This Row],[Fantasma Comunicación]]+1)/(Tabla2[[#This Row],[Fantasma Comunicación]]+RANDBETWEEN(0,5)+2))-0.5</f>
        <v>0.25</v>
      </c>
      <c r="S920">
        <f ca="1">1+MAX(0,Tabla2[[#This Row],[Deuda actual]]/Tabla2[[#This Row],[Liquidez]]+Tabla2[[#This Row],[Liquidez]]/(Tabla2[[#This Row],[Activos]]+Tabla2[[#This Row],[Liquidez]])+Tabla2[[#This Row],[Comunicación]])</f>
        <v>1.535280991259917</v>
      </c>
      <c r="T920">
        <f ca="1">Tabla2[[#This Row],[Deuda actual]]*EXP(Tabla2[[#This Row],[Ki]]*Tabla2[[#This Row],[diferencia de días]])*(1+Tabla2[[#This Row],[Hg]])</f>
        <v>370.1560328045872</v>
      </c>
    </row>
    <row r="921" spans="1:20" ht="14.5" x14ac:dyDescent="0.35">
      <c r="A921">
        <f t="shared" si="165"/>
        <v>39</v>
      </c>
      <c r="B921">
        <f t="shared" ca="1" si="155"/>
        <v>46139</v>
      </c>
      <c r="C921">
        <f t="shared" ca="1" si="156"/>
        <v>46157</v>
      </c>
      <c r="D921">
        <f t="shared" ca="1" si="157"/>
        <v>2</v>
      </c>
      <c r="E921">
        <f t="shared" ca="1" si="158"/>
        <v>0.26753539614844501</v>
      </c>
      <c r="F921">
        <f t="shared" ca="1" si="159"/>
        <v>156.43</v>
      </c>
      <c r="G921" t="str">
        <f t="shared" ca="1" si="160"/>
        <v>hipotecario</v>
      </c>
      <c r="H92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21" t="str">
        <f t="shared" ca="1" si="161"/>
        <v>Sí</v>
      </c>
      <c r="J92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21">
        <f ca="1">IF(Tabla2[[#This Row],[¿cliente deuda abierta?]]="Sí", Tabla2[[#This Row],[Deuda actual]]*Tabla2[[#This Row],[diferencia de días]], "0")</f>
        <v>312.86</v>
      </c>
      <c r="L92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2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2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21">
        <f t="shared" ca="1" si="162"/>
        <v>2568.17</v>
      </c>
      <c r="P921">
        <f t="shared" ca="1" si="163"/>
        <v>239053</v>
      </c>
      <c r="Q921">
        <f t="shared" ca="1" si="164"/>
        <v>1</v>
      </c>
      <c r="R921">
        <f ca="1">((Tabla2[[#This Row],[Fantasma Comunicación]]+1)/(Tabla2[[#This Row],[Fantasma Comunicación]]+RANDBETWEEN(0,5)+2))-0.5</f>
        <v>-0.2142857142857143</v>
      </c>
      <c r="S921">
        <f ca="1">1+MAX(0,Tabla2[[#This Row],[Deuda actual]]/Tabla2[[#This Row],[Liquidez]]+Tabla2[[#This Row],[Liquidez]]/(Tabla2[[#This Row],[Activos]]+Tabla2[[#This Row],[Liquidez]])+Tabla2[[#This Row],[Comunicación]])</f>
        <v>1</v>
      </c>
      <c r="T921">
        <f ca="1">Tabla2[[#This Row],[Deuda actual]]*EXP(Tabla2[[#This Row],[Ki]]*Tabla2[[#This Row],[diferencia de días]])*(1+Tabla2[[#This Row],[Hg]])</f>
        <v>164.31721374187222</v>
      </c>
    </row>
    <row r="922" spans="1:20" ht="14.5" x14ac:dyDescent="0.35">
      <c r="A922">
        <f t="shared" si="165"/>
        <v>40</v>
      </c>
      <c r="B922">
        <f t="shared" ca="1" si="155"/>
        <v>46139</v>
      </c>
      <c r="C922">
        <f t="shared" ca="1" si="156"/>
        <v>46157</v>
      </c>
      <c r="D922">
        <f t="shared" ca="1" si="157"/>
        <v>15</v>
      </c>
      <c r="E922">
        <f t="shared" ca="1" si="158"/>
        <v>0.39283017209387783</v>
      </c>
      <c r="F922">
        <f t="shared" ca="1" si="159"/>
        <v>1059.1300000000001</v>
      </c>
      <c r="G922" t="str">
        <f t="shared" ca="1" si="160"/>
        <v>personal</v>
      </c>
      <c r="H92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22" t="str">
        <f t="shared" ca="1" si="161"/>
        <v>No</v>
      </c>
      <c r="J92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11999.632533190123</v>
      </c>
      <c r="K922" t="str">
        <f ca="1">IF(Tabla2[[#This Row],[¿cliente deuda abierta?]]="Sí", Tabla2[[#This Row],[Deuda actual]]*Tabla2[[#This Row],[diferencia de días]], "0")</f>
        <v>0</v>
      </c>
      <c r="L92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2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922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922">
        <f t="shared" ca="1" si="162"/>
        <v>1538.23</v>
      </c>
      <c r="P922">
        <f t="shared" ca="1" si="163"/>
        <v>76864.63</v>
      </c>
      <c r="Q922">
        <f t="shared" ca="1" si="164"/>
        <v>2</v>
      </c>
      <c r="R922">
        <f ca="1">((Tabla2[[#This Row],[Fantasma Comunicación]]+1)/(Tabla2[[#This Row],[Fantasma Comunicación]]+RANDBETWEEN(0,5)+2))-0.5</f>
        <v>-0.16666666666666669</v>
      </c>
      <c r="S922">
        <f ca="1">1+MAX(0,Tabla2[[#This Row],[Deuda actual]]/Tabla2[[#This Row],[Liquidez]]+Tabla2[[#This Row],[Liquidez]]/(Tabla2[[#This Row],[Activos]]+Tabla2[[#This Row],[Liquidez]])+Tabla2[[#This Row],[Comunicación]])</f>
        <v>1.5414910232196695</v>
      </c>
      <c r="T922">
        <f ca="1">Tabla2[[#This Row],[Deuda actual]]*EXP(Tabla2[[#This Row],[Ki]]*Tabla2[[#This Row],[diferencia de días]])*(1+Tabla2[[#This Row],[Hg]])</f>
        <v>958.9534942733477</v>
      </c>
    </row>
    <row r="923" spans="1:20" ht="14.5" x14ac:dyDescent="0.35">
      <c r="A923">
        <f t="shared" si="165"/>
        <v>41</v>
      </c>
      <c r="B923">
        <f t="shared" ca="1" si="155"/>
        <v>46123</v>
      </c>
      <c r="C923">
        <f t="shared" ca="1" si="156"/>
        <v>46157</v>
      </c>
      <c r="D923">
        <f t="shared" ca="1" si="157"/>
        <v>13</v>
      </c>
      <c r="E923">
        <f t="shared" ca="1" si="158"/>
        <v>0.4105945385287636</v>
      </c>
      <c r="F923">
        <f t="shared" ca="1" si="159"/>
        <v>901.67</v>
      </c>
      <c r="G923" t="str">
        <f t="shared" ca="1" si="160"/>
        <v>personal</v>
      </c>
      <c r="H92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23" t="str">
        <f t="shared" ca="1" si="161"/>
        <v>No</v>
      </c>
      <c r="J92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11999.128139661892</v>
      </c>
      <c r="K923" t="str">
        <f ca="1">IF(Tabla2[[#This Row],[¿cliente deuda abierta?]]="Sí", Tabla2[[#This Row],[Deuda actual]]*Tabla2[[#This Row],[diferencia de días]], "0")</f>
        <v>0</v>
      </c>
      <c r="L92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2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923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923">
        <f t="shared" ca="1" si="162"/>
        <v>2036.9</v>
      </c>
      <c r="P923">
        <f t="shared" ca="1" si="163"/>
        <v>232159.79</v>
      </c>
      <c r="Q923">
        <f t="shared" ca="1" si="164"/>
        <v>1</v>
      </c>
      <c r="R923">
        <f ca="1">((Tabla2[[#This Row],[Fantasma Comunicación]]+1)/(Tabla2[[#This Row],[Fantasma Comunicación]]+RANDBETWEEN(0,5)+2))-0.5</f>
        <v>-0.16666666666666669</v>
      </c>
      <c r="S923">
        <f ca="1">1+MAX(0,Tabla2[[#This Row],[Deuda actual]]/Tabla2[[#This Row],[Liquidez]]+Tabla2[[#This Row],[Liquidez]]/(Tabla2[[#This Row],[Activos]]+Tabla2[[#This Row],[Liquidez]])+Tabla2[[#This Row],[Comunicación]])</f>
        <v>1.2846985030171707</v>
      </c>
      <c r="T923">
        <f ca="1">Tabla2[[#This Row],[Deuda actual]]*EXP(Tabla2[[#This Row],[Ki]]*Tabla2[[#This Row],[diferencia de días]])*(1+Tabla2[[#This Row],[Hg]])</f>
        <v>813.61565305884881</v>
      </c>
    </row>
    <row r="924" spans="1:20" ht="14.5" x14ac:dyDescent="0.35">
      <c r="A924">
        <f t="shared" si="165"/>
        <v>42</v>
      </c>
      <c r="B924">
        <f t="shared" ca="1" si="155"/>
        <v>46127</v>
      </c>
      <c r="C924">
        <f t="shared" ca="1" si="156"/>
        <v>46157</v>
      </c>
      <c r="D924">
        <f t="shared" ca="1" si="157"/>
        <v>16</v>
      </c>
      <c r="E924">
        <f t="shared" ca="1" si="158"/>
        <v>0.16363996757956711</v>
      </c>
      <c r="F924">
        <f t="shared" ca="1" si="159"/>
        <v>2285.64</v>
      </c>
      <c r="G924" t="str">
        <f t="shared" ca="1" si="160"/>
        <v>hipotecario</v>
      </c>
      <c r="H92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24" t="str">
        <f t="shared" ca="1" si="161"/>
        <v>Sí</v>
      </c>
      <c r="J92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24">
        <f ca="1">IF(Tabla2[[#This Row],[¿cliente deuda abierta?]]="Sí", Tabla2[[#This Row],[Deuda actual]]*Tabla2[[#This Row],[diferencia de días]], "0")</f>
        <v>36570.239999999998</v>
      </c>
      <c r="L92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92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24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924">
        <f t="shared" ca="1" si="162"/>
        <v>1256.27</v>
      </c>
      <c r="P924">
        <f t="shared" ca="1" si="163"/>
        <v>96860.43</v>
      </c>
      <c r="Q924">
        <f t="shared" ca="1" si="164"/>
        <v>5</v>
      </c>
      <c r="R924">
        <f ca="1">((Tabla2[[#This Row],[Fantasma Comunicación]]+1)/(Tabla2[[#This Row],[Fantasma Comunicación]]+RANDBETWEEN(0,5)+2))-0.5</f>
        <v>4.5454545454545414E-2</v>
      </c>
      <c r="S924">
        <f ca="1">1+MAX(0,Tabla2[[#This Row],[Deuda actual]]/Tabla2[[#This Row],[Liquidez]]+Tabla2[[#This Row],[Liquidez]]/(Tabla2[[#This Row],[Activos]]+Tabla2[[#This Row],[Liquidez]])+Tabla2[[#This Row],[Comunicación]])</f>
        <v>2.8776443400964107</v>
      </c>
      <c r="T924">
        <f ca="1">Tabla2[[#This Row],[Deuda actual]]*EXP(Tabla2[[#This Row],[Ki]]*Tabla2[[#This Row],[diferencia de días]])*(1+Tabla2[[#This Row],[Hg]])</f>
        <v>2530.3465065211499</v>
      </c>
    </row>
    <row r="925" spans="1:20" ht="14.5" x14ac:dyDescent="0.35">
      <c r="A925">
        <f t="shared" si="165"/>
        <v>43</v>
      </c>
      <c r="B925">
        <f t="shared" ca="1" si="155"/>
        <v>46099</v>
      </c>
      <c r="C925">
        <f t="shared" ca="1" si="156"/>
        <v>46157</v>
      </c>
      <c r="D925">
        <f t="shared" ca="1" si="157"/>
        <v>8</v>
      </c>
      <c r="E925">
        <f t="shared" ca="1" si="158"/>
        <v>0.95683431613407488</v>
      </c>
      <c r="F925">
        <f t="shared" ca="1" si="159"/>
        <v>164.08</v>
      </c>
      <c r="G925" t="str">
        <f t="shared" ca="1" si="160"/>
        <v>hipotecario</v>
      </c>
      <c r="H92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25" t="str">
        <f t="shared" ca="1" si="161"/>
        <v>Sí</v>
      </c>
      <c r="J92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25">
        <f ca="1">IF(Tabla2[[#This Row],[¿cliente deuda abierta?]]="Sí", Tabla2[[#This Row],[Deuda actual]]*Tabla2[[#This Row],[diferencia de días]], "0")</f>
        <v>1312.64</v>
      </c>
      <c r="L92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2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2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25">
        <f t="shared" ca="1" si="162"/>
        <v>1128.57</v>
      </c>
      <c r="P925">
        <f t="shared" ca="1" si="163"/>
        <v>129102.95</v>
      </c>
      <c r="Q925">
        <f t="shared" ca="1" si="164"/>
        <v>2</v>
      </c>
      <c r="R925">
        <f ca="1">((Tabla2[[#This Row],[Fantasma Comunicación]]+1)/(Tabla2[[#This Row],[Fantasma Comunicación]]+RANDBETWEEN(0,5)+2))-0.5</f>
        <v>-7.1428571428571452E-2</v>
      </c>
      <c r="S925">
        <f ca="1">1+MAX(0,Tabla2[[#This Row],[Deuda actual]]/Tabla2[[#This Row],[Liquidez]]+Tabla2[[#This Row],[Liquidez]]/(Tabla2[[#This Row],[Activos]]+Tabla2[[#This Row],[Liquidez]])+Tabla2[[#This Row],[Comunicación]])</f>
        <v>1.0826248288149651</v>
      </c>
      <c r="T925">
        <f ca="1">Tabla2[[#This Row],[Deuda actual]]*EXP(Tabla2[[#This Row],[Ki]]*Tabla2[[#This Row],[diferencia de días]])*(1+Tabla2[[#This Row],[Hg]])</f>
        <v>172.55987504117962</v>
      </c>
    </row>
    <row r="926" spans="1:20" ht="14.5" x14ac:dyDescent="0.35">
      <c r="A926">
        <f t="shared" si="165"/>
        <v>44</v>
      </c>
      <c r="B926">
        <f t="shared" ca="1" si="155"/>
        <v>46083</v>
      </c>
      <c r="C926">
        <f t="shared" ca="1" si="156"/>
        <v>46157</v>
      </c>
      <c r="D926">
        <f t="shared" ca="1" si="157"/>
        <v>7</v>
      </c>
      <c r="E926">
        <f t="shared" ca="1" si="158"/>
        <v>0.19147276138042102</v>
      </c>
      <c r="F926">
        <f t="shared" ca="1" si="159"/>
        <v>7635.14</v>
      </c>
      <c r="G926" t="str">
        <f t="shared" ca="1" si="160"/>
        <v>hipotecario</v>
      </c>
      <c r="H92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26" t="str">
        <f t="shared" ca="1" si="161"/>
        <v>Sí</v>
      </c>
      <c r="J92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26">
        <f ca="1">IF(Tabla2[[#This Row],[¿cliente deuda abierta?]]="Sí", Tabla2[[#This Row],[Deuda actual]]*Tabla2[[#This Row],[diferencia de días]], "0")</f>
        <v>53445.98</v>
      </c>
      <c r="L92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92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26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926">
        <f t="shared" ca="1" si="162"/>
        <v>1919.67</v>
      </c>
      <c r="P926">
        <f t="shared" ca="1" si="163"/>
        <v>207585.76</v>
      </c>
      <c r="Q926">
        <f t="shared" ca="1" si="164"/>
        <v>2</v>
      </c>
      <c r="R926">
        <f ca="1">((Tabla2[[#This Row],[Fantasma Comunicación]]+1)/(Tabla2[[#This Row],[Fantasma Comunicación]]+RANDBETWEEN(0,5)+2))-0.5</f>
        <v>-7.1428571428571452E-2</v>
      </c>
      <c r="S926">
        <f ca="1">1+MAX(0,Tabla2[[#This Row],[Deuda actual]]/Tabla2[[#This Row],[Liquidez]]+Tabla2[[#This Row],[Liquidez]]/(Tabla2[[#This Row],[Activos]]+Tabla2[[#This Row],[Liquidez]])+Tabla2[[#This Row],[Comunicación]])</f>
        <v>4.9150533120787081</v>
      </c>
      <c r="T926">
        <f ca="1">Tabla2[[#This Row],[Deuda actual]]*EXP(Tabla2[[#This Row],[Ki]]*Tabla2[[#This Row],[diferencia de días]])*(1+Tabla2[[#This Row],[Hg]])</f>
        <v>8410.4203501232514</v>
      </c>
    </row>
    <row r="927" spans="1:20" ht="14.5" x14ac:dyDescent="0.35">
      <c r="A927">
        <f t="shared" si="165"/>
        <v>45</v>
      </c>
      <c r="B927">
        <f t="shared" ca="1" si="155"/>
        <v>46108</v>
      </c>
      <c r="C927">
        <f t="shared" ca="1" si="156"/>
        <v>46157</v>
      </c>
      <c r="D927">
        <f t="shared" ca="1" si="157"/>
        <v>3</v>
      </c>
      <c r="E927">
        <f t="shared" ca="1" si="158"/>
        <v>0.56501373736358695</v>
      </c>
      <c r="F927">
        <f t="shared" ca="1" si="159"/>
        <v>4230.91</v>
      </c>
      <c r="G927" t="str">
        <f t="shared" ca="1" si="160"/>
        <v>hipotecario</v>
      </c>
      <c r="H92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27" t="str">
        <f t="shared" ca="1" si="161"/>
        <v>No</v>
      </c>
      <c r="J92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165000.11304829936</v>
      </c>
      <c r="K927" t="str">
        <f ca="1">IF(Tabla2[[#This Row],[¿cliente deuda abierta?]]="Sí", Tabla2[[#This Row],[Deuda actual]]*Tabla2[[#This Row],[diferencia de días]], "0")</f>
        <v>0</v>
      </c>
      <c r="L92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2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2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27">
        <f t="shared" ca="1" si="162"/>
        <v>1543.69</v>
      </c>
      <c r="P927">
        <f t="shared" ca="1" si="163"/>
        <v>74584.22</v>
      </c>
      <c r="Q927">
        <f t="shared" ca="1" si="164"/>
        <v>3</v>
      </c>
      <c r="R927">
        <f ca="1">((Tabla2[[#This Row],[Fantasma Comunicación]]+1)/(Tabla2[[#This Row],[Fantasma Comunicación]]+RANDBETWEEN(0,5)+2))-0.5</f>
        <v>-5.555555555555558E-2</v>
      </c>
      <c r="S927">
        <f ca="1">1+MAX(0,Tabla2[[#This Row],[Deuda actual]]/Tabla2[[#This Row],[Liquidez]]+Tabla2[[#This Row],[Liquidez]]/(Tabla2[[#This Row],[Activos]]+Tabla2[[#This Row],[Liquidez]])+Tabla2[[#This Row],[Comunicación]])</f>
        <v>3.7054989967345104</v>
      </c>
      <c r="T927">
        <f ca="1">Tabla2[[#This Row],[Deuda actual]]*EXP(Tabla2[[#This Row],[Ki]]*Tabla2[[#This Row],[diferencia de días]])*(1+Tabla2[[#This Row],[Hg]])</f>
        <v>3386.7594461729082</v>
      </c>
    </row>
    <row r="928" spans="1:20" ht="14.5" x14ac:dyDescent="0.35">
      <c r="A928">
        <f t="shared" si="165"/>
        <v>46</v>
      </c>
      <c r="B928">
        <f t="shared" ca="1" si="155"/>
        <v>46112</v>
      </c>
      <c r="C928">
        <f t="shared" ca="1" si="156"/>
        <v>46157</v>
      </c>
      <c r="D928">
        <f t="shared" ca="1" si="157"/>
        <v>16</v>
      </c>
      <c r="E928">
        <f t="shared" ca="1" si="158"/>
        <v>0.5819424689357745</v>
      </c>
      <c r="F928">
        <f t="shared" ca="1" si="159"/>
        <v>34.79</v>
      </c>
      <c r="G928" t="str">
        <f t="shared" ca="1" si="160"/>
        <v>hipotecario</v>
      </c>
      <c r="H92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28" t="str">
        <f t="shared" ca="1" si="161"/>
        <v>Sí</v>
      </c>
      <c r="J92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28">
        <f ca="1">IF(Tabla2[[#This Row],[¿cliente deuda abierta?]]="Sí", Tabla2[[#This Row],[Deuda actual]]*Tabla2[[#This Row],[diferencia de días]], "0")</f>
        <v>556.64</v>
      </c>
      <c r="L92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2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2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28">
        <f t="shared" ca="1" si="162"/>
        <v>1946.1</v>
      </c>
      <c r="P928">
        <f t="shared" ca="1" si="163"/>
        <v>96566.13</v>
      </c>
      <c r="Q928">
        <f t="shared" ca="1" si="164"/>
        <v>4</v>
      </c>
      <c r="R928">
        <f ca="1">((Tabla2[[#This Row],[Fantasma Comunicación]]+1)/(Tabla2[[#This Row],[Fantasma Comunicación]]+RANDBETWEEN(0,5)+2))-0.5</f>
        <v>5.555555555555558E-2</v>
      </c>
      <c r="S928">
        <f ca="1">1+MAX(0,Tabla2[[#This Row],[Deuda actual]]/Tabla2[[#This Row],[Liquidez]]+Tabla2[[#This Row],[Liquidez]]/(Tabla2[[#This Row],[Activos]]+Tabla2[[#This Row],[Liquidez]])+Tabla2[[#This Row],[Comunicación]])</f>
        <v>1.0931872423436115</v>
      </c>
      <c r="T928">
        <f ca="1">Tabla2[[#This Row],[Deuda actual]]*EXP(Tabla2[[#This Row],[Ki]]*Tabla2[[#This Row],[diferencia de días]])*(1+Tabla2[[#This Row],[Hg]])</f>
        <v>36.764038522715076</v>
      </c>
    </row>
    <row r="929" spans="1:20" ht="14.5" x14ac:dyDescent="0.35">
      <c r="A929">
        <f t="shared" si="165"/>
        <v>47</v>
      </c>
      <c r="B929">
        <f t="shared" ca="1" si="155"/>
        <v>46102</v>
      </c>
      <c r="C929">
        <f t="shared" ca="1" si="156"/>
        <v>46157</v>
      </c>
      <c r="D929">
        <f t="shared" ca="1" si="157"/>
        <v>17</v>
      </c>
      <c r="E929">
        <f t="shared" ca="1" si="158"/>
        <v>0.5525611196517205</v>
      </c>
      <c r="F929">
        <f t="shared" ca="1" si="159"/>
        <v>115.93</v>
      </c>
      <c r="G929" t="str">
        <f t="shared" ca="1" si="160"/>
        <v>personal</v>
      </c>
      <c r="H92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29" t="str">
        <f t="shared" ca="1" si="161"/>
        <v>No</v>
      </c>
      <c r="J92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12000.703837919886</v>
      </c>
      <c r="K929" t="str">
        <f ca="1">IF(Tabla2[[#This Row],[¿cliente deuda abierta?]]="Sí", Tabla2[[#This Row],[Deuda actual]]*Tabla2[[#This Row],[diferencia de días]], "0")</f>
        <v>0</v>
      </c>
      <c r="L92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2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929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929">
        <f t="shared" ca="1" si="162"/>
        <v>1528.29</v>
      </c>
      <c r="P929">
        <f t="shared" ca="1" si="163"/>
        <v>408217.89</v>
      </c>
      <c r="Q929">
        <f t="shared" ca="1" si="164"/>
        <v>3</v>
      </c>
      <c r="R929">
        <f ca="1">((Tabla2[[#This Row],[Fantasma Comunicación]]+1)/(Tabla2[[#This Row],[Fantasma Comunicación]]+RANDBETWEEN(0,5)+2))-0.5</f>
        <v>0</v>
      </c>
      <c r="S929">
        <f ca="1">1+MAX(0,Tabla2[[#This Row],[Deuda actual]]/Tabla2[[#This Row],[Liquidez]]+Tabla2[[#This Row],[Liquidez]]/(Tabla2[[#This Row],[Activos]]+Tabla2[[#This Row],[Liquidez]])+Tabla2[[#This Row],[Comunicación]])</f>
        <v>1.0795858677227763</v>
      </c>
      <c r="T929">
        <f ca="1">Tabla2[[#This Row],[Deuda actual]]*EXP(Tabla2[[#This Row],[Ki]]*Tabla2[[#This Row],[diferencia de días]])*(1+Tabla2[[#This Row],[Hg]])</f>
        <v>105.04890934856323</v>
      </c>
    </row>
    <row r="930" spans="1:20" ht="14.5" x14ac:dyDescent="0.35">
      <c r="A930">
        <f t="shared" si="165"/>
        <v>48</v>
      </c>
      <c r="B930">
        <f t="shared" ca="1" si="155"/>
        <v>46141</v>
      </c>
      <c r="C930">
        <f t="shared" ca="1" si="156"/>
        <v>46157</v>
      </c>
      <c r="D930">
        <f t="shared" ca="1" si="157"/>
        <v>0</v>
      </c>
      <c r="E930">
        <f t="shared" ca="1" si="158"/>
        <v>0.78683796711511222</v>
      </c>
      <c r="F930">
        <f t="shared" ca="1" si="159"/>
        <v>476.93</v>
      </c>
      <c r="G930" t="str">
        <f t="shared" ca="1" si="160"/>
        <v>hipotecario</v>
      </c>
      <c r="H93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30" t="str">
        <f t="shared" ca="1" si="161"/>
        <v>Sí</v>
      </c>
      <c r="J93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30">
        <f ca="1">IF(Tabla2[[#This Row],[¿cliente deuda abierta?]]="Sí", Tabla2[[#This Row],[Deuda actual]]*Tabla2[[#This Row],[diferencia de días]], "0")</f>
        <v>0</v>
      </c>
      <c r="L93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3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30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930">
        <f t="shared" ca="1" si="162"/>
        <v>1545.78</v>
      </c>
      <c r="P930">
        <f t="shared" ca="1" si="163"/>
        <v>112944.29</v>
      </c>
      <c r="Q930">
        <f t="shared" ca="1" si="164"/>
        <v>2</v>
      </c>
      <c r="R930">
        <f ca="1">((Tabla2[[#This Row],[Fantasma Comunicación]]+1)/(Tabla2[[#This Row],[Fantasma Comunicación]]+RANDBETWEEN(0,5)+2))-0.5</f>
        <v>0</v>
      </c>
      <c r="S930">
        <f ca="1">1+MAX(0,Tabla2[[#This Row],[Deuda actual]]/Tabla2[[#This Row],[Liquidez]]+Tabla2[[#This Row],[Liquidez]]/(Tabla2[[#This Row],[Activos]]+Tabla2[[#This Row],[Liquidez]])+Tabla2[[#This Row],[Comunicación]])</f>
        <v>1.3220382234066799</v>
      </c>
      <c r="T930">
        <f ca="1">Tabla2[[#This Row],[Deuda actual]]*EXP(Tabla2[[#This Row],[Ki]]*Tabla2[[#This Row],[diferencia de días]])*(1+Tabla2[[#This Row],[Hg]])</f>
        <v>476.93</v>
      </c>
    </row>
    <row r="931" spans="1:20" ht="14.5" x14ac:dyDescent="0.35">
      <c r="A931">
        <f t="shared" si="165"/>
        <v>49</v>
      </c>
      <c r="B931">
        <f t="shared" ca="1" si="155"/>
        <v>46117</v>
      </c>
      <c r="C931">
        <f t="shared" ca="1" si="156"/>
        <v>46157</v>
      </c>
      <c r="D931">
        <f t="shared" ca="1" si="157"/>
        <v>0</v>
      </c>
      <c r="E931">
        <f t="shared" ca="1" si="158"/>
        <v>0.4221809215988348</v>
      </c>
      <c r="F931">
        <f t="shared" ca="1" si="159"/>
        <v>1260.6500000000001</v>
      </c>
      <c r="G931" t="str">
        <f t="shared" ca="1" si="160"/>
        <v>hipotecario</v>
      </c>
      <c r="H93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31" t="str">
        <f t="shared" ca="1" si="161"/>
        <v>Sí</v>
      </c>
      <c r="J93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31">
        <f ca="1">IF(Tabla2[[#This Row],[¿cliente deuda abierta?]]="Sí", Tabla2[[#This Row],[Deuda actual]]*Tabla2[[#This Row],[diferencia de días]], "0")</f>
        <v>0</v>
      </c>
      <c r="L931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3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31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931">
        <f t="shared" ca="1" si="162"/>
        <v>1870.32</v>
      </c>
      <c r="P931">
        <f t="shared" ca="1" si="163"/>
        <v>60893.45</v>
      </c>
      <c r="Q931">
        <f t="shared" ca="1" si="164"/>
        <v>3</v>
      </c>
      <c r="R931">
        <f ca="1">((Tabla2[[#This Row],[Fantasma Comunicación]]+1)/(Tabla2[[#This Row],[Fantasma Comunicación]]+RANDBETWEEN(0,5)+2))-0.5</f>
        <v>-9.9999999999999978E-2</v>
      </c>
      <c r="S931">
        <f ca="1">1+MAX(0,Tabla2[[#This Row],[Deuda actual]]/Tabla2[[#This Row],[Liquidez]]+Tabla2[[#This Row],[Liquidez]]/(Tabla2[[#This Row],[Activos]]+Tabla2[[#This Row],[Liquidez]])+Tabla2[[#This Row],[Comunicación]])</f>
        <v>1.6038284003353092</v>
      </c>
      <c r="T931">
        <f ca="1">Tabla2[[#This Row],[Deuda actual]]*EXP(Tabla2[[#This Row],[Ki]]*Tabla2[[#This Row],[diferencia de días]])*(1+Tabla2[[#This Row],[Hg]])</f>
        <v>1260.6500000000001</v>
      </c>
    </row>
    <row r="932" spans="1:20" ht="14.5" x14ac:dyDescent="0.35">
      <c r="A932">
        <f t="shared" si="165"/>
        <v>50</v>
      </c>
      <c r="B932">
        <f t="shared" ca="1" si="155"/>
        <v>46120</v>
      </c>
      <c r="C932">
        <f t="shared" ca="1" si="156"/>
        <v>46157</v>
      </c>
      <c r="D932">
        <f t="shared" ca="1" si="157"/>
        <v>12</v>
      </c>
      <c r="E932">
        <f t="shared" ca="1" si="158"/>
        <v>0.19516795395602948</v>
      </c>
      <c r="F932">
        <f t="shared" ca="1" si="159"/>
        <v>1325.45</v>
      </c>
      <c r="G932" t="str">
        <f t="shared" ca="1" si="160"/>
        <v>personal</v>
      </c>
      <c r="H93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32" t="str">
        <f t="shared" ca="1" si="161"/>
        <v>Sí</v>
      </c>
      <c r="J93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32">
        <f ca="1">IF(Tabla2[[#This Row],[¿cliente deuda abierta?]]="Sí", Tabla2[[#This Row],[Deuda actual]]*Tabla2[[#This Row],[diferencia de días]], "0")</f>
        <v>15905.400000000001</v>
      </c>
      <c r="L93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3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3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32">
        <f t="shared" ca="1" si="162"/>
        <v>2080.11</v>
      </c>
      <c r="P932">
        <f t="shared" ca="1" si="163"/>
        <v>251539.51</v>
      </c>
      <c r="Q932">
        <f t="shared" ca="1" si="164"/>
        <v>3</v>
      </c>
      <c r="R932">
        <f ca="1">((Tabla2[[#This Row],[Fantasma Comunicación]]+1)/(Tabla2[[#This Row],[Fantasma Comunicación]]+RANDBETWEEN(0,5)+2))-0.5</f>
        <v>0</v>
      </c>
      <c r="S932">
        <f ca="1">1+MAX(0,Tabla2[[#This Row],[Deuda actual]]/Tabla2[[#This Row],[Liquidez]]+Tabla2[[#This Row],[Liquidez]]/(Tabla2[[#This Row],[Activos]]+Tabla2[[#This Row],[Liquidez]])+Tabla2[[#This Row],[Comunicación]])</f>
        <v>1.6454035707136883</v>
      </c>
      <c r="T932">
        <f ca="1">Tabla2[[#This Row],[Deuda actual]]*EXP(Tabla2[[#This Row],[Ki]]*Tabla2[[#This Row],[diferencia de días]])*(1+Tabla2[[#This Row],[Hg]])</f>
        <v>1395.0666453692536</v>
      </c>
    </row>
    <row r="933" spans="1:20" ht="14.5" x14ac:dyDescent="0.35">
      <c r="A933">
        <f t="shared" si="165"/>
        <v>51</v>
      </c>
      <c r="B933">
        <f t="shared" ca="1" si="155"/>
        <v>46119</v>
      </c>
      <c r="C933">
        <f t="shared" ca="1" si="156"/>
        <v>46157</v>
      </c>
      <c r="D933">
        <f t="shared" ca="1" si="157"/>
        <v>16</v>
      </c>
      <c r="E933">
        <f t="shared" ca="1" si="158"/>
        <v>0.69988599201166213</v>
      </c>
      <c r="F933">
        <f t="shared" ca="1" si="159"/>
        <v>4806.41</v>
      </c>
      <c r="G933" t="str">
        <f t="shared" ca="1" si="160"/>
        <v>hipotecario</v>
      </c>
      <c r="H93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33" t="str">
        <f t="shared" ca="1" si="161"/>
        <v>No</v>
      </c>
      <c r="J93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165000.62132690454</v>
      </c>
      <c r="K933" t="str">
        <f ca="1">IF(Tabla2[[#This Row],[¿cliente deuda abierta?]]="Sí", Tabla2[[#This Row],[Deuda actual]]*Tabla2[[#This Row],[diferencia de días]], "0")</f>
        <v>0</v>
      </c>
      <c r="L93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3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3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33">
        <f t="shared" ca="1" si="162"/>
        <v>860.43</v>
      </c>
      <c r="P933">
        <f t="shared" ca="1" si="163"/>
        <v>266481.33</v>
      </c>
      <c r="Q933">
        <f t="shared" ca="1" si="164"/>
        <v>4</v>
      </c>
      <c r="R933">
        <f ca="1">((Tabla2[[#This Row],[Fantasma Comunicación]]+1)/(Tabla2[[#This Row],[Fantasma Comunicación]]+RANDBETWEEN(0,5)+2))-0.5</f>
        <v>0.125</v>
      </c>
      <c r="S933">
        <f ca="1">1+MAX(0,Tabla2[[#This Row],[Deuda actual]]/Tabla2[[#This Row],[Liquidez]]+Tabla2[[#This Row],[Liquidez]]/(Tabla2[[#This Row],[Activos]]+Tabla2[[#This Row],[Liquidez]])+Tabla2[[#This Row],[Comunicación]])</f>
        <v>6.71427427393958</v>
      </c>
      <c r="T933">
        <f ca="1">Tabla2[[#This Row],[Deuda actual]]*EXP(Tabla2[[#This Row],[Ki]]*Tabla2[[#This Row],[diferencia de días]])*(1+Tabla2[[#This Row],[Hg]])</f>
        <v>3869.8157356867846</v>
      </c>
    </row>
    <row r="934" spans="1:20" ht="14.5" x14ac:dyDescent="0.35">
      <c r="A934">
        <f t="shared" si="165"/>
        <v>52</v>
      </c>
      <c r="B934">
        <f t="shared" ca="1" si="155"/>
        <v>46123</v>
      </c>
      <c r="C934">
        <f t="shared" ca="1" si="156"/>
        <v>46157</v>
      </c>
      <c r="D934">
        <f t="shared" ca="1" si="157"/>
        <v>1</v>
      </c>
      <c r="E934">
        <f t="shared" ca="1" si="158"/>
        <v>9.5310507217758689E-2</v>
      </c>
      <c r="F934">
        <f t="shared" ca="1" si="159"/>
        <v>262.37</v>
      </c>
      <c r="G934" t="str">
        <f t="shared" ca="1" si="160"/>
        <v>hipotecario</v>
      </c>
      <c r="H93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34" t="str">
        <f t="shared" ca="1" si="161"/>
        <v>Sí</v>
      </c>
      <c r="J93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34">
        <f ca="1">IF(Tabla2[[#This Row],[¿cliente deuda abierta?]]="Sí", Tabla2[[#This Row],[Deuda actual]]*Tabla2[[#This Row],[diferencia de días]], "0")</f>
        <v>262.37</v>
      </c>
      <c r="L93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3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3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34">
        <f t="shared" ca="1" si="162"/>
        <v>1889</v>
      </c>
      <c r="P934">
        <f t="shared" ca="1" si="163"/>
        <v>38274.699999999997</v>
      </c>
      <c r="Q934">
        <f t="shared" ca="1" si="164"/>
        <v>1</v>
      </c>
      <c r="R934">
        <f ca="1">((Tabla2[[#This Row],[Fantasma Comunicación]]+1)/(Tabla2[[#This Row],[Fantasma Comunicación]]+RANDBETWEEN(0,5)+2))-0.5</f>
        <v>-0.2142857142857143</v>
      </c>
      <c r="S934">
        <f ca="1">1+MAX(0,Tabla2[[#This Row],[Deuda actual]]/Tabla2[[#This Row],[Liquidez]]+Tabla2[[#This Row],[Liquidez]]/(Tabla2[[#This Row],[Activos]]+Tabla2[[#This Row],[Liquidez]])+Tabla2[[#This Row],[Comunicación]])</f>
        <v>1</v>
      </c>
      <c r="T934">
        <f ca="1">Tabla2[[#This Row],[Deuda actual]]*EXP(Tabla2[[#This Row],[Ki]]*Tabla2[[#This Row],[diferencia de días]])*(1+Tabla2[[#This Row],[Hg]])</f>
        <v>275.54360321013741</v>
      </c>
    </row>
    <row r="935" spans="1:20" ht="14.5" x14ac:dyDescent="0.35">
      <c r="A935">
        <f t="shared" si="165"/>
        <v>53</v>
      </c>
      <c r="B935">
        <f t="shared" ca="1" si="155"/>
        <v>46121</v>
      </c>
      <c r="C935">
        <f t="shared" ca="1" si="156"/>
        <v>46157</v>
      </c>
      <c r="D935">
        <f t="shared" ca="1" si="157"/>
        <v>8</v>
      </c>
      <c r="E935">
        <f t="shared" ca="1" si="158"/>
        <v>0.31697661240114283</v>
      </c>
      <c r="F935">
        <f t="shared" ca="1" si="159"/>
        <v>223.94</v>
      </c>
      <c r="G935" t="str">
        <f t="shared" ca="1" si="160"/>
        <v>hipotecario</v>
      </c>
      <c r="H93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35" t="str">
        <f t="shared" ca="1" si="161"/>
        <v>No</v>
      </c>
      <c r="J93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165000.07932972198</v>
      </c>
      <c r="K935" t="str">
        <f ca="1">IF(Tabla2[[#This Row],[¿cliente deuda abierta?]]="Sí", Tabla2[[#This Row],[Deuda actual]]*Tabla2[[#This Row],[diferencia de días]], "0")</f>
        <v>0</v>
      </c>
      <c r="L93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3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35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35">
        <f t="shared" ca="1" si="162"/>
        <v>1463.74</v>
      </c>
      <c r="P935">
        <f t="shared" ca="1" si="163"/>
        <v>161189.59</v>
      </c>
      <c r="Q935">
        <f t="shared" ca="1" si="164"/>
        <v>0</v>
      </c>
      <c r="R935">
        <f ca="1">((Tabla2[[#This Row],[Fantasma Comunicación]]+1)/(Tabla2[[#This Row],[Fantasma Comunicación]]+RANDBETWEEN(0,5)+2))-0.5</f>
        <v>-0.16666666666666669</v>
      </c>
      <c r="S935">
        <f ca="1">1+MAX(0,Tabla2[[#This Row],[Deuda actual]]/Tabla2[[#This Row],[Liquidez]]+Tabla2[[#This Row],[Liquidez]]/(Tabla2[[#This Row],[Activos]]+Tabla2[[#This Row],[Liquidez]])+Tabla2[[#This Row],[Comunicación]])</f>
        <v>1</v>
      </c>
      <c r="T935">
        <f ca="1">Tabla2[[#This Row],[Deuda actual]]*EXP(Tabla2[[#This Row],[Ki]]*Tabla2[[#This Row],[diferencia de días]])*(1+Tabla2[[#This Row],[Hg]])</f>
        <v>179.43887263691002</v>
      </c>
    </row>
    <row r="936" spans="1:20" ht="14.5" x14ac:dyDescent="0.35">
      <c r="A936">
        <f t="shared" si="165"/>
        <v>54</v>
      </c>
      <c r="B936">
        <f t="shared" ca="1" si="155"/>
        <v>46092</v>
      </c>
      <c r="C936">
        <f t="shared" ca="1" si="156"/>
        <v>46157</v>
      </c>
      <c r="D936">
        <f t="shared" ca="1" si="157"/>
        <v>51</v>
      </c>
      <c r="E936">
        <f t="shared" ca="1" si="158"/>
        <v>0.98872406222534737</v>
      </c>
      <c r="F936">
        <f t="shared" ca="1" si="159"/>
        <v>485.56</v>
      </c>
      <c r="G936" t="str">
        <f t="shared" ca="1" si="160"/>
        <v>personal</v>
      </c>
      <c r="H93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936" t="str">
        <f t="shared" ca="1" si="161"/>
        <v>Sí</v>
      </c>
      <c r="J93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36">
        <f ca="1">IF(Tabla2[[#This Row],[¿cliente deuda abierta?]]="Sí", Tabla2[[#This Row],[Deuda actual]]*Tabla2[[#This Row],[diferencia de días]], "0")</f>
        <v>24763.56</v>
      </c>
      <c r="L93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3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3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36">
        <f t="shared" ca="1" si="162"/>
        <v>1124.55</v>
      </c>
      <c r="P936">
        <f t="shared" ca="1" si="163"/>
        <v>297457.27</v>
      </c>
      <c r="Q936">
        <f t="shared" ca="1" si="164"/>
        <v>2</v>
      </c>
      <c r="R936">
        <f ca="1">((Tabla2[[#This Row],[Fantasma Comunicación]]+1)/(Tabla2[[#This Row],[Fantasma Comunicación]]+RANDBETWEEN(0,5)+2))-0.5</f>
        <v>9.9999999999999978E-2</v>
      </c>
      <c r="S936">
        <f ca="1">1+MAX(0,Tabla2[[#This Row],[Deuda actual]]/Tabla2[[#This Row],[Liquidez]]+Tabla2[[#This Row],[Liquidez]]/(Tabla2[[#This Row],[Activos]]+Tabla2[[#This Row],[Liquidez]])+Tabla2[[#This Row],[Comunicación]])</f>
        <v>1.5355479058543922</v>
      </c>
      <c r="T936">
        <f ca="1">Tabla2[[#This Row],[Deuda actual]]*EXP(Tabla2[[#This Row],[Ki]]*Tabla2[[#This Row],[diferencia de días]])*(1+Tabla2[[#This Row],[Hg]])</f>
        <v>550.37123771711993</v>
      </c>
    </row>
    <row r="937" spans="1:20" ht="14.5" x14ac:dyDescent="0.35">
      <c r="A937">
        <f t="shared" si="165"/>
        <v>55</v>
      </c>
      <c r="B937">
        <f t="shared" ca="1" si="155"/>
        <v>46141</v>
      </c>
      <c r="C937">
        <f t="shared" ca="1" si="156"/>
        <v>46157</v>
      </c>
      <c r="D937">
        <f t="shared" ca="1" si="157"/>
        <v>1</v>
      </c>
      <c r="E937">
        <f t="shared" ca="1" si="158"/>
        <v>0.84271592270211748</v>
      </c>
      <c r="F937">
        <f t="shared" ca="1" si="159"/>
        <v>178.29</v>
      </c>
      <c r="G937" t="str">
        <f t="shared" ca="1" si="160"/>
        <v>hipotecario</v>
      </c>
      <c r="H93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37" t="str">
        <f t="shared" ca="1" si="161"/>
        <v>No</v>
      </c>
      <c r="J93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165001.60392293302</v>
      </c>
      <c r="K937" t="str">
        <f ca="1">IF(Tabla2[[#This Row],[¿cliente deuda abierta?]]="Sí", Tabla2[[#This Row],[Deuda actual]]*Tabla2[[#This Row],[diferencia de días]], "0")</f>
        <v>0</v>
      </c>
      <c r="L93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3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3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37">
        <f t="shared" ca="1" si="162"/>
        <v>1642.87</v>
      </c>
      <c r="P937">
        <f t="shared" ca="1" si="163"/>
        <v>43039.15</v>
      </c>
      <c r="Q937">
        <f t="shared" ca="1" si="164"/>
        <v>1</v>
      </c>
      <c r="R937">
        <f ca="1">((Tabla2[[#This Row],[Fantasma Comunicación]]+1)/(Tabla2[[#This Row],[Fantasma Comunicación]]+RANDBETWEEN(0,5)+2))-0.5</f>
        <v>-0.2142857142857143</v>
      </c>
      <c r="S937">
        <f ca="1">1+MAX(0,Tabla2[[#This Row],[Deuda actual]]/Tabla2[[#This Row],[Liquidez]]+Tabla2[[#This Row],[Liquidez]]/(Tabla2[[#This Row],[Activos]]+Tabla2[[#This Row],[Liquidez]])+Tabla2[[#This Row],[Comunicación]])</f>
        <v>1</v>
      </c>
      <c r="T937">
        <f ca="1">Tabla2[[#This Row],[Deuda actual]]*EXP(Tabla2[[#This Row],[Ki]]*Tabla2[[#This Row],[diferencia de días]])*(1+Tabla2[[#This Row],[Hg]])</f>
        <v>142.66052925283017</v>
      </c>
    </row>
    <row r="938" spans="1:20" ht="14.5" x14ac:dyDescent="0.35">
      <c r="A938">
        <f t="shared" si="165"/>
        <v>56</v>
      </c>
      <c r="B938">
        <f t="shared" ca="1" si="155"/>
        <v>46110</v>
      </c>
      <c r="C938">
        <f t="shared" ca="1" si="156"/>
        <v>46157</v>
      </c>
      <c r="D938">
        <f t="shared" ca="1" si="157"/>
        <v>3</v>
      </c>
      <c r="E938">
        <f t="shared" ca="1" si="158"/>
        <v>0.37099575046660604</v>
      </c>
      <c r="F938">
        <f t="shared" ca="1" si="159"/>
        <v>10000</v>
      </c>
      <c r="G938" t="str">
        <f t="shared" ca="1" si="160"/>
        <v>personal</v>
      </c>
      <c r="H93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38" t="str">
        <f t="shared" ca="1" si="161"/>
        <v>No</v>
      </c>
      <c r="J93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11999.649954543933</v>
      </c>
      <c r="K938" t="str">
        <f ca="1">IF(Tabla2[[#This Row],[¿cliente deuda abierta?]]="Sí", Tabla2[[#This Row],[Deuda actual]]*Tabla2[[#This Row],[diferencia de días]], "0")</f>
        <v>0</v>
      </c>
      <c r="L93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3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93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938">
        <f t="shared" ca="1" si="162"/>
        <v>1803.2</v>
      </c>
      <c r="P938">
        <f t="shared" ca="1" si="163"/>
        <v>161122.71</v>
      </c>
      <c r="Q938">
        <f t="shared" ca="1" si="164"/>
        <v>5</v>
      </c>
      <c r="R938">
        <f ca="1">((Tabla2[[#This Row],[Fantasma Comunicación]]+1)/(Tabla2[[#This Row],[Fantasma Comunicación]]+RANDBETWEEN(0,5)+2))-0.5</f>
        <v>4.5454545454545414E-2</v>
      </c>
      <c r="S938">
        <f ca="1">1+MAX(0,Tabla2[[#This Row],[Deuda actual]]/Tabla2[[#This Row],[Liquidez]]+Tabla2[[#This Row],[Liquidez]]/(Tabla2[[#This Row],[Activos]]+Tabla2[[#This Row],[Liquidez]])+Tabla2[[#This Row],[Comunicación]])</f>
        <v>6.6022186922959101</v>
      </c>
      <c r="T938">
        <f ca="1">Tabla2[[#This Row],[Deuda actual]]*EXP(Tabla2[[#This Row],[Ki]]*Tabla2[[#This Row],[diferencia de días]])*(1+Tabla2[[#This Row],[Hg]])</f>
        <v>9005.4016203240499</v>
      </c>
    </row>
    <row r="939" spans="1:20" ht="14.5" x14ac:dyDescent="0.35">
      <c r="A939">
        <f t="shared" si="165"/>
        <v>57</v>
      </c>
      <c r="B939">
        <f t="shared" ca="1" si="155"/>
        <v>46124</v>
      </c>
      <c r="C939">
        <f t="shared" ca="1" si="156"/>
        <v>46157</v>
      </c>
      <c r="D939">
        <f t="shared" ca="1" si="157"/>
        <v>33</v>
      </c>
      <c r="E939">
        <f t="shared" ca="1" si="158"/>
        <v>0.35015530034425857</v>
      </c>
      <c r="F939">
        <f t="shared" ca="1" si="159"/>
        <v>1387.57</v>
      </c>
      <c r="G939" t="str">
        <f t="shared" ca="1" si="160"/>
        <v>personal</v>
      </c>
      <c r="H93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939" t="str">
        <f t="shared" ca="1" si="161"/>
        <v>Sí</v>
      </c>
      <c r="J93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39">
        <f ca="1">IF(Tabla2[[#This Row],[¿cliente deuda abierta?]]="Sí", Tabla2[[#This Row],[Deuda actual]]*Tabla2[[#This Row],[diferencia de días]], "0")</f>
        <v>45789.81</v>
      </c>
      <c r="L93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93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39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939">
        <f t="shared" ca="1" si="162"/>
        <v>1781.88</v>
      </c>
      <c r="P939">
        <f t="shared" ca="1" si="163"/>
        <v>157066.04999999999</v>
      </c>
      <c r="Q939">
        <f t="shared" ca="1" si="164"/>
        <v>2</v>
      </c>
      <c r="R939">
        <f ca="1">((Tabla2[[#This Row],[Fantasma Comunicación]]+1)/(Tabla2[[#This Row],[Fantasma Comunicación]]+RANDBETWEEN(0,5)+2))-0.5</f>
        <v>-7.1428571428571452E-2</v>
      </c>
      <c r="S939">
        <f ca="1">1+MAX(0,Tabla2[[#This Row],[Deuda actual]]/Tabla2[[#This Row],[Liquidez]]+Tabla2[[#This Row],[Liquidez]]/(Tabla2[[#This Row],[Activos]]+Tabla2[[#This Row],[Liquidez]])+Tabla2[[#This Row],[Comunicación]])</f>
        <v>1.7185001984241302</v>
      </c>
      <c r="T939">
        <f ca="1">Tabla2[[#This Row],[Deuda actual]]*EXP(Tabla2[[#This Row],[Ki]]*Tabla2[[#This Row],[diferencia de días]])*(1+Tabla2[[#This Row],[Hg]])</f>
        <v>1577.5360939085642</v>
      </c>
    </row>
    <row r="940" spans="1:20" ht="14.5" x14ac:dyDescent="0.35">
      <c r="A940">
        <f t="shared" si="165"/>
        <v>58</v>
      </c>
      <c r="B940">
        <f t="shared" ca="1" si="155"/>
        <v>46103</v>
      </c>
      <c r="C940">
        <f t="shared" ca="1" si="156"/>
        <v>46157</v>
      </c>
      <c r="D940">
        <f t="shared" ca="1" si="157"/>
        <v>24</v>
      </c>
      <c r="E940">
        <f t="shared" ca="1" si="158"/>
        <v>0.64908873163224823</v>
      </c>
      <c r="F940">
        <f t="shared" ca="1" si="159"/>
        <v>1044.33</v>
      </c>
      <c r="G940" t="str">
        <f t="shared" ca="1" si="160"/>
        <v>personal</v>
      </c>
      <c r="H94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40" t="str">
        <f t="shared" ca="1" si="161"/>
        <v>Sí</v>
      </c>
      <c r="J94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40">
        <f ca="1">IF(Tabla2[[#This Row],[¿cliente deuda abierta?]]="Sí", Tabla2[[#This Row],[Deuda actual]]*Tabla2[[#This Row],[diferencia de días]], "0")</f>
        <v>25063.919999999998</v>
      </c>
      <c r="L94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4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4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40">
        <f t="shared" ca="1" si="162"/>
        <v>1524.03</v>
      </c>
      <c r="P940">
        <f t="shared" ca="1" si="163"/>
        <v>18547.36</v>
      </c>
      <c r="Q940">
        <f t="shared" ca="1" si="164"/>
        <v>3</v>
      </c>
      <c r="R940">
        <f ca="1">((Tabla2[[#This Row],[Fantasma Comunicación]]+1)/(Tabla2[[#This Row],[Fantasma Comunicación]]+RANDBETWEEN(0,5)+2))-0.5</f>
        <v>-9.9999999999999978E-2</v>
      </c>
      <c r="S940">
        <f ca="1">1+MAX(0,Tabla2[[#This Row],[Deuda actual]]/Tabla2[[#This Row],[Liquidez]]+Tabla2[[#This Row],[Liquidez]]/(Tabla2[[#This Row],[Activos]]+Tabla2[[#This Row],[Liquidez]])+Tabla2[[#This Row],[Comunicación]])</f>
        <v>1.6611728826887604</v>
      </c>
      <c r="T940">
        <f ca="1">Tabla2[[#This Row],[Deuda actual]]*EXP(Tabla2[[#This Row],[Ki]]*Tabla2[[#This Row],[diferencia de días]])*(1+Tabla2[[#This Row],[Hg]])</f>
        <v>1107.1240373438886</v>
      </c>
    </row>
    <row r="941" spans="1:20" ht="14.5" x14ac:dyDescent="0.35">
      <c r="A941">
        <f t="shared" si="165"/>
        <v>59</v>
      </c>
      <c r="B941">
        <f t="shared" ca="1" si="155"/>
        <v>46119</v>
      </c>
      <c r="C941">
        <f t="shared" ca="1" si="156"/>
        <v>46157</v>
      </c>
      <c r="D941">
        <f t="shared" ca="1" si="157"/>
        <v>6</v>
      </c>
      <c r="E941">
        <f t="shared" ca="1" si="158"/>
        <v>0.40150595141144785</v>
      </c>
      <c r="F941">
        <f t="shared" ca="1" si="159"/>
        <v>344.99</v>
      </c>
      <c r="G941" t="str">
        <f t="shared" ca="1" si="160"/>
        <v>personal</v>
      </c>
      <c r="H94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41" t="str">
        <f t="shared" ca="1" si="161"/>
        <v>Sí</v>
      </c>
      <c r="J94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41">
        <f ca="1">IF(Tabla2[[#This Row],[¿cliente deuda abierta?]]="Sí", Tabla2[[#This Row],[Deuda actual]]*Tabla2[[#This Row],[diferencia de días]], "0")</f>
        <v>2069.94</v>
      </c>
      <c r="L94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4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4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41">
        <f t="shared" ca="1" si="162"/>
        <v>1345.9</v>
      </c>
      <c r="P941">
        <f t="shared" ca="1" si="163"/>
        <v>27758.2</v>
      </c>
      <c r="Q941">
        <f t="shared" ca="1" si="164"/>
        <v>3</v>
      </c>
      <c r="R941">
        <f ca="1">((Tabla2[[#This Row],[Fantasma Comunicación]]+1)/(Tabla2[[#This Row],[Fantasma Comunicación]]+RANDBETWEEN(0,5)+2))-0.5</f>
        <v>-5.555555555555558E-2</v>
      </c>
      <c r="S941">
        <f ca="1">1+MAX(0,Tabla2[[#This Row],[Deuda actual]]/Tabla2[[#This Row],[Liquidez]]+Tabla2[[#This Row],[Liquidez]]/(Tabla2[[#This Row],[Activos]]+Tabla2[[#This Row],[Liquidez]])+Tabla2[[#This Row],[Comunicación]])</f>
        <v>1.2470154096164023</v>
      </c>
      <c r="T941">
        <f ca="1">Tabla2[[#This Row],[Deuda actual]]*EXP(Tabla2[[#This Row],[Ki]]*Tabla2[[#This Row],[diferencia de días]])*(1+Tabla2[[#This Row],[Hg]])</f>
        <v>362.67444831679632</v>
      </c>
    </row>
    <row r="942" spans="1:20" ht="14.5" x14ac:dyDescent="0.35">
      <c r="A942">
        <f t="shared" si="165"/>
        <v>60</v>
      </c>
      <c r="B942">
        <f t="shared" ca="1" si="155"/>
        <v>46142</v>
      </c>
      <c r="C942">
        <f t="shared" ca="1" si="156"/>
        <v>46157</v>
      </c>
      <c r="D942">
        <f t="shared" ca="1" si="157"/>
        <v>33</v>
      </c>
      <c r="E942">
        <f t="shared" ca="1" si="158"/>
        <v>0.20850846296635972</v>
      </c>
      <c r="F942">
        <f t="shared" ca="1" si="159"/>
        <v>401.92</v>
      </c>
      <c r="G942" t="str">
        <f t="shared" ca="1" si="160"/>
        <v>personal</v>
      </c>
      <c r="H94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942" t="str">
        <f t="shared" ca="1" si="161"/>
        <v>Sí</v>
      </c>
      <c r="J94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42">
        <f ca="1">IF(Tabla2[[#This Row],[¿cliente deuda abierta?]]="Sí", Tabla2[[#This Row],[Deuda actual]]*Tabla2[[#This Row],[diferencia de días]], "0")</f>
        <v>13263.36</v>
      </c>
      <c r="L94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4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4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42">
        <f t="shared" ca="1" si="162"/>
        <v>1610.66</v>
      </c>
      <c r="P942">
        <f t="shared" ca="1" si="163"/>
        <v>172774.52</v>
      </c>
      <c r="Q942">
        <f t="shared" ca="1" si="164"/>
        <v>5</v>
      </c>
      <c r="R942">
        <f ca="1">((Tabla2[[#This Row],[Fantasma Comunicación]]+1)/(Tabla2[[#This Row],[Fantasma Comunicación]]+RANDBETWEEN(0,5)+2))-0.5</f>
        <v>9.9999999999999978E-2</v>
      </c>
      <c r="S942">
        <f ca="1">1+MAX(0,Tabla2[[#This Row],[Deuda actual]]/Tabla2[[#This Row],[Liquidez]]+Tabla2[[#This Row],[Liquidez]]/(Tabla2[[#This Row],[Activos]]+Tabla2[[#This Row],[Liquidez]])+Tabla2[[#This Row],[Comunicación]])</f>
        <v>1.3587736773415027</v>
      </c>
      <c r="T942">
        <f ca="1">Tabla2[[#This Row],[Deuda actual]]*EXP(Tabla2[[#This Row],[Ki]]*Tabla2[[#This Row],[diferencia de días]])*(1+Tabla2[[#This Row],[Hg]])</f>
        <v>436.17486436845883</v>
      </c>
    </row>
    <row r="943" spans="1:20" ht="14.5" x14ac:dyDescent="0.35">
      <c r="A943">
        <f t="shared" si="165"/>
        <v>61</v>
      </c>
      <c r="B943">
        <f t="shared" ca="1" si="155"/>
        <v>46091</v>
      </c>
      <c r="C943">
        <f t="shared" ca="1" si="156"/>
        <v>46157</v>
      </c>
      <c r="D943">
        <f t="shared" ca="1" si="157"/>
        <v>4</v>
      </c>
      <c r="E943">
        <f t="shared" ca="1" si="158"/>
        <v>0.11899821021425494</v>
      </c>
      <c r="F943">
        <f t="shared" ca="1" si="159"/>
        <v>1742.19</v>
      </c>
      <c r="G943" t="str">
        <f t="shared" ca="1" si="160"/>
        <v>personal</v>
      </c>
      <c r="H94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43" t="str">
        <f t="shared" ca="1" si="161"/>
        <v>Sí</v>
      </c>
      <c r="J94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43">
        <f ca="1">IF(Tabla2[[#This Row],[¿cliente deuda abierta?]]="Sí", Tabla2[[#This Row],[Deuda actual]]*Tabla2[[#This Row],[diferencia de días]], "0")</f>
        <v>6968.76</v>
      </c>
      <c r="L94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4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4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43">
        <f t="shared" ca="1" si="162"/>
        <v>1603.08</v>
      </c>
      <c r="P943">
        <f t="shared" ca="1" si="163"/>
        <v>176135.98</v>
      </c>
      <c r="Q943">
        <f t="shared" ca="1" si="164"/>
        <v>4</v>
      </c>
      <c r="R943">
        <f ca="1">((Tabla2[[#This Row],[Fantasma Comunicación]]+1)/(Tabla2[[#This Row],[Fantasma Comunicación]]+RANDBETWEEN(0,5)+2))-0.5</f>
        <v>0</v>
      </c>
      <c r="S943">
        <f ca="1">1+MAX(0,Tabla2[[#This Row],[Deuda actual]]/Tabla2[[#This Row],[Liquidez]]+Tabla2[[#This Row],[Liquidez]]/(Tabla2[[#This Row],[Activos]]+Tabla2[[#This Row],[Liquidez]])+Tabla2[[#This Row],[Comunicación]])</f>
        <v>2.0957959941316426</v>
      </c>
      <c r="T943">
        <f ca="1">Tabla2[[#This Row],[Deuda actual]]*EXP(Tabla2[[#This Row],[Ki]]*Tabla2[[#This Row],[diferencia de días]])*(1+Tabla2[[#This Row],[Hg]])</f>
        <v>1830.7635251319716</v>
      </c>
    </row>
    <row r="944" spans="1:20" ht="14.5" x14ac:dyDescent="0.35">
      <c r="A944">
        <f t="shared" si="165"/>
        <v>62</v>
      </c>
      <c r="B944">
        <f t="shared" ca="1" si="155"/>
        <v>46131</v>
      </c>
      <c r="C944">
        <f t="shared" ca="1" si="156"/>
        <v>46157</v>
      </c>
      <c r="D944">
        <f t="shared" ca="1" si="157"/>
        <v>11</v>
      </c>
      <c r="E944">
        <f t="shared" ca="1" si="158"/>
        <v>0.50952005257634969</v>
      </c>
      <c r="F944">
        <f t="shared" ca="1" si="159"/>
        <v>347.35</v>
      </c>
      <c r="G944" t="str">
        <f t="shared" ca="1" si="160"/>
        <v>hipotecario</v>
      </c>
      <c r="H94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44" t="str">
        <f t="shared" ca="1" si="161"/>
        <v>Sí</v>
      </c>
      <c r="J94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44">
        <f ca="1">IF(Tabla2[[#This Row],[¿cliente deuda abierta?]]="Sí", Tabla2[[#This Row],[Deuda actual]]*Tabla2[[#This Row],[diferencia de días]], "0")</f>
        <v>3820.8500000000004</v>
      </c>
      <c r="L94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4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4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44">
        <f t="shared" ca="1" si="162"/>
        <v>1915.96</v>
      </c>
      <c r="P944">
        <f t="shared" ca="1" si="163"/>
        <v>32439.38</v>
      </c>
      <c r="Q944">
        <f t="shared" ca="1" si="164"/>
        <v>0</v>
      </c>
      <c r="R944">
        <f ca="1">((Tabla2[[#This Row],[Fantasma Comunicación]]+1)/(Tabla2[[#This Row],[Fantasma Comunicación]]+RANDBETWEEN(0,5)+2))-0.5</f>
        <v>-0.35714285714285715</v>
      </c>
      <c r="S944">
        <f ca="1">1+MAX(0,Tabla2[[#This Row],[Deuda actual]]/Tabla2[[#This Row],[Liquidez]]+Tabla2[[#This Row],[Liquidez]]/(Tabla2[[#This Row],[Activos]]+Tabla2[[#This Row],[Liquidez]])+Tabla2[[#This Row],[Comunicación]])</f>
        <v>1</v>
      </c>
      <c r="T944">
        <f ca="1">Tabla2[[#This Row],[Deuda actual]]*EXP(Tabla2[[#This Row],[Ki]]*Tabla2[[#This Row],[diferencia de días]])*(1+Tabla2[[#This Row],[Hg]])</f>
        <v>365.52076176395815</v>
      </c>
    </row>
    <row r="945" spans="1:20" ht="14.5" x14ac:dyDescent="0.35">
      <c r="A945">
        <f t="shared" si="165"/>
        <v>63</v>
      </c>
      <c r="B945">
        <f t="shared" ca="1" si="155"/>
        <v>46138</v>
      </c>
      <c r="C945">
        <f t="shared" ca="1" si="156"/>
        <v>46157</v>
      </c>
      <c r="D945">
        <f t="shared" ca="1" si="157"/>
        <v>16</v>
      </c>
      <c r="E945">
        <f t="shared" ca="1" si="158"/>
        <v>0.42840045555616879</v>
      </c>
      <c r="F945">
        <f t="shared" ca="1" si="159"/>
        <v>263.86</v>
      </c>
      <c r="G945" t="str">
        <f t="shared" ca="1" si="160"/>
        <v>personal</v>
      </c>
      <c r="H94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45" t="str">
        <f t="shared" ca="1" si="161"/>
        <v>No</v>
      </c>
      <c r="J94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12000.914050208603</v>
      </c>
      <c r="K945" t="str">
        <f ca="1">IF(Tabla2[[#This Row],[¿cliente deuda abierta?]]="Sí", Tabla2[[#This Row],[Deuda actual]]*Tabla2[[#This Row],[diferencia de días]], "0")</f>
        <v>0</v>
      </c>
      <c r="L94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4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945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945">
        <f t="shared" ca="1" si="162"/>
        <v>1332.04</v>
      </c>
      <c r="P945">
        <f t="shared" ca="1" si="163"/>
        <v>596557.53</v>
      </c>
      <c r="Q945">
        <f t="shared" ca="1" si="164"/>
        <v>1</v>
      </c>
      <c r="R945">
        <f ca="1">((Tabla2[[#This Row],[Fantasma Comunicación]]+1)/(Tabla2[[#This Row],[Fantasma Comunicación]]+RANDBETWEEN(0,5)+2))-0.5</f>
        <v>-0.2142857142857143</v>
      </c>
      <c r="S945">
        <f ca="1">1+MAX(0,Tabla2[[#This Row],[Deuda actual]]/Tabla2[[#This Row],[Liquidez]]+Tabla2[[#This Row],[Liquidez]]/(Tabla2[[#This Row],[Activos]]+Tabla2[[#This Row],[Liquidez]])+Tabla2[[#This Row],[Comunicación]])</f>
        <v>1</v>
      </c>
      <c r="T945">
        <f ca="1">Tabla2[[#This Row],[Deuda actual]]*EXP(Tabla2[[#This Row],[Ki]]*Tabla2[[#This Row],[diferencia de días]])*(1+Tabla2[[#This Row],[Hg]])</f>
        <v>238.9987074595393</v>
      </c>
    </row>
    <row r="946" spans="1:20" ht="14.5" x14ac:dyDescent="0.35">
      <c r="A946">
        <f t="shared" si="165"/>
        <v>64</v>
      </c>
      <c r="B946">
        <f t="shared" ca="1" si="155"/>
        <v>46112</v>
      </c>
      <c r="C946">
        <f t="shared" ca="1" si="156"/>
        <v>46157</v>
      </c>
      <c r="D946">
        <f t="shared" ca="1" si="157"/>
        <v>5</v>
      </c>
      <c r="E946">
        <f t="shared" ca="1" si="158"/>
        <v>0.90481171471408184</v>
      </c>
      <c r="F946">
        <f t="shared" ca="1" si="159"/>
        <v>835.32</v>
      </c>
      <c r="G946" t="str">
        <f t="shared" ca="1" si="160"/>
        <v>personal</v>
      </c>
      <c r="H94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46" t="str">
        <f t="shared" ca="1" si="161"/>
        <v>Sí</v>
      </c>
      <c r="J94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46">
        <f ca="1">IF(Tabla2[[#This Row],[¿cliente deuda abierta?]]="Sí", Tabla2[[#This Row],[Deuda actual]]*Tabla2[[#This Row],[diferencia de días]], "0")</f>
        <v>4176.6000000000004</v>
      </c>
      <c r="L94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4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4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46">
        <f t="shared" ca="1" si="162"/>
        <v>1805.47</v>
      </c>
      <c r="P946">
        <f t="shared" ca="1" si="163"/>
        <v>161165.28</v>
      </c>
      <c r="Q946">
        <f t="shared" ca="1" si="164"/>
        <v>0</v>
      </c>
      <c r="R946">
        <f ca="1">((Tabla2[[#This Row],[Fantasma Comunicación]]+1)/(Tabla2[[#This Row],[Fantasma Comunicación]]+RANDBETWEEN(0,5)+2))-0.5</f>
        <v>-0.3</v>
      </c>
      <c r="S946">
        <f ca="1">1+MAX(0,Tabla2[[#This Row],[Deuda actual]]/Tabla2[[#This Row],[Liquidez]]+Tabla2[[#This Row],[Liquidez]]/(Tabla2[[#This Row],[Activos]]+Tabla2[[#This Row],[Liquidez]])+Tabla2[[#This Row],[Comunicación]])</f>
        <v>1.1737391833086448</v>
      </c>
      <c r="T946">
        <f ca="1">Tabla2[[#This Row],[Deuda actual]]*EXP(Tabla2[[#This Row],[Ki]]*Tabla2[[#This Row],[diferencia de días]])*(1+Tabla2[[#This Row],[Hg]])</f>
        <v>877.96352468921771</v>
      </c>
    </row>
    <row r="947" spans="1:20" ht="14.5" x14ac:dyDescent="0.35">
      <c r="A947">
        <f t="shared" si="165"/>
        <v>65</v>
      </c>
      <c r="B947">
        <f t="shared" ca="1" si="155"/>
        <v>46105</v>
      </c>
      <c r="C947">
        <f t="shared" ca="1" si="156"/>
        <v>46157</v>
      </c>
      <c r="D947">
        <f t="shared" ca="1" si="157"/>
        <v>15</v>
      </c>
      <c r="E947">
        <f t="shared" ca="1" si="158"/>
        <v>0.68740693574211953</v>
      </c>
      <c r="F947">
        <f t="shared" ca="1" si="159"/>
        <v>138.5</v>
      </c>
      <c r="G947" t="str">
        <f t="shared" ca="1" si="160"/>
        <v>hipotecario</v>
      </c>
      <c r="H94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47" t="str">
        <f t="shared" ca="1" si="161"/>
        <v>Sí</v>
      </c>
      <c r="J94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47">
        <f ca="1">IF(Tabla2[[#This Row],[¿cliente deuda abierta?]]="Sí", Tabla2[[#This Row],[Deuda actual]]*Tabla2[[#This Row],[diferencia de días]], "0")</f>
        <v>2077.5</v>
      </c>
      <c r="L94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4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4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47">
        <f t="shared" ca="1" si="162"/>
        <v>1414.12</v>
      </c>
      <c r="P947">
        <f t="shared" ca="1" si="163"/>
        <v>269313.86</v>
      </c>
      <c r="Q947">
        <f t="shared" ca="1" si="164"/>
        <v>4</v>
      </c>
      <c r="R947">
        <f ca="1">((Tabla2[[#This Row],[Fantasma Comunicación]]+1)/(Tabla2[[#This Row],[Fantasma Comunicación]]+RANDBETWEEN(0,5)+2))-0.5</f>
        <v>0</v>
      </c>
      <c r="S947">
        <f ca="1">1+MAX(0,Tabla2[[#This Row],[Deuda actual]]/Tabla2[[#This Row],[Liquidez]]+Tabla2[[#This Row],[Liquidez]]/(Tabla2[[#This Row],[Activos]]+Tabla2[[#This Row],[Liquidez]])+Tabla2[[#This Row],[Comunicación]])</f>
        <v>1.1031641668569681</v>
      </c>
      <c r="T947">
        <f ca="1">Tabla2[[#This Row],[Deuda actual]]*EXP(Tabla2[[#This Row],[Ki]]*Tabla2[[#This Row],[diferencia de días]])*(1+Tabla2[[#This Row],[Hg]])</f>
        <v>146.3001728931624</v>
      </c>
    </row>
    <row r="948" spans="1:20" ht="14.5" x14ac:dyDescent="0.35">
      <c r="A948">
        <f t="shared" ref="A948:A979" si="166">A947+1</f>
        <v>66</v>
      </c>
      <c r="B948">
        <f t="shared" ca="1" si="155"/>
        <v>46099</v>
      </c>
      <c r="C948">
        <f t="shared" ca="1" si="156"/>
        <v>46157</v>
      </c>
      <c r="D948">
        <f t="shared" ca="1" si="157"/>
        <v>4</v>
      </c>
      <c r="E948">
        <f t="shared" ca="1" si="158"/>
        <v>0.91403513643067258</v>
      </c>
      <c r="F948">
        <f t="shared" ca="1" si="159"/>
        <v>1018.86</v>
      </c>
      <c r="G948" t="str">
        <f t="shared" ca="1" si="160"/>
        <v>hipotecario</v>
      </c>
      <c r="H94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48" t="str">
        <f t="shared" ca="1" si="161"/>
        <v>Sí</v>
      </c>
      <c r="J94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48">
        <f ca="1">IF(Tabla2[[#This Row],[¿cliente deuda abierta?]]="Sí", Tabla2[[#This Row],[Deuda actual]]*Tabla2[[#This Row],[diferencia de días]], "0")</f>
        <v>4075.44</v>
      </c>
      <c r="L94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4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4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48">
        <f t="shared" ca="1" si="162"/>
        <v>1948.63</v>
      </c>
      <c r="P948">
        <f t="shared" ca="1" si="163"/>
        <v>52699.56</v>
      </c>
      <c r="Q948">
        <f t="shared" ca="1" si="164"/>
        <v>3</v>
      </c>
      <c r="R948">
        <f ca="1">((Tabla2[[#This Row],[Fantasma Comunicación]]+1)/(Tabla2[[#This Row],[Fantasma Comunicación]]+RANDBETWEEN(0,5)+2))-0.5</f>
        <v>-5.555555555555558E-2</v>
      </c>
      <c r="S948">
        <f ca="1">1+MAX(0,Tabla2[[#This Row],[Deuda actual]]/Tabla2[[#This Row],[Liquidez]]+Tabla2[[#This Row],[Liquidez]]/(Tabla2[[#This Row],[Activos]]+Tabla2[[#This Row],[Liquidez]])+Tabla2[[#This Row],[Comunicación]])</f>
        <v>1.502961817164699</v>
      </c>
      <c r="T948">
        <f ca="1">Tabla2[[#This Row],[Deuda actual]]*EXP(Tabla2[[#This Row],[Ki]]*Tabla2[[#This Row],[diferencia de días]])*(1+Tabla2[[#This Row],[Hg]])</f>
        <v>1070.6591848282681</v>
      </c>
    </row>
    <row r="949" spans="1:20" ht="14.5" x14ac:dyDescent="0.35">
      <c r="A949">
        <f t="shared" si="166"/>
        <v>67</v>
      </c>
      <c r="B949">
        <f t="shared" ca="1" si="155"/>
        <v>46116</v>
      </c>
      <c r="C949">
        <f t="shared" ca="1" si="156"/>
        <v>46157</v>
      </c>
      <c r="D949">
        <f t="shared" ca="1" si="157"/>
        <v>9</v>
      </c>
      <c r="E949">
        <f t="shared" ca="1" si="158"/>
        <v>0.49445648761960137</v>
      </c>
      <c r="F949">
        <f t="shared" ca="1" si="159"/>
        <v>3562.59</v>
      </c>
      <c r="G949" t="str">
        <f t="shared" ca="1" si="160"/>
        <v>hipotecario</v>
      </c>
      <c r="H94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49" t="str">
        <f t="shared" ca="1" si="161"/>
        <v>Sí</v>
      </c>
      <c r="J94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49">
        <f ca="1">IF(Tabla2[[#This Row],[¿cliente deuda abierta?]]="Sí", Tabla2[[#This Row],[Deuda actual]]*Tabla2[[#This Row],[diferencia de días]], "0")</f>
        <v>32063.31</v>
      </c>
      <c r="L94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94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49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949">
        <f t="shared" ca="1" si="162"/>
        <v>1618.21</v>
      </c>
      <c r="P949">
        <f t="shared" ca="1" si="163"/>
        <v>68640.62</v>
      </c>
      <c r="Q949">
        <f t="shared" ca="1" si="164"/>
        <v>2</v>
      </c>
      <c r="R949">
        <f ca="1">((Tabla2[[#This Row],[Fantasma Comunicación]]+1)/(Tabla2[[#This Row],[Fantasma Comunicación]]+RANDBETWEEN(0,5)+2))-0.5</f>
        <v>-7.1428571428571452E-2</v>
      </c>
      <c r="S949">
        <f ca="1">1+MAX(0,Tabla2[[#This Row],[Deuda actual]]/Tabla2[[#This Row],[Liquidez]]+Tabla2[[#This Row],[Liquidez]]/(Tabla2[[#This Row],[Activos]]+Tabla2[[#This Row],[Liquidez]])+Tabla2[[#This Row],[Comunicación]])</f>
        <v>3.1531657713503369</v>
      </c>
      <c r="T949">
        <f ca="1">Tabla2[[#This Row],[Deuda actual]]*EXP(Tabla2[[#This Row],[Ki]]*Tabla2[[#This Row],[diferencia de días]])*(1+Tabla2[[#This Row],[Hg]])</f>
        <v>3925.9092805462165</v>
      </c>
    </row>
    <row r="950" spans="1:20" ht="14.5" x14ac:dyDescent="0.35">
      <c r="A950">
        <f t="shared" si="166"/>
        <v>68</v>
      </c>
      <c r="B950">
        <f t="shared" ca="1" si="155"/>
        <v>46135</v>
      </c>
      <c r="C950">
        <f t="shared" ca="1" si="156"/>
        <v>46157</v>
      </c>
      <c r="D950">
        <f t="shared" ca="1" si="157"/>
        <v>8</v>
      </c>
      <c r="E950">
        <f t="shared" ca="1" si="158"/>
        <v>0.19534023071646589</v>
      </c>
      <c r="F950">
        <f t="shared" ca="1" si="159"/>
        <v>10000</v>
      </c>
      <c r="G950" t="str">
        <f t="shared" ca="1" si="160"/>
        <v>personal</v>
      </c>
      <c r="H95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50" t="str">
        <f t="shared" ca="1" si="161"/>
        <v>Sí</v>
      </c>
      <c r="J95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50">
        <f ca="1">IF(Tabla2[[#This Row],[¿cliente deuda abierta?]]="Sí", Tabla2[[#This Row],[Deuda actual]]*Tabla2[[#This Row],[diferencia de días]], "0")</f>
        <v>80000</v>
      </c>
      <c r="L95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95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50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950">
        <f t="shared" ca="1" si="162"/>
        <v>1424.84</v>
      </c>
      <c r="P950">
        <f t="shared" ca="1" si="163"/>
        <v>249262.86</v>
      </c>
      <c r="Q950">
        <f t="shared" ca="1" si="164"/>
        <v>1</v>
      </c>
      <c r="R950">
        <f ca="1">((Tabla2[[#This Row],[Fantasma Comunicación]]+1)/(Tabla2[[#This Row],[Fantasma Comunicación]]+RANDBETWEEN(0,5)+2))-0.5</f>
        <v>0</v>
      </c>
      <c r="S950">
        <f ca="1">1+MAX(0,Tabla2[[#This Row],[Deuda actual]]/Tabla2[[#This Row],[Liquidez]]+Tabla2[[#This Row],[Liquidez]]/(Tabla2[[#This Row],[Activos]]+Tabla2[[#This Row],[Liquidez]])+Tabla2[[#This Row],[Comunicación]])</f>
        <v>8.0240156080867742</v>
      </c>
      <c r="T950">
        <f ca="1">Tabla2[[#This Row],[Deuda actual]]*EXP(Tabla2[[#This Row],[Ki]]*Tabla2[[#This Row],[diferencia de días]])*(1+Tabla2[[#This Row],[Hg]])</f>
        <v>11518.414727853808</v>
      </c>
    </row>
    <row r="951" spans="1:20" ht="14.5" x14ac:dyDescent="0.35">
      <c r="A951">
        <f t="shared" si="166"/>
        <v>69</v>
      </c>
      <c r="B951">
        <f t="shared" ca="1" si="155"/>
        <v>46118</v>
      </c>
      <c r="C951">
        <f t="shared" ca="1" si="156"/>
        <v>46157</v>
      </c>
      <c r="D951">
        <f t="shared" ca="1" si="157"/>
        <v>18</v>
      </c>
      <c r="E951">
        <f t="shared" ca="1" si="158"/>
        <v>0.33842289928801472</v>
      </c>
      <c r="F951">
        <f t="shared" ca="1" si="159"/>
        <v>532.54999999999995</v>
      </c>
      <c r="G951" t="str">
        <f t="shared" ca="1" si="160"/>
        <v>hipotecario</v>
      </c>
      <c r="H95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51" t="str">
        <f t="shared" ca="1" si="161"/>
        <v>Sí</v>
      </c>
      <c r="J95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51">
        <f ca="1">IF(Tabla2[[#This Row],[¿cliente deuda abierta?]]="Sí", Tabla2[[#This Row],[Deuda actual]]*Tabla2[[#This Row],[diferencia de días]], "0")</f>
        <v>9585.9</v>
      </c>
      <c r="L95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5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5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51">
        <f t="shared" ca="1" si="162"/>
        <v>1959.47</v>
      </c>
      <c r="P951">
        <f t="shared" ca="1" si="163"/>
        <v>122520.62</v>
      </c>
      <c r="Q951">
        <f t="shared" ca="1" si="164"/>
        <v>2</v>
      </c>
      <c r="R951">
        <f ca="1">((Tabla2[[#This Row],[Fantasma Comunicación]]+1)/(Tabla2[[#This Row],[Fantasma Comunicación]]+RANDBETWEEN(0,5)+2))-0.5</f>
        <v>0</v>
      </c>
      <c r="S951">
        <f ca="1">1+MAX(0,Tabla2[[#This Row],[Deuda actual]]/Tabla2[[#This Row],[Liquidez]]+Tabla2[[#This Row],[Liquidez]]/(Tabla2[[#This Row],[Activos]]+Tabla2[[#This Row],[Liquidez]])+Tabla2[[#This Row],[Comunicación]])</f>
        <v>1.2875239081199068</v>
      </c>
      <c r="T951">
        <f ca="1">Tabla2[[#This Row],[Deuda actual]]*EXP(Tabla2[[#This Row],[Ki]]*Tabla2[[#This Row],[diferencia de días]])*(1+Tabla2[[#This Row],[Hg]])</f>
        <v>563.21810672881782</v>
      </c>
    </row>
    <row r="952" spans="1:20" ht="14.5" x14ac:dyDescent="0.35">
      <c r="A952">
        <f t="shared" si="166"/>
        <v>70</v>
      </c>
      <c r="B952">
        <f t="shared" ca="1" si="155"/>
        <v>46125</v>
      </c>
      <c r="C952">
        <f t="shared" ca="1" si="156"/>
        <v>46157</v>
      </c>
      <c r="D952">
        <f t="shared" ca="1" si="157"/>
        <v>3</v>
      </c>
      <c r="E952">
        <f t="shared" ca="1" si="158"/>
        <v>0.74849837326206969</v>
      </c>
      <c r="F952">
        <f t="shared" ca="1" si="159"/>
        <v>300.02999999999997</v>
      </c>
      <c r="G952" t="str">
        <f t="shared" ca="1" si="160"/>
        <v>hipotecario</v>
      </c>
      <c r="H95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52" t="str">
        <f t="shared" ca="1" si="161"/>
        <v>No</v>
      </c>
      <c r="J95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165000.52956564643</v>
      </c>
      <c r="K952" t="str">
        <f ca="1">IF(Tabla2[[#This Row],[¿cliente deuda abierta?]]="Sí", Tabla2[[#This Row],[Deuda actual]]*Tabla2[[#This Row],[diferencia de días]], "0")</f>
        <v>0</v>
      </c>
      <c r="L95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5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52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52">
        <f t="shared" ca="1" si="162"/>
        <v>1701.07</v>
      </c>
      <c r="P952">
        <f t="shared" ca="1" si="163"/>
        <v>60515.68</v>
      </c>
      <c r="Q952">
        <f t="shared" ca="1" si="164"/>
        <v>5</v>
      </c>
      <c r="R952">
        <f ca="1">((Tabla2[[#This Row],[Fantasma Comunicación]]+1)/(Tabla2[[#This Row],[Fantasma Comunicación]]+RANDBETWEEN(0,5)+2))-0.5</f>
        <v>0.16666666666666663</v>
      </c>
      <c r="S952">
        <f ca="1">1+MAX(0,Tabla2[[#This Row],[Deuda actual]]/Tabla2[[#This Row],[Liquidez]]+Tabla2[[#This Row],[Liquidez]]/(Tabla2[[#This Row],[Activos]]+Tabla2[[#This Row],[Liquidez]])+Tabla2[[#This Row],[Comunicación]])</f>
        <v>1.3703849176085137</v>
      </c>
      <c r="T952">
        <f ca="1">Tabla2[[#This Row],[Deuda actual]]*EXP(Tabla2[[#This Row],[Ki]]*Tabla2[[#This Row],[diferencia de días]])*(1+Tabla2[[#This Row],[Hg]])</f>
        <v>240.16805761296214</v>
      </c>
    </row>
    <row r="953" spans="1:20" ht="14.5" x14ac:dyDescent="0.35">
      <c r="A953">
        <f t="shared" si="166"/>
        <v>71</v>
      </c>
      <c r="B953">
        <f t="shared" ca="1" si="155"/>
        <v>46127</v>
      </c>
      <c r="C953">
        <f t="shared" ca="1" si="156"/>
        <v>46157</v>
      </c>
      <c r="D953">
        <f t="shared" ca="1" si="157"/>
        <v>0</v>
      </c>
      <c r="E953">
        <f t="shared" ca="1" si="158"/>
        <v>0.52823716304346302</v>
      </c>
      <c r="F953">
        <f t="shared" ca="1" si="159"/>
        <v>691.32</v>
      </c>
      <c r="G953" t="str">
        <f t="shared" ca="1" si="160"/>
        <v>hipotecario</v>
      </c>
      <c r="H95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53" t="str">
        <f t="shared" ca="1" si="161"/>
        <v>No</v>
      </c>
      <c r="J95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164998.97465438629</v>
      </c>
      <c r="K953" t="str">
        <f ca="1">IF(Tabla2[[#This Row],[¿cliente deuda abierta?]]="Sí", Tabla2[[#This Row],[Deuda actual]]*Tabla2[[#This Row],[diferencia de días]], "0")</f>
        <v>0</v>
      </c>
      <c r="L95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5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5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53">
        <f t="shared" ca="1" si="162"/>
        <v>1646.75</v>
      </c>
      <c r="P953">
        <f t="shared" ca="1" si="163"/>
        <v>123096.92</v>
      </c>
      <c r="Q953">
        <f t="shared" ca="1" si="164"/>
        <v>1</v>
      </c>
      <c r="R953">
        <f ca="1">((Tabla2[[#This Row],[Fantasma Comunicación]]+1)/(Tabla2[[#This Row],[Fantasma Comunicación]]+RANDBETWEEN(0,5)+2))-0.5</f>
        <v>-0.2142857142857143</v>
      </c>
      <c r="S953">
        <f ca="1">1+MAX(0,Tabla2[[#This Row],[Deuda actual]]/Tabla2[[#This Row],[Liquidez]]+Tabla2[[#This Row],[Liquidez]]/(Tabla2[[#This Row],[Activos]]+Tabla2[[#This Row],[Liquidez]])+Tabla2[[#This Row],[Comunicación]])</f>
        <v>1.2187240704916902</v>
      </c>
      <c r="T953">
        <f ca="1">Tabla2[[#This Row],[Deuda actual]]*EXP(Tabla2[[#This Row],[Ki]]*Tabla2[[#This Row],[diferencia de días]])*(1+Tabla2[[#This Row],[Hg]])</f>
        <v>553.05600000000004</v>
      </c>
    </row>
    <row r="954" spans="1:20" ht="14.5" x14ac:dyDescent="0.35">
      <c r="A954">
        <f t="shared" si="166"/>
        <v>72</v>
      </c>
      <c r="B954">
        <f t="shared" ca="1" si="155"/>
        <v>46131</v>
      </c>
      <c r="C954">
        <f t="shared" ca="1" si="156"/>
        <v>46157</v>
      </c>
      <c r="D954">
        <f t="shared" ca="1" si="157"/>
        <v>2</v>
      </c>
      <c r="E954">
        <f t="shared" ca="1" si="158"/>
        <v>0.65976151689329965</v>
      </c>
      <c r="F954">
        <f t="shared" ca="1" si="159"/>
        <v>435.55</v>
      </c>
      <c r="G954" t="str">
        <f t="shared" ca="1" si="160"/>
        <v>hipotecario</v>
      </c>
      <c r="H95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54" t="str">
        <f t="shared" ca="1" si="161"/>
        <v>No</v>
      </c>
      <c r="J95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164999.48736080632</v>
      </c>
      <c r="K954" t="str">
        <f ca="1">IF(Tabla2[[#This Row],[¿cliente deuda abierta?]]="Sí", Tabla2[[#This Row],[Deuda actual]]*Tabla2[[#This Row],[diferencia de días]], "0")</f>
        <v>0</v>
      </c>
      <c r="L95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5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54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54">
        <f t="shared" ca="1" si="162"/>
        <v>1943.93</v>
      </c>
      <c r="P954">
        <f t="shared" ca="1" si="163"/>
        <v>84035.13</v>
      </c>
      <c r="Q954">
        <f t="shared" ca="1" si="164"/>
        <v>1</v>
      </c>
      <c r="R954">
        <f ca="1">((Tabla2[[#This Row],[Fantasma Comunicación]]+1)/(Tabla2[[#This Row],[Fantasma Comunicación]]+RANDBETWEEN(0,5)+2))-0.5</f>
        <v>0</v>
      </c>
      <c r="S954">
        <f ca="1">1+MAX(0,Tabla2[[#This Row],[Deuda actual]]/Tabla2[[#This Row],[Liquidez]]+Tabla2[[#This Row],[Liquidez]]/(Tabla2[[#This Row],[Activos]]+Tabla2[[#This Row],[Liquidez]])+Tabla2[[#This Row],[Comunicación]])</f>
        <v>1.2466657641059933</v>
      </c>
      <c r="T954">
        <f ca="1">Tabla2[[#This Row],[Deuda actual]]*EXP(Tabla2[[#This Row],[Ki]]*Tabla2[[#This Row],[diferencia de días]])*(1+Tabla2[[#This Row],[Hg]])</f>
        <v>348.57940387891716</v>
      </c>
    </row>
    <row r="955" spans="1:20" ht="14.5" x14ac:dyDescent="0.35">
      <c r="A955">
        <f t="shared" si="166"/>
        <v>73</v>
      </c>
      <c r="B955">
        <f t="shared" ca="1" si="155"/>
        <v>46137</v>
      </c>
      <c r="C955">
        <f t="shared" ca="1" si="156"/>
        <v>46157</v>
      </c>
      <c r="D955">
        <f t="shared" ca="1" si="157"/>
        <v>26</v>
      </c>
      <c r="E955">
        <f t="shared" ca="1" si="158"/>
        <v>0.2272820471491922</v>
      </c>
      <c r="F955">
        <f t="shared" ca="1" si="159"/>
        <v>10000</v>
      </c>
      <c r="G955" t="str">
        <f t="shared" ca="1" si="160"/>
        <v>hipotecario</v>
      </c>
      <c r="H95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55" t="str">
        <f t="shared" ca="1" si="161"/>
        <v>No</v>
      </c>
      <c r="J95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165000.88836379102</v>
      </c>
      <c r="K955" t="str">
        <f ca="1">IF(Tabla2[[#This Row],[¿cliente deuda abierta?]]="Sí", Tabla2[[#This Row],[Deuda actual]]*Tabla2[[#This Row],[diferencia de días]], "0")</f>
        <v>0</v>
      </c>
      <c r="L95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5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55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55">
        <f t="shared" ca="1" si="162"/>
        <v>1316.34</v>
      </c>
      <c r="P955">
        <f t="shared" ca="1" si="163"/>
        <v>205289.65</v>
      </c>
      <c r="Q955">
        <f t="shared" ca="1" si="164"/>
        <v>4</v>
      </c>
      <c r="R955">
        <f ca="1">((Tabla2[[#This Row],[Fantasma Comunicación]]+1)/(Tabla2[[#This Row],[Fantasma Comunicación]]+RANDBETWEEN(0,5)+2))-0.5</f>
        <v>0</v>
      </c>
      <c r="S955">
        <f ca="1">1+MAX(0,Tabla2[[#This Row],[Deuda actual]]/Tabla2[[#This Row],[Liquidez]]+Tabla2[[#This Row],[Liquidez]]/(Tabla2[[#This Row],[Activos]]+Tabla2[[#This Row],[Liquidez]])+Tabla2[[#This Row],[Comunicación]])</f>
        <v>8.6031927475661067</v>
      </c>
      <c r="T955">
        <f ca="1">Tabla2[[#This Row],[Deuda actual]]*EXP(Tabla2[[#This Row],[Ki]]*Tabla2[[#This Row],[diferencia de días]])*(1+Tabla2[[#This Row],[Hg]])</f>
        <v>8083.63414372632</v>
      </c>
    </row>
    <row r="956" spans="1:20" ht="14.5" x14ac:dyDescent="0.35">
      <c r="A956">
        <f t="shared" si="166"/>
        <v>74</v>
      </c>
      <c r="B956">
        <f t="shared" ca="1" si="155"/>
        <v>46114</v>
      </c>
      <c r="C956">
        <f t="shared" ca="1" si="156"/>
        <v>46157</v>
      </c>
      <c r="D956">
        <f t="shared" ca="1" si="157"/>
        <v>6</v>
      </c>
      <c r="E956">
        <f t="shared" ca="1" si="158"/>
        <v>0.42123746775451321</v>
      </c>
      <c r="F956">
        <f t="shared" ca="1" si="159"/>
        <v>3182.39</v>
      </c>
      <c r="G956" t="str">
        <f t="shared" ca="1" si="160"/>
        <v>hipotecario</v>
      </c>
      <c r="H95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56" t="str">
        <f t="shared" ca="1" si="161"/>
        <v>Sí</v>
      </c>
      <c r="J95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56">
        <f ca="1">IF(Tabla2[[#This Row],[¿cliente deuda abierta?]]="Sí", Tabla2[[#This Row],[Deuda actual]]*Tabla2[[#This Row],[diferencia de días]], "0")</f>
        <v>19094.34</v>
      </c>
      <c r="L95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5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5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56">
        <f t="shared" ca="1" si="162"/>
        <v>1265.1199999999999</v>
      </c>
      <c r="P956">
        <f t="shared" ca="1" si="163"/>
        <v>190224.26</v>
      </c>
      <c r="Q956">
        <f t="shared" ca="1" si="164"/>
        <v>0</v>
      </c>
      <c r="R956">
        <f ca="1">((Tabla2[[#This Row],[Fantasma Comunicación]]+1)/(Tabla2[[#This Row],[Fantasma Comunicación]]+RANDBETWEEN(0,5)+2))-0.5</f>
        <v>-0.35714285714285715</v>
      </c>
      <c r="S956">
        <f ca="1">1+MAX(0,Tabla2[[#This Row],[Deuda actual]]/Tabla2[[#This Row],[Liquidez]]+Tabla2[[#This Row],[Liquidez]]/(Tabla2[[#This Row],[Activos]]+Tabla2[[#This Row],[Liquidez]])+Tabla2[[#This Row],[Comunicación]])</f>
        <v>3.1649485771074426</v>
      </c>
      <c r="T956">
        <f ca="1">Tabla2[[#This Row],[Deuda actual]]*EXP(Tabla2[[#This Row],[Ki]]*Tabla2[[#This Row],[diferencia de días]])*(1+Tabla2[[#This Row],[Hg]])</f>
        <v>3345.5217182494835</v>
      </c>
    </row>
    <row r="957" spans="1:20" ht="14.5" x14ac:dyDescent="0.35">
      <c r="A957">
        <f t="shared" si="166"/>
        <v>75</v>
      </c>
      <c r="B957">
        <f t="shared" ca="1" si="155"/>
        <v>46134</v>
      </c>
      <c r="C957">
        <f t="shared" ca="1" si="156"/>
        <v>46157</v>
      </c>
      <c r="D957">
        <f t="shared" ca="1" si="157"/>
        <v>6</v>
      </c>
      <c r="E957">
        <f t="shared" ca="1" si="158"/>
        <v>0.75797294541284999</v>
      </c>
      <c r="F957">
        <f t="shared" ca="1" si="159"/>
        <v>1656.49</v>
      </c>
      <c r="G957" t="str">
        <f t="shared" ca="1" si="160"/>
        <v>hipotecario</v>
      </c>
      <c r="H95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57" t="str">
        <f t="shared" ca="1" si="161"/>
        <v>No</v>
      </c>
      <c r="J957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165000.1537027045</v>
      </c>
      <c r="K957" t="str">
        <f ca="1">IF(Tabla2[[#This Row],[¿cliente deuda abierta?]]="Sí", Tabla2[[#This Row],[Deuda actual]]*Tabla2[[#This Row],[diferencia de días]], "0")</f>
        <v>0</v>
      </c>
      <c r="L957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57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57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57">
        <f t="shared" ca="1" si="162"/>
        <v>1403.68</v>
      </c>
      <c r="P957">
        <f t="shared" ca="1" si="163"/>
        <v>108383.26</v>
      </c>
      <c r="Q957">
        <f t="shared" ca="1" si="164"/>
        <v>1</v>
      </c>
      <c r="R957">
        <f ca="1">((Tabla2[[#This Row],[Fantasma Comunicación]]+1)/(Tabla2[[#This Row],[Fantasma Comunicación]]+RANDBETWEEN(0,5)+2))-0.5</f>
        <v>-0.25</v>
      </c>
      <c r="S957">
        <f ca="1">1+MAX(0,Tabla2[[#This Row],[Deuda actual]]/Tabla2[[#This Row],[Liquidez]]+Tabla2[[#This Row],[Liquidez]]/(Tabla2[[#This Row],[Activos]]+Tabla2[[#This Row],[Liquidez]])+Tabla2[[#This Row],[Comunicación]])</f>
        <v>1.9428906437790889</v>
      </c>
      <c r="T957">
        <f ca="1">Tabla2[[#This Row],[Deuda actual]]*EXP(Tabla2[[#This Row],[Ki]]*Tabla2[[#This Row],[diferencia de días]])*(1+Tabla2[[#This Row],[Hg]])</f>
        <v>1326.7831849200099</v>
      </c>
    </row>
    <row r="958" spans="1:20" ht="14.5" x14ac:dyDescent="0.35">
      <c r="A958">
        <f t="shared" si="166"/>
        <v>76</v>
      </c>
      <c r="B958">
        <f t="shared" ca="1" si="155"/>
        <v>46136</v>
      </c>
      <c r="C958">
        <f t="shared" ca="1" si="156"/>
        <v>46157</v>
      </c>
      <c r="D958">
        <f t="shared" ca="1" si="157"/>
        <v>14</v>
      </c>
      <c r="E958">
        <f t="shared" ca="1" si="158"/>
        <v>0.6296054223160592</v>
      </c>
      <c r="F958">
        <f t="shared" ca="1" si="159"/>
        <v>317.36</v>
      </c>
      <c r="G958" t="str">
        <f t="shared" ca="1" si="160"/>
        <v>personal</v>
      </c>
      <c r="H95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58" t="str">
        <f t="shared" ca="1" si="161"/>
        <v>No</v>
      </c>
      <c r="J95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11999.406132713537</v>
      </c>
      <c r="K958" t="str">
        <f ca="1">IF(Tabla2[[#This Row],[¿cliente deuda abierta?]]="Sí", Tabla2[[#This Row],[Deuda actual]]*Tabla2[[#This Row],[diferencia de días]], "0")</f>
        <v>0</v>
      </c>
      <c r="L95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5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95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958">
        <f t="shared" ca="1" si="162"/>
        <v>1420.98</v>
      </c>
      <c r="P958">
        <f t="shared" ca="1" si="163"/>
        <v>42811.47</v>
      </c>
      <c r="Q958">
        <f t="shared" ca="1" si="164"/>
        <v>3</v>
      </c>
      <c r="R958">
        <f ca="1">((Tabla2[[#This Row],[Fantasma Comunicación]]+1)/(Tabla2[[#This Row],[Fantasma Comunicación]]+RANDBETWEEN(0,5)+2))-0.5</f>
        <v>-9.9999999999999978E-2</v>
      </c>
      <c r="S958">
        <f ca="1">1+MAX(0,Tabla2[[#This Row],[Deuda actual]]/Tabla2[[#This Row],[Liquidez]]+Tabla2[[#This Row],[Liquidez]]/(Tabla2[[#This Row],[Activos]]+Tabla2[[#This Row],[Liquidez]])+Tabla2[[#This Row],[Comunicación]])</f>
        <v>1.1554641060898296</v>
      </c>
      <c r="T958">
        <f ca="1">Tabla2[[#This Row],[Deuda actual]]*EXP(Tabla2[[#This Row],[Ki]]*Tabla2[[#This Row],[diferencia de días]])*(1+Tabla2[[#This Row],[Hg]])</f>
        <v>286.42486789181498</v>
      </c>
    </row>
    <row r="959" spans="1:20" ht="14.5" x14ac:dyDescent="0.35">
      <c r="A959">
        <f t="shared" si="166"/>
        <v>77</v>
      </c>
      <c r="B959">
        <f t="shared" ca="1" si="155"/>
        <v>46143</v>
      </c>
      <c r="C959">
        <f t="shared" ca="1" si="156"/>
        <v>46157</v>
      </c>
      <c r="D959">
        <f t="shared" ca="1" si="157"/>
        <v>1</v>
      </c>
      <c r="E959">
        <f t="shared" ca="1" si="158"/>
        <v>0.80483565866691009</v>
      </c>
      <c r="F959">
        <f t="shared" ca="1" si="159"/>
        <v>3582.26</v>
      </c>
      <c r="G959" t="str">
        <f t="shared" ca="1" si="160"/>
        <v>hipotecario</v>
      </c>
      <c r="H95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59" t="str">
        <f t="shared" ca="1" si="161"/>
        <v>No</v>
      </c>
      <c r="J95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165000.26966395037</v>
      </c>
      <c r="K959" t="str">
        <f ca="1">IF(Tabla2[[#This Row],[¿cliente deuda abierta?]]="Sí", Tabla2[[#This Row],[Deuda actual]]*Tabla2[[#This Row],[diferencia de días]], "0")</f>
        <v>0</v>
      </c>
      <c r="L95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5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59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59">
        <f t="shared" ca="1" si="162"/>
        <v>1126.6099999999999</v>
      </c>
      <c r="P959">
        <f t="shared" ca="1" si="163"/>
        <v>190928.55</v>
      </c>
      <c r="Q959">
        <f t="shared" ca="1" si="164"/>
        <v>1</v>
      </c>
      <c r="R959">
        <f ca="1">((Tabla2[[#This Row],[Fantasma Comunicación]]+1)/(Tabla2[[#This Row],[Fantasma Comunicación]]+RANDBETWEEN(0,5)+2))-0.5</f>
        <v>-0.2142857142857143</v>
      </c>
      <c r="S959">
        <f ca="1">1+MAX(0,Tabla2[[#This Row],[Deuda actual]]/Tabla2[[#This Row],[Liquidez]]+Tabla2[[#This Row],[Liquidez]]/(Tabla2[[#This Row],[Activos]]+Tabla2[[#This Row],[Liquidez]])+Tabla2[[#This Row],[Comunicación]])</f>
        <v>3.971260995681277</v>
      </c>
      <c r="T959">
        <f ca="1">Tabla2[[#This Row],[Deuda actual]]*EXP(Tabla2[[#This Row],[Ki]]*Tabla2[[#This Row],[diferencia de días]])*(1+Tabla2[[#This Row],[Hg]])</f>
        <v>2866.3812189199816</v>
      </c>
    </row>
    <row r="960" spans="1:20" ht="14.5" x14ac:dyDescent="0.35">
      <c r="A960">
        <f t="shared" si="166"/>
        <v>78</v>
      </c>
      <c r="B960">
        <f t="shared" ca="1" si="155"/>
        <v>46098</v>
      </c>
      <c r="C960">
        <f t="shared" ca="1" si="156"/>
        <v>46157</v>
      </c>
      <c r="D960">
        <f t="shared" ca="1" si="157"/>
        <v>1</v>
      </c>
      <c r="E960">
        <f t="shared" ca="1" si="158"/>
        <v>0.77317016324047483</v>
      </c>
      <c r="F960">
        <f t="shared" ca="1" si="159"/>
        <v>182.39</v>
      </c>
      <c r="G960" t="str">
        <f t="shared" ca="1" si="160"/>
        <v>hipotecario</v>
      </c>
      <c r="H96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60" t="str">
        <f t="shared" ca="1" si="161"/>
        <v>No</v>
      </c>
      <c r="J96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164998.80914616832</v>
      </c>
      <c r="K960" t="str">
        <f ca="1">IF(Tabla2[[#This Row],[¿cliente deuda abierta?]]="Sí", Tabla2[[#This Row],[Deuda actual]]*Tabla2[[#This Row],[diferencia de días]], "0")</f>
        <v>0</v>
      </c>
      <c r="L96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6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60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60">
        <f t="shared" ca="1" si="162"/>
        <v>1451.13</v>
      </c>
      <c r="P960">
        <f t="shared" ca="1" si="163"/>
        <v>529008.09</v>
      </c>
      <c r="Q960">
        <f t="shared" ca="1" si="164"/>
        <v>5</v>
      </c>
      <c r="R960">
        <f ca="1">((Tabla2[[#This Row],[Fantasma Comunicación]]+1)/(Tabla2[[#This Row],[Fantasma Comunicación]]+RANDBETWEEN(0,5)+2))-0.5</f>
        <v>4.5454545454545414E-2</v>
      </c>
      <c r="S960">
        <f ca="1">1+MAX(0,Tabla2[[#This Row],[Deuda actual]]/Tabla2[[#This Row],[Liquidez]]+Tabla2[[#This Row],[Liquidez]]/(Tabla2[[#This Row],[Activos]]+Tabla2[[#This Row],[Liquidez]])+Tabla2[[#This Row],[Comunicación]])</f>
        <v>1.1738784130467064</v>
      </c>
      <c r="T960">
        <f ca="1">Tabla2[[#This Row],[Deuda actual]]*EXP(Tabla2[[#This Row],[Ki]]*Tabla2[[#This Row],[diferencia de días]])*(1+Tabla2[[#This Row],[Hg]])</f>
        <v>145.94118531843455</v>
      </c>
    </row>
    <row r="961" spans="1:20" ht="14.5" x14ac:dyDescent="0.35">
      <c r="A961">
        <f t="shared" si="166"/>
        <v>79</v>
      </c>
      <c r="B961">
        <f t="shared" ca="1" si="155"/>
        <v>46110</v>
      </c>
      <c r="C961">
        <f t="shared" ca="1" si="156"/>
        <v>46157</v>
      </c>
      <c r="D961">
        <f t="shared" ca="1" si="157"/>
        <v>43</v>
      </c>
      <c r="E961">
        <f t="shared" ca="1" si="158"/>
        <v>0.14815964079785238</v>
      </c>
      <c r="F961">
        <f t="shared" ca="1" si="159"/>
        <v>887.2</v>
      </c>
      <c r="G961" t="str">
        <f t="shared" ca="1" si="160"/>
        <v>hipotecario</v>
      </c>
      <c r="H96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961" t="str">
        <f t="shared" ca="1" si="161"/>
        <v>Sí</v>
      </c>
      <c r="J96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61">
        <f ca="1">IF(Tabla2[[#This Row],[¿cliente deuda abierta?]]="Sí", Tabla2[[#This Row],[Deuda actual]]*Tabla2[[#This Row],[diferencia de días]], "0")</f>
        <v>38149.599999999999</v>
      </c>
      <c r="L96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96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61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961">
        <f t="shared" ca="1" si="162"/>
        <v>2014.79</v>
      </c>
      <c r="P961">
        <f t="shared" ca="1" si="163"/>
        <v>142863.54</v>
      </c>
      <c r="Q961">
        <f t="shared" ca="1" si="164"/>
        <v>4</v>
      </c>
      <c r="R961">
        <f ca="1">((Tabla2[[#This Row],[Fantasma Comunicación]]+1)/(Tabla2[[#This Row],[Fantasma Comunicación]]+RANDBETWEEN(0,5)+2))-0.5</f>
        <v>5.555555555555558E-2</v>
      </c>
      <c r="S961">
        <f ca="1">1+MAX(0,Tabla2[[#This Row],[Deuda actual]]/Tabla2[[#This Row],[Liquidez]]+Tabla2[[#This Row],[Liquidez]]/(Tabla2[[#This Row],[Activos]]+Tabla2[[#This Row],[Liquidez]])+Tabla2[[#This Row],[Comunicación]])</f>
        <v>1.5098059868690576</v>
      </c>
      <c r="T961">
        <f ca="1">Tabla2[[#This Row],[Deuda actual]]*EXP(Tabla2[[#This Row],[Ki]]*Tabla2[[#This Row],[diferencia de días]])*(1+Tabla2[[#This Row],[Hg]])</f>
        <v>1018.79987034261</v>
      </c>
    </row>
    <row r="962" spans="1:20" ht="14.5" x14ac:dyDescent="0.35">
      <c r="A962">
        <f t="shared" si="166"/>
        <v>80</v>
      </c>
      <c r="B962">
        <f t="shared" ref="B962:B1000" ca="1" si="167">RANDBETWEEN(DATE(2026,3,1), DATE(2026,5,1))</f>
        <v>46119</v>
      </c>
      <c r="C962">
        <f t="shared" ref="C962:C1000" ca="1" si="168">TODAY()</f>
        <v>46157</v>
      </c>
      <c r="D962">
        <f t="shared" ref="D962:D1000" ca="1" si="169">ROUND((-(15) * LN(RAND())),0)</f>
        <v>6</v>
      </c>
      <c r="E962">
        <f t="shared" ref="E962:E1000" ca="1" si="170">RAND()</f>
        <v>0.16779914174326827</v>
      </c>
      <c r="F962">
        <f t="shared" ref="F962:F1000" ca="1" si="171">ROUND(MIN(10000, _xlfn.LOGNORM.INV(RAND(), 69/10, 13/10)),2)</f>
        <v>474.62</v>
      </c>
      <c r="G962" t="str">
        <f t="shared" ref="G962:G1000" ca="1" si="172">IF(RAND()&lt;=0.5,"personal","hipotecario")</f>
        <v>hipotecario</v>
      </c>
      <c r="H96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62" t="str">
        <f t="shared" ref="I962:I1000" ca="1" si="173">IF(RAND()&lt;=0.65, "Sí", "No")</f>
        <v>Sí</v>
      </c>
      <c r="J96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62">
        <f ca="1">IF(Tabla2[[#This Row],[¿cliente deuda abierta?]]="Sí", Tabla2[[#This Row],[Deuda actual]]*Tabla2[[#This Row],[diferencia de días]], "0")</f>
        <v>2847.7200000000003</v>
      </c>
      <c r="L96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6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6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62">
        <f t="shared" ref="O962:O1000" ca="1" si="174">ROUND(1000*(_xlfn.LOGNORM.INV(RAND(), 0.5, 0.2)),2)</f>
        <v>1765.74</v>
      </c>
      <c r="P962">
        <f t="shared" ref="P962:P1000" ca="1" si="175">ROUND(50000*(_xlfn.LOGNORM.INV(RAND(), 1, 0.75)),2)</f>
        <v>115940.51</v>
      </c>
      <c r="Q962">
        <f t="shared" ref="Q962:Q1000" ca="1" si="176">RANDBETWEEN(0,5)</f>
        <v>0</v>
      </c>
      <c r="R962">
        <f ca="1">((Tabla2[[#This Row],[Fantasma Comunicación]]+1)/(Tabla2[[#This Row],[Fantasma Comunicación]]+RANDBETWEEN(0,5)+2))-0.5</f>
        <v>-0.25</v>
      </c>
      <c r="S962">
        <f ca="1">1+MAX(0,Tabla2[[#This Row],[Deuda actual]]/Tabla2[[#This Row],[Liquidez]]+Tabla2[[#This Row],[Liquidez]]/(Tabla2[[#This Row],[Activos]]+Tabla2[[#This Row],[Liquidez]])+Tabla2[[#This Row],[Comunicación]])</f>
        <v>1.03379506265459</v>
      </c>
      <c r="T962">
        <f ca="1">Tabla2[[#This Row],[Deuda actual]]*EXP(Tabla2[[#This Row],[Ki]]*Tabla2[[#This Row],[diferencia de días]])*(1+Tabla2[[#This Row],[Hg]])</f>
        <v>498.94938015628816</v>
      </c>
    </row>
    <row r="963" spans="1:20" ht="14.5" x14ac:dyDescent="0.35">
      <c r="A963">
        <f t="shared" si="166"/>
        <v>81</v>
      </c>
      <c r="B963">
        <f t="shared" ca="1" si="167"/>
        <v>46113</v>
      </c>
      <c r="C963">
        <f t="shared" ca="1" si="168"/>
        <v>46157</v>
      </c>
      <c r="D963">
        <f t="shared" ca="1" si="169"/>
        <v>1</v>
      </c>
      <c r="E963">
        <f t="shared" ca="1" si="170"/>
        <v>0.9808989060435267</v>
      </c>
      <c r="F963">
        <f t="shared" ca="1" si="171"/>
        <v>837.02</v>
      </c>
      <c r="G963" t="str">
        <f t="shared" ca="1" si="172"/>
        <v>hipotecario</v>
      </c>
      <c r="H96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63" t="str">
        <f t="shared" ca="1" si="173"/>
        <v>No</v>
      </c>
      <c r="J96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165000.13897759712</v>
      </c>
      <c r="K963" t="str">
        <f ca="1">IF(Tabla2[[#This Row],[¿cliente deuda abierta?]]="Sí", Tabla2[[#This Row],[Deuda actual]]*Tabla2[[#This Row],[diferencia de días]], "0")</f>
        <v>0</v>
      </c>
      <c r="L96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6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6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63">
        <f t="shared" ca="1" si="174"/>
        <v>1317.99</v>
      </c>
      <c r="P963">
        <f t="shared" ca="1" si="175"/>
        <v>100371.54</v>
      </c>
      <c r="Q963">
        <f t="shared" ca="1" si="176"/>
        <v>2</v>
      </c>
      <c r="R963">
        <f ca="1">((Tabla2[[#This Row],[Fantasma Comunicación]]+1)/(Tabla2[[#This Row],[Fantasma Comunicación]]+RANDBETWEEN(0,5)+2))-0.5</f>
        <v>-7.1428571428571452E-2</v>
      </c>
      <c r="S963">
        <f ca="1">1+MAX(0,Tabla2[[#This Row],[Deuda actual]]/Tabla2[[#This Row],[Liquidez]]+Tabla2[[#This Row],[Liquidez]]/(Tabla2[[#This Row],[Activos]]+Tabla2[[#This Row],[Liquidez]])+Tabla2[[#This Row],[Comunicación]])</f>
        <v>1.5766054536583214</v>
      </c>
      <c r="T963">
        <f ca="1">Tabla2[[#This Row],[Deuda actual]]*EXP(Tabla2[[#This Row],[Ki]]*Tabla2[[#This Row],[diferencia de días]])*(1+Tabla2[[#This Row],[Hg]])</f>
        <v>669.74993659321296</v>
      </c>
    </row>
    <row r="964" spans="1:20" ht="14.5" x14ac:dyDescent="0.35">
      <c r="A964">
        <f t="shared" si="166"/>
        <v>82</v>
      </c>
      <c r="B964">
        <f t="shared" ca="1" si="167"/>
        <v>46090</v>
      </c>
      <c r="C964">
        <f t="shared" ca="1" si="168"/>
        <v>46157</v>
      </c>
      <c r="D964">
        <f t="shared" ca="1" si="169"/>
        <v>0</v>
      </c>
      <c r="E964">
        <f t="shared" ca="1" si="170"/>
        <v>0.87778829158527238</v>
      </c>
      <c r="F964">
        <f t="shared" ca="1" si="171"/>
        <v>2918.9</v>
      </c>
      <c r="G964" t="str">
        <f t="shared" ca="1" si="172"/>
        <v>personal</v>
      </c>
      <c r="H96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64" t="str">
        <f t="shared" ca="1" si="173"/>
        <v>Sí</v>
      </c>
      <c r="J96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64">
        <f ca="1">IF(Tabla2[[#This Row],[¿cliente deuda abierta?]]="Sí", Tabla2[[#This Row],[Deuda actual]]*Tabla2[[#This Row],[diferencia de días]], "0")</f>
        <v>0</v>
      </c>
      <c r="L96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6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64">
        <f ca="1">MAX(Tabla2[[#This Row],[VALORES DE Hg para actuales deudores]:[Valores de HG para deudores cerrados]])*IF(Tabla2[[#This Row],[VALORES DE Hg para actuales deudores]]&gt;Tabla2[[#This Row],[Valores de HG para deudores cerrados]],-1,1)</f>
        <v>0</v>
      </c>
      <c r="O964">
        <f t="shared" ca="1" si="174"/>
        <v>1330.18</v>
      </c>
      <c r="P964">
        <f t="shared" ca="1" si="175"/>
        <v>214990.02</v>
      </c>
      <c r="Q964">
        <f t="shared" ca="1" si="176"/>
        <v>1</v>
      </c>
      <c r="R964">
        <f ca="1">((Tabla2[[#This Row],[Fantasma Comunicación]]+1)/(Tabla2[[#This Row],[Fantasma Comunicación]]+RANDBETWEEN(0,5)+2))-0.5</f>
        <v>-9.9999999999999978E-2</v>
      </c>
      <c r="S964">
        <f ca="1">1+MAX(0,Tabla2[[#This Row],[Deuda actual]]/Tabla2[[#This Row],[Liquidez]]+Tabla2[[#This Row],[Liquidez]]/(Tabla2[[#This Row],[Activos]]+Tabla2[[#This Row],[Liquidez]])+Tabla2[[#This Row],[Comunicación]])</f>
        <v>3.1005137976822925</v>
      </c>
      <c r="T964">
        <f ca="1">Tabla2[[#This Row],[Deuda actual]]*EXP(Tabla2[[#This Row],[Ki]]*Tabla2[[#This Row],[diferencia de días]])*(1+Tabla2[[#This Row],[Hg]])</f>
        <v>2918.9</v>
      </c>
    </row>
    <row r="965" spans="1:20" ht="14.5" x14ac:dyDescent="0.35">
      <c r="A965">
        <f t="shared" si="166"/>
        <v>83</v>
      </c>
      <c r="B965">
        <f t="shared" ca="1" si="167"/>
        <v>46116</v>
      </c>
      <c r="C965">
        <f t="shared" ca="1" si="168"/>
        <v>46157</v>
      </c>
      <c r="D965">
        <f t="shared" ca="1" si="169"/>
        <v>47</v>
      </c>
      <c r="E965">
        <f t="shared" ca="1" si="170"/>
        <v>0.88765505025956959</v>
      </c>
      <c r="F965">
        <f t="shared" ca="1" si="171"/>
        <v>1572.11</v>
      </c>
      <c r="G965" t="str">
        <f t="shared" ca="1" si="172"/>
        <v>personal</v>
      </c>
      <c r="H96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965" t="str">
        <f t="shared" ca="1" si="173"/>
        <v>Sí</v>
      </c>
      <c r="J96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65">
        <f ca="1">IF(Tabla2[[#This Row],[¿cliente deuda abierta?]]="Sí", Tabla2[[#This Row],[Deuda actual]]*Tabla2[[#This Row],[diferencia de días]], "0")</f>
        <v>73889.17</v>
      </c>
      <c r="L96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96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65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965">
        <f t="shared" ca="1" si="174"/>
        <v>1758.1</v>
      </c>
      <c r="P965">
        <f t="shared" ca="1" si="175"/>
        <v>161817.98000000001</v>
      </c>
      <c r="Q965">
        <f t="shared" ca="1" si="176"/>
        <v>4</v>
      </c>
      <c r="R965">
        <f ca="1">((Tabla2[[#This Row],[Fantasma Comunicación]]+1)/(Tabla2[[#This Row],[Fantasma Comunicación]]+RANDBETWEEN(0,5)+2))-0.5</f>
        <v>0.33333333333333337</v>
      </c>
      <c r="S965">
        <f ca="1">1+MAX(0,Tabla2[[#This Row],[Deuda actual]]/Tabla2[[#This Row],[Liquidez]]+Tabla2[[#This Row],[Liquidez]]/(Tabla2[[#This Row],[Activos]]+Tabla2[[#This Row],[Liquidez]])+Tabla2[[#This Row],[Comunicación]])</f>
        <v>2.2382908954592899</v>
      </c>
      <c r="T965">
        <f ca="1">Tabla2[[#This Row],[Deuda actual]]*EXP(Tabla2[[#This Row],[Ki]]*Tabla2[[#This Row],[diferencia de días]])*(1+Tabla2[[#This Row],[Hg]])</f>
        <v>1894.9275554483497</v>
      </c>
    </row>
    <row r="966" spans="1:20" ht="14.5" x14ac:dyDescent="0.35">
      <c r="A966">
        <f t="shared" si="166"/>
        <v>84</v>
      </c>
      <c r="B966">
        <f t="shared" ca="1" si="167"/>
        <v>46117</v>
      </c>
      <c r="C966">
        <f t="shared" ca="1" si="168"/>
        <v>46157</v>
      </c>
      <c r="D966">
        <f t="shared" ca="1" si="169"/>
        <v>18</v>
      </c>
      <c r="E966">
        <f t="shared" ca="1" si="170"/>
        <v>0.85037119841549114</v>
      </c>
      <c r="F966">
        <f t="shared" ca="1" si="171"/>
        <v>343.37</v>
      </c>
      <c r="G966" t="str">
        <f t="shared" ca="1" si="172"/>
        <v>personal</v>
      </c>
      <c r="H96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66" t="str">
        <f t="shared" ca="1" si="173"/>
        <v>Sí</v>
      </c>
      <c r="J96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66">
        <f ca="1">IF(Tabla2[[#This Row],[¿cliente deuda abierta?]]="Sí", Tabla2[[#This Row],[Deuda actual]]*Tabla2[[#This Row],[diferencia de días]], "0")</f>
        <v>6180.66</v>
      </c>
      <c r="L96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6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66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66">
        <f t="shared" ca="1" si="174"/>
        <v>1554.33</v>
      </c>
      <c r="P966">
        <f t="shared" ca="1" si="175"/>
        <v>227248.18</v>
      </c>
      <c r="Q966">
        <f t="shared" ca="1" si="176"/>
        <v>0</v>
      </c>
      <c r="R966">
        <f ca="1">((Tabla2[[#This Row],[Fantasma Comunicación]]+1)/(Tabla2[[#This Row],[Fantasma Comunicación]]+RANDBETWEEN(0,5)+2))-0.5</f>
        <v>0</v>
      </c>
      <c r="S966">
        <f ca="1">1+MAX(0,Tabla2[[#This Row],[Deuda actual]]/Tabla2[[#This Row],[Liquidez]]+Tabla2[[#This Row],[Liquidez]]/(Tabla2[[#This Row],[Activos]]+Tabla2[[#This Row],[Liquidez]])+Tabla2[[#This Row],[Comunicación]])</f>
        <v>1.2277052299894611</v>
      </c>
      <c r="T966">
        <f ca="1">Tabla2[[#This Row],[Deuda actual]]*EXP(Tabla2[[#This Row],[Ki]]*Tabla2[[#This Row],[diferencia de días]])*(1+Tabla2[[#This Row],[Hg]])</f>
        <v>363.14374482672838</v>
      </c>
    </row>
    <row r="967" spans="1:20" ht="14.5" x14ac:dyDescent="0.35">
      <c r="A967">
        <f t="shared" si="166"/>
        <v>85</v>
      </c>
      <c r="B967">
        <f t="shared" ca="1" si="167"/>
        <v>46120</v>
      </c>
      <c r="C967">
        <f t="shared" ca="1" si="168"/>
        <v>46157</v>
      </c>
      <c r="D967">
        <f t="shared" ca="1" si="169"/>
        <v>6</v>
      </c>
      <c r="E967">
        <f t="shared" ca="1" si="170"/>
        <v>0.7924797470116467</v>
      </c>
      <c r="F967">
        <f t="shared" ca="1" si="171"/>
        <v>1465.79</v>
      </c>
      <c r="G967" t="str">
        <f t="shared" ca="1" si="172"/>
        <v>personal</v>
      </c>
      <c r="H96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67" t="str">
        <f t="shared" ca="1" si="173"/>
        <v>Sí</v>
      </c>
      <c r="J96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67">
        <f ca="1">IF(Tabla2[[#This Row],[¿cliente deuda abierta?]]="Sí", Tabla2[[#This Row],[Deuda actual]]*Tabla2[[#This Row],[diferencia de días]], "0")</f>
        <v>8794.74</v>
      </c>
      <c r="L96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6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6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67">
        <f t="shared" ca="1" si="174"/>
        <v>1607.31</v>
      </c>
      <c r="P967">
        <f t="shared" ca="1" si="175"/>
        <v>132848.28</v>
      </c>
      <c r="Q967">
        <f t="shared" ca="1" si="176"/>
        <v>4</v>
      </c>
      <c r="R967">
        <f ca="1">((Tabla2[[#This Row],[Fantasma Comunicación]]+1)/(Tabla2[[#This Row],[Fantasma Comunicación]]+RANDBETWEEN(0,5)+2))-0.5</f>
        <v>5.555555555555558E-2</v>
      </c>
      <c r="S967">
        <f ca="1">1+MAX(0,Tabla2[[#This Row],[Deuda actual]]/Tabla2[[#This Row],[Liquidez]]+Tabla2[[#This Row],[Liquidez]]/(Tabla2[[#This Row],[Activos]]+Tabla2[[#This Row],[Liquidez]])+Tabla2[[#This Row],[Comunicación]])</f>
        <v>1.979462030964227</v>
      </c>
      <c r="T967">
        <f ca="1">Tabla2[[#This Row],[Deuda actual]]*EXP(Tabla2[[#This Row],[Ki]]*Tabla2[[#This Row],[diferencia de días]])*(1+Tabla2[[#This Row],[Hg]])</f>
        <v>1540.9275039806278</v>
      </c>
    </row>
    <row r="968" spans="1:20" ht="14.5" x14ac:dyDescent="0.35">
      <c r="A968">
        <f t="shared" si="166"/>
        <v>86</v>
      </c>
      <c r="B968">
        <f t="shared" ca="1" si="167"/>
        <v>46088</v>
      </c>
      <c r="C968">
        <f t="shared" ca="1" si="168"/>
        <v>46157</v>
      </c>
      <c r="D968">
        <f t="shared" ca="1" si="169"/>
        <v>16</v>
      </c>
      <c r="E968">
        <f t="shared" ca="1" si="170"/>
        <v>0.55445271329732948</v>
      </c>
      <c r="F968">
        <f t="shared" ca="1" si="171"/>
        <v>2156.77</v>
      </c>
      <c r="G968" t="str">
        <f t="shared" ca="1" si="172"/>
        <v>personal</v>
      </c>
      <c r="H96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68" t="str">
        <f t="shared" ca="1" si="173"/>
        <v>No</v>
      </c>
      <c r="J96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11999.819414696798</v>
      </c>
      <c r="K968" t="str">
        <f ca="1">IF(Tabla2[[#This Row],[¿cliente deuda abierta?]]="Sí", Tabla2[[#This Row],[Deuda actual]]*Tabla2[[#This Row],[diferencia de días]], "0")</f>
        <v>0</v>
      </c>
      <c r="L96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6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968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968">
        <f t="shared" ca="1" si="174"/>
        <v>1171.26</v>
      </c>
      <c r="P968">
        <f t="shared" ca="1" si="175"/>
        <v>102919.73</v>
      </c>
      <c r="Q968">
        <f t="shared" ca="1" si="176"/>
        <v>4</v>
      </c>
      <c r="R968">
        <f ca="1">((Tabla2[[#This Row],[Fantasma Comunicación]]+1)/(Tabla2[[#This Row],[Fantasma Comunicación]]+RANDBETWEEN(0,5)+2))-0.5</f>
        <v>-4.545454545454547E-2</v>
      </c>
      <c r="S968">
        <f ca="1">1+MAX(0,Tabla2[[#This Row],[Deuda actual]]/Tabla2[[#This Row],[Liquidez]]+Tabla2[[#This Row],[Liquidez]]/(Tabla2[[#This Row],[Activos]]+Tabla2[[#This Row],[Liquidez]])+Tabla2[[#This Row],[Comunicación]])</f>
        <v>2.8072078306317554</v>
      </c>
      <c r="T968">
        <f ca="1">Tabla2[[#This Row],[Deuda actual]]*EXP(Tabla2[[#This Row],[Ki]]*Tabla2[[#This Row],[diferencia de días]])*(1+Tabla2[[#This Row],[Hg]])</f>
        <v>1953.5558337281534</v>
      </c>
    </row>
    <row r="969" spans="1:20" ht="14.5" x14ac:dyDescent="0.35">
      <c r="A969">
        <f t="shared" si="166"/>
        <v>87</v>
      </c>
      <c r="B969">
        <f t="shared" ca="1" si="167"/>
        <v>46098</v>
      </c>
      <c r="C969">
        <f t="shared" ca="1" si="168"/>
        <v>46157</v>
      </c>
      <c r="D969">
        <f t="shared" ca="1" si="169"/>
        <v>17</v>
      </c>
      <c r="E969">
        <f t="shared" ca="1" si="170"/>
        <v>0.64227769490652709</v>
      </c>
      <c r="F969">
        <f t="shared" ca="1" si="171"/>
        <v>1379.94</v>
      </c>
      <c r="G969" t="str">
        <f t="shared" ca="1" si="172"/>
        <v>hipotecario</v>
      </c>
      <c r="H96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69" t="str">
        <f t="shared" ca="1" si="173"/>
        <v>Sí</v>
      </c>
      <c r="J96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69">
        <f ca="1">IF(Tabla2[[#This Row],[¿cliente deuda abierta?]]="Sí", Tabla2[[#This Row],[Deuda actual]]*Tabla2[[#This Row],[diferencia de días]], "0")</f>
        <v>23458.98</v>
      </c>
      <c r="L96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6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6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69">
        <f t="shared" ca="1" si="174"/>
        <v>2338.11</v>
      </c>
      <c r="P969">
        <f t="shared" ca="1" si="175"/>
        <v>85146.43</v>
      </c>
      <c r="Q969">
        <f t="shared" ca="1" si="176"/>
        <v>2</v>
      </c>
      <c r="R969">
        <f ca="1">((Tabla2[[#This Row],[Fantasma Comunicación]]+1)/(Tabla2[[#This Row],[Fantasma Comunicación]]+RANDBETWEEN(0,5)+2))-0.5</f>
        <v>-0.125</v>
      </c>
      <c r="S969">
        <f ca="1">1+MAX(0,Tabla2[[#This Row],[Deuda actual]]/Tabla2[[#This Row],[Liquidez]]+Tabla2[[#This Row],[Liquidez]]/(Tabla2[[#This Row],[Activos]]+Tabla2[[#This Row],[Liquidez]])+Tabla2[[#This Row],[Comunicación]])</f>
        <v>1.4919206236338551</v>
      </c>
      <c r="T969">
        <f ca="1">Tabla2[[#This Row],[Deuda actual]]*EXP(Tabla2[[#This Row],[Ki]]*Tabla2[[#This Row],[diferencia de días]])*(1+Tabla2[[#This Row],[Hg]])</f>
        <v>1458.8233470847269</v>
      </c>
    </row>
    <row r="970" spans="1:20" ht="14.5" x14ac:dyDescent="0.35">
      <c r="A970">
        <f t="shared" si="166"/>
        <v>88</v>
      </c>
      <c r="B970">
        <f t="shared" ca="1" si="167"/>
        <v>46139</v>
      </c>
      <c r="C970">
        <f t="shared" ca="1" si="168"/>
        <v>46157</v>
      </c>
      <c r="D970">
        <f t="shared" ca="1" si="169"/>
        <v>9</v>
      </c>
      <c r="E970">
        <f t="shared" ca="1" si="170"/>
        <v>0.9355299470613051</v>
      </c>
      <c r="F970">
        <f t="shared" ca="1" si="171"/>
        <v>3271.62</v>
      </c>
      <c r="G970" t="str">
        <f t="shared" ca="1" si="172"/>
        <v>personal</v>
      </c>
      <c r="H97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70" t="str">
        <f t="shared" ca="1" si="173"/>
        <v>No</v>
      </c>
      <c r="J970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12000.132067901381</v>
      </c>
      <c r="K970" t="str">
        <f ca="1">IF(Tabla2[[#This Row],[¿cliente deuda abierta?]]="Sí", Tabla2[[#This Row],[Deuda actual]]*Tabla2[[#This Row],[diferencia de días]], "0")</f>
        <v>0</v>
      </c>
      <c r="L970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70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970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970">
        <f t="shared" ca="1" si="174"/>
        <v>1373.13</v>
      </c>
      <c r="P970">
        <f t="shared" ca="1" si="175"/>
        <v>328577.73</v>
      </c>
      <c r="Q970">
        <f t="shared" ca="1" si="176"/>
        <v>5</v>
      </c>
      <c r="R970">
        <f ca="1">((Tabla2[[#This Row],[Fantasma Comunicación]]+1)/(Tabla2[[#This Row],[Fantasma Comunicación]]+RANDBETWEEN(0,5)+2))-0.5</f>
        <v>0.16666666666666663</v>
      </c>
      <c r="S970">
        <f ca="1">1+MAX(0,Tabla2[[#This Row],[Deuda actual]]/Tabla2[[#This Row],[Liquidez]]+Tabla2[[#This Row],[Liquidez]]/(Tabla2[[#This Row],[Activos]]+Tabla2[[#This Row],[Liquidez]])+Tabla2[[#This Row],[Comunicación]])</f>
        <v>3.5534286228272549</v>
      </c>
      <c r="T970">
        <f ca="1">Tabla2[[#This Row],[Deuda actual]]*EXP(Tabla2[[#This Row],[Ki]]*Tabla2[[#This Row],[diferencia de días]])*(1+Tabla2[[#This Row],[Hg]])</f>
        <v>2949.762797285262</v>
      </c>
    </row>
    <row r="971" spans="1:20" ht="14.5" x14ac:dyDescent="0.35">
      <c r="A971">
        <f t="shared" si="166"/>
        <v>89</v>
      </c>
      <c r="B971">
        <f t="shared" ca="1" si="167"/>
        <v>46123</v>
      </c>
      <c r="C971">
        <f t="shared" ca="1" si="168"/>
        <v>46157</v>
      </c>
      <c r="D971">
        <f t="shared" ca="1" si="169"/>
        <v>13</v>
      </c>
      <c r="E971">
        <f t="shared" ca="1" si="170"/>
        <v>0.11363844403155832</v>
      </c>
      <c r="F971">
        <f t="shared" ca="1" si="171"/>
        <v>2374.4</v>
      </c>
      <c r="G971" t="str">
        <f t="shared" ca="1" si="172"/>
        <v>personal</v>
      </c>
      <c r="H97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71" t="str">
        <f t="shared" ca="1" si="173"/>
        <v>Sí</v>
      </c>
      <c r="J97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71">
        <f ca="1">IF(Tabla2[[#This Row],[¿cliente deuda abierta?]]="Sí", Tabla2[[#This Row],[Deuda actual]]*Tabla2[[#This Row],[diferencia de días]], "0")</f>
        <v>30867.200000000001</v>
      </c>
      <c r="L97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97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71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971">
        <f t="shared" ca="1" si="174"/>
        <v>1682.63</v>
      </c>
      <c r="P971">
        <f t="shared" ca="1" si="175"/>
        <v>87380.74</v>
      </c>
      <c r="Q971">
        <f t="shared" ca="1" si="176"/>
        <v>5</v>
      </c>
      <c r="R971">
        <f ca="1">((Tabla2[[#This Row],[Fantasma Comunicación]]+1)/(Tabla2[[#This Row],[Fantasma Comunicación]]+RANDBETWEEN(0,5)+2))-0.5</f>
        <v>0.25</v>
      </c>
      <c r="S971">
        <f ca="1">1+MAX(0,Tabla2[[#This Row],[Deuda actual]]/Tabla2[[#This Row],[Liquidez]]+Tabla2[[#This Row],[Liquidez]]/(Tabla2[[#This Row],[Activos]]+Tabla2[[#This Row],[Liquidez]])+Tabla2[[#This Row],[Comunicación]])</f>
        <v>2.6800167550845293</v>
      </c>
      <c r="T971">
        <f ca="1">Tabla2[[#This Row],[Deuda actual]]*EXP(Tabla2[[#This Row],[Ki]]*Tabla2[[#This Row],[diferencia de días]])*(1+Tabla2[[#This Row],[Hg]])</f>
        <v>2618.6396196751261</v>
      </c>
    </row>
    <row r="972" spans="1:20" ht="14.5" x14ac:dyDescent="0.35">
      <c r="A972">
        <f t="shared" si="166"/>
        <v>90</v>
      </c>
      <c r="B972">
        <f t="shared" ca="1" si="167"/>
        <v>46087</v>
      </c>
      <c r="C972">
        <f t="shared" ca="1" si="168"/>
        <v>46157</v>
      </c>
      <c r="D972">
        <f t="shared" ca="1" si="169"/>
        <v>15</v>
      </c>
      <c r="E972">
        <f t="shared" ca="1" si="170"/>
        <v>0.22642352024521784</v>
      </c>
      <c r="F972">
        <f t="shared" ca="1" si="171"/>
        <v>895.09</v>
      </c>
      <c r="G972" t="str">
        <f t="shared" ca="1" si="172"/>
        <v>hipotecario</v>
      </c>
      <c r="H97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72" t="str">
        <f t="shared" ca="1" si="173"/>
        <v>Sí</v>
      </c>
      <c r="J97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72">
        <f ca="1">IF(Tabla2[[#This Row],[¿cliente deuda abierta?]]="Sí", Tabla2[[#This Row],[Deuda actual]]*Tabla2[[#This Row],[diferencia de días]], "0")</f>
        <v>13426.35</v>
      </c>
      <c r="L97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7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72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72">
        <f t="shared" ca="1" si="174"/>
        <v>1469.91</v>
      </c>
      <c r="P972">
        <f t="shared" ca="1" si="175"/>
        <v>129020.64</v>
      </c>
      <c r="Q972">
        <f t="shared" ca="1" si="176"/>
        <v>1</v>
      </c>
      <c r="R972">
        <f ca="1">((Tabla2[[#This Row],[Fantasma Comunicación]]+1)/(Tabla2[[#This Row],[Fantasma Comunicación]]+RANDBETWEEN(0,5)+2))-0.5</f>
        <v>-0.16666666666666669</v>
      </c>
      <c r="S972">
        <f ca="1">1+MAX(0,Tabla2[[#This Row],[Deuda actual]]/Tabla2[[#This Row],[Liquidez]]+Tabla2[[#This Row],[Liquidez]]/(Tabla2[[#This Row],[Activos]]+Tabla2[[#This Row],[Liquidez]])+Tabla2[[#This Row],[Comunicación]])</f>
        <v>1.4535398712697065</v>
      </c>
      <c r="T972">
        <f ca="1">Tabla2[[#This Row],[Deuda actual]]*EXP(Tabla2[[#This Row],[Ki]]*Tabla2[[#This Row],[diferencia de días]])*(1+Tabla2[[#This Row],[Hg]])</f>
        <v>945.5005180862147</v>
      </c>
    </row>
    <row r="973" spans="1:20" ht="14.5" x14ac:dyDescent="0.35">
      <c r="A973">
        <f t="shared" si="166"/>
        <v>91</v>
      </c>
      <c r="B973">
        <f t="shared" ca="1" si="167"/>
        <v>46119</v>
      </c>
      <c r="C973">
        <f t="shared" ca="1" si="168"/>
        <v>46157</v>
      </c>
      <c r="D973">
        <f t="shared" ca="1" si="169"/>
        <v>10</v>
      </c>
      <c r="E973">
        <f t="shared" ca="1" si="170"/>
        <v>0.61028465620329075</v>
      </c>
      <c r="F973">
        <f t="shared" ca="1" si="171"/>
        <v>386.95</v>
      </c>
      <c r="G973" t="str">
        <f t="shared" ca="1" si="172"/>
        <v>personal</v>
      </c>
      <c r="H97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73" t="str">
        <f t="shared" ca="1" si="173"/>
        <v>Sí</v>
      </c>
      <c r="J97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73">
        <f ca="1">IF(Tabla2[[#This Row],[¿cliente deuda abierta?]]="Sí", Tabla2[[#This Row],[Deuda actual]]*Tabla2[[#This Row],[diferencia de días]], "0")</f>
        <v>3869.5</v>
      </c>
      <c r="L97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7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7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73">
        <f t="shared" ca="1" si="174"/>
        <v>1662.06</v>
      </c>
      <c r="P973">
        <f t="shared" ca="1" si="175"/>
        <v>178879.65</v>
      </c>
      <c r="Q973">
        <f t="shared" ca="1" si="176"/>
        <v>3</v>
      </c>
      <c r="R973">
        <f ca="1">((Tabla2[[#This Row],[Fantasma Comunicación]]+1)/(Tabla2[[#This Row],[Fantasma Comunicación]]+RANDBETWEEN(0,5)+2))-0.5</f>
        <v>-5.555555555555558E-2</v>
      </c>
      <c r="S973">
        <f ca="1">1+MAX(0,Tabla2[[#This Row],[Deuda actual]]/Tabla2[[#This Row],[Liquidez]]+Tabla2[[#This Row],[Liquidez]]/(Tabla2[[#This Row],[Activos]]+Tabla2[[#This Row],[Liquidez]])+Tabla2[[#This Row],[Comunicación]])</f>
        <v>1.1864639022748382</v>
      </c>
      <c r="T973">
        <f ca="1">Tabla2[[#This Row],[Deuda actual]]*EXP(Tabla2[[#This Row],[Ki]]*Tabla2[[#This Row],[diferencia de días]])*(1+Tabla2[[#This Row],[Hg]])</f>
        <v>407.11090813700099</v>
      </c>
    </row>
    <row r="974" spans="1:20" ht="14.5" x14ac:dyDescent="0.35">
      <c r="A974">
        <f t="shared" si="166"/>
        <v>92</v>
      </c>
      <c r="B974">
        <f t="shared" ca="1" si="167"/>
        <v>46138</v>
      </c>
      <c r="C974">
        <f t="shared" ca="1" si="168"/>
        <v>46157</v>
      </c>
      <c r="D974">
        <f t="shared" ca="1" si="169"/>
        <v>2</v>
      </c>
      <c r="E974">
        <f t="shared" ca="1" si="170"/>
        <v>0.13895573671678629</v>
      </c>
      <c r="F974">
        <f t="shared" ca="1" si="171"/>
        <v>427.99</v>
      </c>
      <c r="G974" t="str">
        <f t="shared" ca="1" si="172"/>
        <v>personal</v>
      </c>
      <c r="H97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74" t="str">
        <f t="shared" ca="1" si="173"/>
        <v>No</v>
      </c>
      <c r="J974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11999.230406173974</v>
      </c>
      <c r="K974" t="str">
        <f ca="1">IF(Tabla2[[#This Row],[¿cliente deuda abierta?]]="Sí", Tabla2[[#This Row],[Deuda actual]]*Tabla2[[#This Row],[diferencia de días]], "0")</f>
        <v>0</v>
      </c>
      <c r="L974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74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974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974">
        <f t="shared" ca="1" si="174"/>
        <v>1389.72</v>
      </c>
      <c r="P974">
        <f t="shared" ca="1" si="175"/>
        <v>45406.12</v>
      </c>
      <c r="Q974">
        <f t="shared" ca="1" si="176"/>
        <v>4</v>
      </c>
      <c r="R974">
        <f ca="1">((Tabla2[[#This Row],[Fantasma Comunicación]]+1)/(Tabla2[[#This Row],[Fantasma Comunicación]]+RANDBETWEEN(0,5)+2))-0.5</f>
        <v>0</v>
      </c>
      <c r="S974">
        <f ca="1">1+MAX(0,Tabla2[[#This Row],[Deuda actual]]/Tabla2[[#This Row],[Liquidez]]+Tabla2[[#This Row],[Liquidez]]/(Tabla2[[#This Row],[Activos]]+Tabla2[[#This Row],[Liquidez]])+Tabla2[[#This Row],[Comunicación]])</f>
        <v>1.3376660232163113</v>
      </c>
      <c r="T974">
        <f ca="1">Tabla2[[#This Row],[Deuda actual]]*EXP(Tabla2[[#This Row],[Ki]]*Tabla2[[#This Row],[diferencia de días]])*(1+Tabla2[[#This Row],[Hg]])</f>
        <v>385.34510721938915</v>
      </c>
    </row>
    <row r="975" spans="1:20" ht="14.5" x14ac:dyDescent="0.35">
      <c r="A975">
        <f t="shared" si="166"/>
        <v>93</v>
      </c>
      <c r="B975">
        <f t="shared" ca="1" si="167"/>
        <v>46121</v>
      </c>
      <c r="C975">
        <f t="shared" ca="1" si="168"/>
        <v>46157</v>
      </c>
      <c r="D975">
        <f t="shared" ca="1" si="169"/>
        <v>5</v>
      </c>
      <c r="E975">
        <f t="shared" ca="1" si="170"/>
        <v>0.72351382556229527</v>
      </c>
      <c r="F975">
        <f t="shared" ca="1" si="171"/>
        <v>2277.8000000000002</v>
      </c>
      <c r="G975" t="str">
        <f t="shared" ca="1" si="172"/>
        <v>hipotecario</v>
      </c>
      <c r="H97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75" t="str">
        <f t="shared" ca="1" si="173"/>
        <v>Sí</v>
      </c>
      <c r="J97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75">
        <f ca="1">IF(Tabla2[[#This Row],[¿cliente deuda abierta?]]="Sí", Tabla2[[#This Row],[Deuda actual]]*Tabla2[[#This Row],[diferencia de días]], "0")</f>
        <v>11389</v>
      </c>
      <c r="L97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7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7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75">
        <f t="shared" ca="1" si="174"/>
        <v>1372.38</v>
      </c>
      <c r="P975">
        <f t="shared" ca="1" si="175"/>
        <v>31224.94</v>
      </c>
      <c r="Q975">
        <f t="shared" ca="1" si="176"/>
        <v>0</v>
      </c>
      <c r="R975">
        <f ca="1">((Tabla2[[#This Row],[Fantasma Comunicación]]+1)/(Tabla2[[#This Row],[Fantasma Comunicación]]+RANDBETWEEN(0,5)+2))-0.5</f>
        <v>-0.16666666666666669</v>
      </c>
      <c r="S975">
        <f ca="1">1+MAX(0,Tabla2[[#This Row],[Deuda actual]]/Tabla2[[#This Row],[Liquidez]]+Tabla2[[#This Row],[Liquidez]]/(Tabla2[[#This Row],[Activos]]+Tabla2[[#This Row],[Liquidez]])+Tabla2[[#This Row],[Comunicación]])</f>
        <v>2.5351787260757663</v>
      </c>
      <c r="T975">
        <f ca="1">Tabla2[[#This Row],[Deuda actual]]*EXP(Tabla2[[#This Row],[Ki]]*Tabla2[[#This Row],[diferencia de días]])*(1+Tabla2[[#This Row],[Hg]])</f>
        <v>2394.0828862437152</v>
      </c>
    </row>
    <row r="976" spans="1:20" ht="14.5" x14ac:dyDescent="0.35">
      <c r="A976">
        <f t="shared" si="166"/>
        <v>94</v>
      </c>
      <c r="B976">
        <f t="shared" ca="1" si="167"/>
        <v>46116</v>
      </c>
      <c r="C976">
        <f t="shared" ca="1" si="168"/>
        <v>46157</v>
      </c>
      <c r="D976">
        <f t="shared" ca="1" si="169"/>
        <v>39</v>
      </c>
      <c r="E976">
        <f t="shared" ca="1" si="170"/>
        <v>0.27097904859201905</v>
      </c>
      <c r="F976">
        <f t="shared" ca="1" si="171"/>
        <v>1735.9</v>
      </c>
      <c r="G976" t="str">
        <f t="shared" ca="1" si="172"/>
        <v>personal</v>
      </c>
      <c r="H97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976" t="str">
        <f t="shared" ca="1" si="173"/>
        <v>Sí</v>
      </c>
      <c r="J97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76">
        <f ca="1">IF(Tabla2[[#This Row],[¿cliente deuda abierta?]]="Sí", Tabla2[[#This Row],[Deuda actual]]*Tabla2[[#This Row],[diferencia de días]], "0")</f>
        <v>67700.100000000006</v>
      </c>
      <c r="L97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97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76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976">
        <f t="shared" ca="1" si="174"/>
        <v>2219.3000000000002</v>
      </c>
      <c r="P976">
        <f t="shared" ca="1" si="175"/>
        <v>104853.05</v>
      </c>
      <c r="Q976">
        <f t="shared" ca="1" si="176"/>
        <v>0</v>
      </c>
      <c r="R976">
        <f ca="1">((Tabla2[[#This Row],[Fantasma Comunicación]]+1)/(Tabla2[[#This Row],[Fantasma Comunicación]]+RANDBETWEEN(0,5)+2))-0.5</f>
        <v>-0.35714285714285715</v>
      </c>
      <c r="S976">
        <f ca="1">1+MAX(0,Tabla2[[#This Row],[Deuda actual]]/Tabla2[[#This Row],[Liquidez]]+Tabla2[[#This Row],[Liquidez]]/(Tabla2[[#This Row],[Activos]]+Tabla2[[#This Row],[Liquidez]])+Tabla2[[#This Row],[Comunicación]])</f>
        <v>1.4457678207380698</v>
      </c>
      <c r="T976">
        <f ca="1">Tabla2[[#This Row],[Deuda actual]]*EXP(Tabla2[[#This Row],[Ki]]*Tabla2[[#This Row],[diferencia de días]])*(1+Tabla2[[#This Row],[Hg]])</f>
        <v>2075.6782199535551</v>
      </c>
    </row>
    <row r="977" spans="1:20" ht="14.5" x14ac:dyDescent="0.35">
      <c r="A977">
        <f t="shared" si="166"/>
        <v>95</v>
      </c>
      <c r="B977">
        <f t="shared" ca="1" si="167"/>
        <v>46120</v>
      </c>
      <c r="C977">
        <f t="shared" ca="1" si="168"/>
        <v>46157</v>
      </c>
      <c r="D977">
        <f t="shared" ca="1" si="169"/>
        <v>10</v>
      </c>
      <c r="E977">
        <f t="shared" ca="1" si="170"/>
        <v>3.7046970428999404E-2</v>
      </c>
      <c r="F977">
        <f t="shared" ca="1" si="171"/>
        <v>8857.66</v>
      </c>
      <c r="G977" t="str">
        <f t="shared" ca="1" si="172"/>
        <v>hipotecario</v>
      </c>
      <c r="H97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77" t="str">
        <f t="shared" ca="1" si="173"/>
        <v>Sí</v>
      </c>
      <c r="J97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77">
        <f ca="1">IF(Tabla2[[#This Row],[¿cliente deuda abierta?]]="Sí", Tabla2[[#This Row],[Deuda actual]]*Tabla2[[#This Row],[diferencia de días]], "0")</f>
        <v>88576.6</v>
      </c>
      <c r="L97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97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77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977">
        <f t="shared" ca="1" si="174"/>
        <v>1261.6099999999999</v>
      </c>
      <c r="P977">
        <f t="shared" ca="1" si="175"/>
        <v>89750</v>
      </c>
      <c r="Q977">
        <f t="shared" ca="1" si="176"/>
        <v>1</v>
      </c>
      <c r="R977">
        <f ca="1">((Tabla2[[#This Row],[Fantasma Comunicación]]+1)/(Tabla2[[#This Row],[Fantasma Comunicación]]+RANDBETWEEN(0,5)+2))-0.5</f>
        <v>0</v>
      </c>
      <c r="S977">
        <f ca="1">1+MAX(0,Tabla2[[#This Row],[Deuda actual]]/Tabla2[[#This Row],[Liquidez]]+Tabla2[[#This Row],[Liquidez]]/(Tabla2[[#This Row],[Activos]]+Tabla2[[#This Row],[Liquidez]])+Tabla2[[#This Row],[Comunicación]])</f>
        <v>8.0347797938479317</v>
      </c>
      <c r="T977">
        <f ca="1">Tabla2[[#This Row],[Deuda actual]]*EXP(Tabla2[[#This Row],[Ki]]*Tabla2[[#This Row],[diferencia de días]])*(1+Tabla2[[#This Row],[Hg]])</f>
        <v>10206.70200420654</v>
      </c>
    </row>
    <row r="978" spans="1:20" ht="14.5" x14ac:dyDescent="0.35">
      <c r="A978">
        <f t="shared" si="166"/>
        <v>96</v>
      </c>
      <c r="B978">
        <f t="shared" ca="1" si="167"/>
        <v>46135</v>
      </c>
      <c r="C978">
        <f t="shared" ca="1" si="168"/>
        <v>46157</v>
      </c>
      <c r="D978">
        <f t="shared" ca="1" si="169"/>
        <v>5</v>
      </c>
      <c r="E978">
        <f t="shared" ca="1" si="170"/>
        <v>0.24473368172741339</v>
      </c>
      <c r="F978">
        <f t="shared" ca="1" si="171"/>
        <v>724.59</v>
      </c>
      <c r="G978" t="str">
        <f t="shared" ca="1" si="172"/>
        <v>personal</v>
      </c>
      <c r="H97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78" t="str">
        <f t="shared" ca="1" si="173"/>
        <v>Sí</v>
      </c>
      <c r="J97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78">
        <f ca="1">IF(Tabla2[[#This Row],[¿cliente deuda abierta?]]="Sí", Tabla2[[#This Row],[Deuda actual]]*Tabla2[[#This Row],[diferencia de días]], "0")</f>
        <v>3622.9500000000003</v>
      </c>
      <c r="L97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7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78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78">
        <f t="shared" ca="1" si="174"/>
        <v>2044.24</v>
      </c>
      <c r="P978">
        <f t="shared" ca="1" si="175"/>
        <v>34082.93</v>
      </c>
      <c r="Q978">
        <f t="shared" ca="1" si="176"/>
        <v>4</v>
      </c>
      <c r="R978">
        <f ca="1">((Tabla2[[#This Row],[Fantasma Comunicación]]+1)/(Tabla2[[#This Row],[Fantasma Comunicación]]+RANDBETWEEN(0,5)+2))-0.5</f>
        <v>-4.545454545454547E-2</v>
      </c>
      <c r="S978">
        <f ca="1">1+MAX(0,Tabla2[[#This Row],[Deuda actual]]/Tabla2[[#This Row],[Liquidez]]+Tabla2[[#This Row],[Liquidez]]/(Tabla2[[#This Row],[Activos]]+Tabla2[[#This Row],[Liquidez]])+Tabla2[[#This Row],[Comunicación]])</f>
        <v>1.3655844812193565</v>
      </c>
      <c r="T978">
        <f ca="1">Tabla2[[#This Row],[Deuda actual]]*EXP(Tabla2[[#This Row],[Ki]]*Tabla2[[#This Row],[diferencia de días]])*(1+Tabla2[[#This Row],[Hg]])</f>
        <v>761.58070003658497</v>
      </c>
    </row>
    <row r="979" spans="1:20" ht="14.5" x14ac:dyDescent="0.35">
      <c r="A979">
        <f t="shared" si="166"/>
        <v>97</v>
      </c>
      <c r="B979">
        <f t="shared" ca="1" si="167"/>
        <v>46102</v>
      </c>
      <c r="C979">
        <f t="shared" ca="1" si="168"/>
        <v>46157</v>
      </c>
      <c r="D979">
        <f t="shared" ca="1" si="169"/>
        <v>28</v>
      </c>
      <c r="E979">
        <f t="shared" ca="1" si="170"/>
        <v>0.51507863563827594</v>
      </c>
      <c r="F979">
        <f t="shared" ca="1" si="171"/>
        <v>114.77</v>
      </c>
      <c r="G979" t="str">
        <f t="shared" ca="1" si="172"/>
        <v>personal</v>
      </c>
      <c r="H97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79" t="str">
        <f t="shared" ca="1" si="173"/>
        <v>Sí</v>
      </c>
      <c r="J97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79">
        <f ca="1">IF(Tabla2[[#This Row],[¿cliente deuda abierta?]]="Sí", Tabla2[[#This Row],[Deuda actual]]*Tabla2[[#This Row],[diferencia de días]], "0")</f>
        <v>3213.56</v>
      </c>
      <c r="L97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7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7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79">
        <f t="shared" ca="1" si="174"/>
        <v>2287.9899999999998</v>
      </c>
      <c r="P979">
        <f t="shared" ca="1" si="175"/>
        <v>200697.02</v>
      </c>
      <c r="Q979">
        <f t="shared" ca="1" si="176"/>
        <v>1</v>
      </c>
      <c r="R979">
        <f ca="1">((Tabla2[[#This Row],[Fantasma Comunicación]]+1)/(Tabla2[[#This Row],[Fantasma Comunicación]]+RANDBETWEEN(0,5)+2))-0.5</f>
        <v>0</v>
      </c>
      <c r="S979">
        <f ca="1">1+MAX(0,Tabla2[[#This Row],[Deuda actual]]/Tabla2[[#This Row],[Liquidez]]+Tabla2[[#This Row],[Liquidez]]/(Tabla2[[#This Row],[Activos]]+Tabla2[[#This Row],[Liquidez]])+Tabla2[[#This Row],[Comunicación]])</f>
        <v>1.0614336515558218</v>
      </c>
      <c r="T979">
        <f ca="1">Tabla2[[#This Row],[Deuda actual]]*EXP(Tabla2[[#This Row],[Ki]]*Tabla2[[#This Row],[diferencia de días]])*(1+Tabla2[[#This Row],[Hg]])</f>
        <v>121.86578178993432</v>
      </c>
    </row>
    <row r="980" spans="1:20" ht="14.5" x14ac:dyDescent="0.35">
      <c r="A980">
        <f t="shared" ref="A980:A1000" si="177">A979+1</f>
        <v>98</v>
      </c>
      <c r="B980">
        <f t="shared" ca="1" si="167"/>
        <v>46140</v>
      </c>
      <c r="C980">
        <f t="shared" ca="1" si="168"/>
        <v>46157</v>
      </c>
      <c r="D980">
        <f t="shared" ca="1" si="169"/>
        <v>1</v>
      </c>
      <c r="E980">
        <f t="shared" ca="1" si="170"/>
        <v>0.51110511675386316</v>
      </c>
      <c r="F980">
        <f t="shared" ca="1" si="171"/>
        <v>1698.74</v>
      </c>
      <c r="G980" t="str">
        <f t="shared" ca="1" si="172"/>
        <v>hipotecario</v>
      </c>
      <c r="H98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80" t="str">
        <f t="shared" ca="1" si="173"/>
        <v>Sí</v>
      </c>
      <c r="J98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80">
        <f ca="1">IF(Tabla2[[#This Row],[¿cliente deuda abierta?]]="Sí", Tabla2[[#This Row],[Deuda actual]]*Tabla2[[#This Row],[diferencia de días]], "0")</f>
        <v>1698.74</v>
      </c>
      <c r="L98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8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8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80">
        <f t="shared" ca="1" si="174"/>
        <v>1440.02</v>
      </c>
      <c r="P980">
        <f t="shared" ca="1" si="175"/>
        <v>93672.89</v>
      </c>
      <c r="Q980">
        <f t="shared" ca="1" si="176"/>
        <v>1</v>
      </c>
      <c r="R980">
        <f ca="1">((Tabla2[[#This Row],[Fantasma Comunicación]]+1)/(Tabla2[[#This Row],[Fantasma Comunicación]]+RANDBETWEEN(0,5)+2))-0.5</f>
        <v>0</v>
      </c>
      <c r="S980">
        <f ca="1">1+MAX(0,Tabla2[[#This Row],[Deuda actual]]/Tabla2[[#This Row],[Liquidez]]+Tabla2[[#This Row],[Liquidez]]/(Tabla2[[#This Row],[Activos]]+Tabla2[[#This Row],[Liquidez]])+Tabla2[[#This Row],[Comunicación]])</f>
        <v>2.1948042821739504</v>
      </c>
      <c r="T980">
        <f ca="1">Tabla2[[#This Row],[Deuda actual]]*EXP(Tabla2[[#This Row],[Ki]]*Tabla2[[#This Row],[diferencia de días]])*(1+Tabla2[[#This Row],[Hg]])</f>
        <v>1784.0337710759186</v>
      </c>
    </row>
    <row r="981" spans="1:20" ht="14.5" x14ac:dyDescent="0.35">
      <c r="A981">
        <f t="shared" si="177"/>
        <v>99</v>
      </c>
      <c r="B981">
        <f t="shared" ca="1" si="167"/>
        <v>46083</v>
      </c>
      <c r="C981">
        <f t="shared" ca="1" si="168"/>
        <v>46157</v>
      </c>
      <c r="D981">
        <f t="shared" ca="1" si="169"/>
        <v>9</v>
      </c>
      <c r="E981">
        <f t="shared" ca="1" si="170"/>
        <v>0.41755018667346755</v>
      </c>
      <c r="F981">
        <f t="shared" ca="1" si="171"/>
        <v>6443.71</v>
      </c>
      <c r="G981" t="str">
        <f t="shared" ca="1" si="172"/>
        <v>hipotecario</v>
      </c>
      <c r="H98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81" t="str">
        <f t="shared" ca="1" si="173"/>
        <v>Sí</v>
      </c>
      <c r="J98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81">
        <f ca="1">IF(Tabla2[[#This Row],[¿cliente deuda abierta?]]="Sí", Tabla2[[#This Row],[Deuda actual]]*Tabla2[[#This Row],[diferencia de días]], "0")</f>
        <v>57993.39</v>
      </c>
      <c r="L98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98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81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981">
        <f t="shared" ca="1" si="174"/>
        <v>1999.99</v>
      </c>
      <c r="P981">
        <f t="shared" ca="1" si="175"/>
        <v>228541.94</v>
      </c>
      <c r="Q981">
        <f t="shared" ca="1" si="176"/>
        <v>3</v>
      </c>
      <c r="R981">
        <f ca="1">((Tabla2[[#This Row],[Fantasma Comunicación]]+1)/(Tabla2[[#This Row],[Fantasma Comunicación]]+RANDBETWEEN(0,5)+2))-0.5</f>
        <v>-5.555555555555558E-2</v>
      </c>
      <c r="S981">
        <f ca="1">1+MAX(0,Tabla2[[#This Row],[Deuda actual]]/Tabla2[[#This Row],[Liquidez]]+Tabla2[[#This Row],[Liquidez]]/(Tabla2[[#This Row],[Activos]]+Tabla2[[#This Row],[Liquidez]])+Tabla2[[#This Row],[Comunicación]])</f>
        <v>4.1749907219136615</v>
      </c>
      <c r="T981">
        <f ca="1">Tabla2[[#This Row],[Deuda actual]]*EXP(Tabla2[[#This Row],[Ki]]*Tabla2[[#This Row],[diferencia de días]])*(1+Tabla2[[#This Row],[Hg]])</f>
        <v>7100.8510353839374</v>
      </c>
    </row>
    <row r="982" spans="1:20" ht="14.5" x14ac:dyDescent="0.35">
      <c r="A982">
        <f t="shared" si="177"/>
        <v>100</v>
      </c>
      <c r="B982">
        <f t="shared" ca="1" si="167"/>
        <v>46101</v>
      </c>
      <c r="C982">
        <f t="shared" ca="1" si="168"/>
        <v>46157</v>
      </c>
      <c r="D982">
        <f t="shared" ca="1" si="169"/>
        <v>13</v>
      </c>
      <c r="E982">
        <f t="shared" ca="1" si="170"/>
        <v>4.8883228986348226E-2</v>
      </c>
      <c r="F982">
        <f t="shared" ca="1" si="171"/>
        <v>2454.71</v>
      </c>
      <c r="G982" t="str">
        <f t="shared" ca="1" si="172"/>
        <v>hipotecario</v>
      </c>
      <c r="H98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82" t="str">
        <f t="shared" ca="1" si="173"/>
        <v>Sí</v>
      </c>
      <c r="J982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82">
        <f ca="1">IF(Tabla2[[#This Row],[¿cliente deuda abierta?]]="Sí", Tabla2[[#This Row],[Deuda actual]]*Tabla2[[#This Row],[diferencia de días]], "0")</f>
        <v>31911.23</v>
      </c>
      <c r="L982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</v>
      </c>
      <c r="M982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82">
        <f ca="1">MAX(Tabla2[[#This Row],[VALORES DE Hg para actuales deudores]:[Valores de HG para deudores cerrados]])*IF(Tabla2[[#This Row],[VALORES DE Hg para actuales deudores]]&gt;Tabla2[[#This Row],[Valores de HG para deudores cerrados]],-1,1)</f>
        <v>0.1</v>
      </c>
      <c r="O982">
        <f t="shared" ca="1" si="174"/>
        <v>1346.78</v>
      </c>
      <c r="P982">
        <f t="shared" ca="1" si="175"/>
        <v>132756.03</v>
      </c>
      <c r="Q982">
        <f t="shared" ca="1" si="176"/>
        <v>4</v>
      </c>
      <c r="R982">
        <f ca="1">((Tabla2[[#This Row],[Fantasma Comunicación]]+1)/(Tabla2[[#This Row],[Fantasma Comunicación]]+RANDBETWEEN(0,5)+2))-0.5</f>
        <v>0.125</v>
      </c>
      <c r="S982">
        <f ca="1">1+MAX(0,Tabla2[[#This Row],[Deuda actual]]/Tabla2[[#This Row],[Liquidez]]+Tabla2[[#This Row],[Liquidez]]/(Tabla2[[#This Row],[Activos]]+Tabla2[[#This Row],[Liquidez]])+Tabla2[[#This Row],[Comunicación]])</f>
        <v>2.9576939557380393</v>
      </c>
      <c r="T982">
        <f ca="1">Tabla2[[#This Row],[Deuda actual]]*EXP(Tabla2[[#This Row],[Ki]]*Tabla2[[#This Row],[diferencia de días]])*(1+Tabla2[[#This Row],[Hg]])</f>
        <v>2707.2106051266546</v>
      </c>
    </row>
    <row r="983" spans="1:20" ht="14.5" x14ac:dyDescent="0.35">
      <c r="A983">
        <f t="shared" si="177"/>
        <v>101</v>
      </c>
      <c r="B983">
        <f t="shared" ca="1" si="167"/>
        <v>46085</v>
      </c>
      <c r="C983">
        <f t="shared" ca="1" si="168"/>
        <v>46157</v>
      </c>
      <c r="D983">
        <f t="shared" ca="1" si="169"/>
        <v>4</v>
      </c>
      <c r="E983">
        <f t="shared" ca="1" si="170"/>
        <v>0.5738858406748587</v>
      </c>
      <c r="F983">
        <f t="shared" ca="1" si="171"/>
        <v>486.42</v>
      </c>
      <c r="G983" t="str">
        <f t="shared" ca="1" si="172"/>
        <v>hipotecario</v>
      </c>
      <c r="H98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83" t="str">
        <f t="shared" ca="1" si="173"/>
        <v>No</v>
      </c>
      <c r="J983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165000.44208441334</v>
      </c>
      <c r="K983" t="str">
        <f ca="1">IF(Tabla2[[#This Row],[¿cliente deuda abierta?]]="Sí", Tabla2[[#This Row],[Deuda actual]]*Tabla2[[#This Row],[diferencia de días]], "0")</f>
        <v>0</v>
      </c>
      <c r="L983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83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83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83">
        <f t="shared" ca="1" si="174"/>
        <v>1189.49</v>
      </c>
      <c r="P983">
        <f t="shared" ca="1" si="175"/>
        <v>38381.94</v>
      </c>
      <c r="Q983">
        <f t="shared" ca="1" si="176"/>
        <v>5</v>
      </c>
      <c r="R983">
        <f ca="1">((Tabla2[[#This Row],[Fantasma Comunicación]]+1)/(Tabla2[[#This Row],[Fantasma Comunicación]]+RANDBETWEEN(0,5)+2))-0.5</f>
        <v>0.25</v>
      </c>
      <c r="S983">
        <f ca="1">1+MAX(0,Tabla2[[#This Row],[Deuda actual]]/Tabla2[[#This Row],[Liquidez]]+Tabla2[[#This Row],[Liquidez]]/(Tabla2[[#This Row],[Activos]]+Tabla2[[#This Row],[Liquidez]])+Tabla2[[#This Row],[Comunicación]])</f>
        <v>1.6889908718976443</v>
      </c>
      <c r="T983">
        <f ca="1">Tabla2[[#This Row],[Deuda actual]]*EXP(Tabla2[[#This Row],[Ki]]*Tabla2[[#This Row],[diferencia de días]])*(1+Tabla2[[#This Row],[Hg]])</f>
        <v>389.44743335673297</v>
      </c>
    </row>
    <row r="984" spans="1:20" ht="14.5" x14ac:dyDescent="0.35">
      <c r="A984">
        <f t="shared" si="177"/>
        <v>102</v>
      </c>
      <c r="B984">
        <f t="shared" ca="1" si="167"/>
        <v>46091</v>
      </c>
      <c r="C984">
        <f t="shared" ca="1" si="168"/>
        <v>46157</v>
      </c>
      <c r="D984">
        <f t="shared" ca="1" si="169"/>
        <v>55</v>
      </c>
      <c r="E984">
        <f t="shared" ca="1" si="170"/>
        <v>0.4433907988899437</v>
      </c>
      <c r="F984">
        <f t="shared" ca="1" si="171"/>
        <v>150.38999999999999</v>
      </c>
      <c r="G984" t="str">
        <f t="shared" ca="1" si="172"/>
        <v>personal</v>
      </c>
      <c r="H98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984" t="str">
        <f t="shared" ca="1" si="173"/>
        <v>Sí</v>
      </c>
      <c r="J98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84">
        <f ca="1">IF(Tabla2[[#This Row],[¿cliente deuda abierta?]]="Sí", Tabla2[[#This Row],[Deuda actual]]*Tabla2[[#This Row],[diferencia de días]], "0")</f>
        <v>8271.4499999999989</v>
      </c>
      <c r="L98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8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8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84">
        <f t="shared" ca="1" si="174"/>
        <v>1173.3699999999999</v>
      </c>
      <c r="P984">
        <f t="shared" ca="1" si="175"/>
        <v>152964.32999999999</v>
      </c>
      <c r="Q984">
        <f t="shared" ca="1" si="176"/>
        <v>0</v>
      </c>
      <c r="R984">
        <f ca="1">((Tabla2[[#This Row],[Fantasma Comunicación]]+1)/(Tabla2[[#This Row],[Fantasma Comunicación]]+RANDBETWEEN(0,5)+2))-0.5</f>
        <v>-0.25</v>
      </c>
      <c r="S984">
        <f ca="1">1+MAX(0,Tabla2[[#This Row],[Deuda actual]]/Tabla2[[#This Row],[Liquidez]]+Tabla2[[#This Row],[Liquidez]]/(Tabla2[[#This Row],[Activos]]+Tabla2[[#This Row],[Liquidez]])+Tabla2[[#This Row],[Comunicación]])</f>
        <v>1</v>
      </c>
      <c r="T984">
        <f ca="1">Tabla2[[#This Row],[Deuda actual]]*EXP(Tabla2[[#This Row],[Ki]]*Tabla2[[#This Row],[diferencia de días]])*(1+Tabla2[[#This Row],[Hg]])</f>
        <v>171.48950752342469</v>
      </c>
    </row>
    <row r="985" spans="1:20" ht="14.5" x14ac:dyDescent="0.35">
      <c r="A985">
        <f t="shared" si="177"/>
        <v>103</v>
      </c>
      <c r="B985">
        <f t="shared" ca="1" si="167"/>
        <v>46084</v>
      </c>
      <c r="C985">
        <f t="shared" ca="1" si="168"/>
        <v>46157</v>
      </c>
      <c r="D985">
        <f t="shared" ca="1" si="169"/>
        <v>2</v>
      </c>
      <c r="E985">
        <f t="shared" ca="1" si="170"/>
        <v>0.57778906796705098</v>
      </c>
      <c r="F985">
        <f t="shared" ca="1" si="171"/>
        <v>989.15</v>
      </c>
      <c r="G985" t="str">
        <f t="shared" ca="1" si="172"/>
        <v>hipotecario</v>
      </c>
      <c r="H98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85" t="str">
        <f t="shared" ca="1" si="173"/>
        <v>No</v>
      </c>
      <c r="J985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165000.04428621897</v>
      </c>
      <c r="K985" t="str">
        <f ca="1">IF(Tabla2[[#This Row],[¿cliente deuda abierta?]]="Sí", Tabla2[[#This Row],[Deuda actual]]*Tabla2[[#This Row],[diferencia de días]], "0")</f>
        <v>0</v>
      </c>
      <c r="L985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85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85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85">
        <f t="shared" ca="1" si="174"/>
        <v>2349.67</v>
      </c>
      <c r="P985">
        <f t="shared" ca="1" si="175"/>
        <v>197124.78</v>
      </c>
      <c r="Q985">
        <f t="shared" ca="1" si="176"/>
        <v>5</v>
      </c>
      <c r="R985">
        <f ca="1">((Tabla2[[#This Row],[Fantasma Comunicación]]+1)/(Tabla2[[#This Row],[Fantasma Comunicación]]+RANDBETWEEN(0,5)+2))-0.5</f>
        <v>9.9999999999999978E-2</v>
      </c>
      <c r="S985">
        <f ca="1">1+MAX(0,Tabla2[[#This Row],[Deuda actual]]/Tabla2[[#This Row],[Liquidez]]+Tabla2[[#This Row],[Liquidez]]/(Tabla2[[#This Row],[Activos]]+Tabla2[[#This Row],[Liquidez]])+Tabla2[[#This Row],[Comunicación]])</f>
        <v>1.5327533121797992</v>
      </c>
      <c r="T985">
        <f ca="1">Tabla2[[#This Row],[Deuda actual]]*EXP(Tabla2[[#This Row],[Ki]]*Tabla2[[#This Row],[diferencia de días]])*(1+Tabla2[[#This Row],[Hg]])</f>
        <v>791.63659131404165</v>
      </c>
    </row>
    <row r="986" spans="1:20" ht="14.5" x14ac:dyDescent="0.35">
      <c r="A986">
        <f t="shared" si="177"/>
        <v>104</v>
      </c>
      <c r="B986">
        <f t="shared" ca="1" si="167"/>
        <v>46135</v>
      </c>
      <c r="C986">
        <f t="shared" ca="1" si="168"/>
        <v>46157</v>
      </c>
      <c r="D986">
        <f t="shared" ca="1" si="169"/>
        <v>31</v>
      </c>
      <c r="E986">
        <f t="shared" ca="1" si="170"/>
        <v>0.47404158989558154</v>
      </c>
      <c r="F986">
        <f t="shared" ca="1" si="171"/>
        <v>2222.42</v>
      </c>
      <c r="G986" t="str">
        <f t="shared" ca="1" si="172"/>
        <v>personal</v>
      </c>
      <c r="H98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986" t="str">
        <f t="shared" ca="1" si="173"/>
        <v>Sí</v>
      </c>
      <c r="J986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86">
        <f ca="1">IF(Tabla2[[#This Row],[¿cliente deuda abierta?]]="Sí", Tabla2[[#This Row],[Deuda actual]]*Tabla2[[#This Row],[diferencia de días]], "0")</f>
        <v>68895.02</v>
      </c>
      <c r="L986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986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86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986">
        <f t="shared" ca="1" si="174"/>
        <v>1698.22</v>
      </c>
      <c r="P986">
        <f t="shared" ca="1" si="175"/>
        <v>68440.009999999995</v>
      </c>
      <c r="Q986">
        <f t="shared" ca="1" si="176"/>
        <v>3</v>
      </c>
      <c r="R986">
        <f ca="1">((Tabla2[[#This Row],[Fantasma Comunicación]]+1)/(Tabla2[[#This Row],[Fantasma Comunicación]]+RANDBETWEEN(0,5)+2))-0.5</f>
        <v>0</v>
      </c>
      <c r="S986">
        <f ca="1">1+MAX(0,Tabla2[[#This Row],[Deuda actual]]/Tabla2[[#This Row],[Liquidez]]+Tabla2[[#This Row],[Liquidez]]/(Tabla2[[#This Row],[Activos]]+Tabla2[[#This Row],[Liquidez]])+Tabla2[[#This Row],[Comunicación]])</f>
        <v>2.332888616253844</v>
      </c>
      <c r="T986">
        <f ca="1">Tabla2[[#This Row],[Deuda actual]]*EXP(Tabla2[[#This Row],[Ki]]*Tabla2[[#This Row],[diferencia de días]])*(1+Tabla2[[#This Row],[Hg]])</f>
        <v>2636.2531155796087</v>
      </c>
    </row>
    <row r="987" spans="1:20" ht="14.5" x14ac:dyDescent="0.35">
      <c r="A987">
        <f t="shared" si="177"/>
        <v>105</v>
      </c>
      <c r="B987">
        <f t="shared" ca="1" si="167"/>
        <v>46115</v>
      </c>
      <c r="C987">
        <f t="shared" ca="1" si="168"/>
        <v>46157</v>
      </c>
      <c r="D987">
        <f t="shared" ca="1" si="169"/>
        <v>21</v>
      </c>
      <c r="E987">
        <f t="shared" ca="1" si="170"/>
        <v>0.68250108525059283</v>
      </c>
      <c r="F987">
        <f t="shared" ca="1" si="171"/>
        <v>1199.26</v>
      </c>
      <c r="G987" t="str">
        <f t="shared" ca="1" si="172"/>
        <v>personal</v>
      </c>
      <c r="H98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87" t="str">
        <f t="shared" ca="1" si="173"/>
        <v>Sí</v>
      </c>
      <c r="J98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87">
        <f ca="1">IF(Tabla2[[#This Row],[¿cliente deuda abierta?]]="Sí", Tabla2[[#This Row],[Deuda actual]]*Tabla2[[#This Row],[diferencia de días]], "0")</f>
        <v>25184.46</v>
      </c>
      <c r="L98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8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8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87">
        <f t="shared" ca="1" si="174"/>
        <v>1291.47</v>
      </c>
      <c r="P987">
        <f t="shared" ca="1" si="175"/>
        <v>104033.73</v>
      </c>
      <c r="Q987">
        <f t="shared" ca="1" si="176"/>
        <v>2</v>
      </c>
      <c r="R987">
        <f ca="1">((Tabla2[[#This Row],[Fantasma Comunicación]]+1)/(Tabla2[[#This Row],[Fantasma Comunicación]]+RANDBETWEEN(0,5)+2))-0.5</f>
        <v>-0.16666666666666669</v>
      </c>
      <c r="S987">
        <f ca="1">1+MAX(0,Tabla2[[#This Row],[Deuda actual]]/Tabla2[[#This Row],[Liquidez]]+Tabla2[[#This Row],[Liquidez]]/(Tabla2[[#This Row],[Activos]]+Tabla2[[#This Row],[Liquidez]])+Tabla2[[#This Row],[Comunicación]])</f>
        <v>1.7741958130553592</v>
      </c>
      <c r="T987">
        <f ca="1">Tabla2[[#This Row],[Deuda actual]]*EXP(Tabla2[[#This Row],[Ki]]*Tabla2[[#This Row],[diferencia de días]])*(1+Tabla2[[#This Row],[Hg]])</f>
        <v>1269.8450232401856</v>
      </c>
    </row>
    <row r="988" spans="1:20" ht="14.5" x14ac:dyDescent="0.35">
      <c r="A988">
        <f t="shared" si="177"/>
        <v>106</v>
      </c>
      <c r="B988">
        <f t="shared" ca="1" si="167"/>
        <v>46121</v>
      </c>
      <c r="C988">
        <f t="shared" ca="1" si="168"/>
        <v>46157</v>
      </c>
      <c r="D988">
        <f t="shared" ca="1" si="169"/>
        <v>1</v>
      </c>
      <c r="E988">
        <f t="shared" ca="1" si="170"/>
        <v>7.1742504225513648E-2</v>
      </c>
      <c r="F988">
        <f t="shared" ca="1" si="171"/>
        <v>1984.31</v>
      </c>
      <c r="G988" t="str">
        <f t="shared" ca="1" si="172"/>
        <v>hipotecario</v>
      </c>
      <c r="H98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88" t="str">
        <f t="shared" ca="1" si="173"/>
        <v>No</v>
      </c>
      <c r="J988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165000.94038550841</v>
      </c>
      <c r="K988" t="str">
        <f ca="1">IF(Tabla2[[#This Row],[¿cliente deuda abierta?]]="Sí", Tabla2[[#This Row],[Deuda actual]]*Tabla2[[#This Row],[diferencia de días]], "0")</f>
        <v>0</v>
      </c>
      <c r="L988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88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0.2</v>
      </c>
      <c r="N988">
        <f ca="1">MAX(Tabla2[[#This Row],[VALORES DE Hg para actuales deudores]:[Valores de HG para deudores cerrados]])*IF(Tabla2[[#This Row],[VALORES DE Hg para actuales deudores]]&gt;Tabla2[[#This Row],[Valores de HG para deudores cerrados]],-1,1)</f>
        <v>-0.2</v>
      </c>
      <c r="O988">
        <f t="shared" ca="1" si="174"/>
        <v>1838.02</v>
      </c>
      <c r="P988">
        <f t="shared" ca="1" si="175"/>
        <v>124232.74</v>
      </c>
      <c r="Q988">
        <f t="shared" ca="1" si="176"/>
        <v>0</v>
      </c>
      <c r="R988">
        <f ca="1">((Tabla2[[#This Row],[Fantasma Comunicación]]+1)/(Tabla2[[#This Row],[Fantasma Comunicación]]+RANDBETWEEN(0,5)+2))-0.5</f>
        <v>-0.25</v>
      </c>
      <c r="S988">
        <f ca="1">1+MAX(0,Tabla2[[#This Row],[Deuda actual]]/Tabla2[[#This Row],[Liquidez]]+Tabla2[[#This Row],[Liquidez]]/(Tabla2[[#This Row],[Activos]]+Tabla2[[#This Row],[Liquidez]])+Tabla2[[#This Row],[Comunicación]])</f>
        <v>1.8441703544904886</v>
      </c>
      <c r="T988">
        <f ca="1">Tabla2[[#This Row],[Deuda actual]]*EXP(Tabla2[[#This Row],[Ki]]*Tabla2[[#This Row],[diferencia de días]])*(1+Tabla2[[#This Row],[Hg]])</f>
        <v>1587.7655213510768</v>
      </c>
    </row>
    <row r="989" spans="1:20" ht="14.5" x14ac:dyDescent="0.35">
      <c r="A989">
        <f t="shared" si="177"/>
        <v>107</v>
      </c>
      <c r="B989">
        <f t="shared" ca="1" si="167"/>
        <v>46138</v>
      </c>
      <c r="C989">
        <f t="shared" ca="1" si="168"/>
        <v>46157</v>
      </c>
      <c r="D989">
        <f t="shared" ca="1" si="169"/>
        <v>37</v>
      </c>
      <c r="E989">
        <f t="shared" ca="1" si="170"/>
        <v>3.4424268637309297E-2</v>
      </c>
      <c r="F989">
        <f t="shared" ca="1" si="171"/>
        <v>386.8</v>
      </c>
      <c r="G989" t="str">
        <f t="shared" ca="1" si="172"/>
        <v>personal</v>
      </c>
      <c r="H98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1E-3</v>
      </c>
      <c r="I989" t="str">
        <f t="shared" ca="1" si="173"/>
        <v>No</v>
      </c>
      <c r="J989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12001.725301826053</v>
      </c>
      <c r="K989" t="str">
        <f ca="1">IF(Tabla2[[#This Row],[¿cliente deuda abierta?]]="Sí", Tabla2[[#This Row],[Deuda actual]]*Tabla2[[#This Row],[diferencia de días]], "0")</f>
        <v>0</v>
      </c>
      <c r="L989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89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989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989">
        <f t="shared" ca="1" si="174"/>
        <v>1330.58</v>
      </c>
      <c r="P989">
        <f t="shared" ca="1" si="175"/>
        <v>51262</v>
      </c>
      <c r="Q989">
        <f t="shared" ca="1" si="176"/>
        <v>5</v>
      </c>
      <c r="R989">
        <f ca="1">((Tabla2[[#This Row],[Fantasma Comunicación]]+1)/(Tabla2[[#This Row],[Fantasma Comunicación]]+RANDBETWEEN(0,5)+2))-0.5</f>
        <v>0.16666666666666663</v>
      </c>
      <c r="S989">
        <f ca="1">1+MAX(0,Tabla2[[#This Row],[Deuda actual]]/Tabla2[[#This Row],[Liquidez]]+Tabla2[[#This Row],[Liquidez]]/(Tabla2[[#This Row],[Activos]]+Tabla2[[#This Row],[Liquidez]])+Tabla2[[#This Row],[Comunicación]])</f>
        <v>1.4826667293992077</v>
      </c>
      <c r="T989">
        <f ca="1">Tabla2[[#This Row],[Deuda actual]]*EXP(Tabla2[[#This Row],[Ki]]*Tabla2[[#This Row],[diferencia de días]])*(1+Tabla2[[#This Row],[Hg]])</f>
        <v>361.24169441417928</v>
      </c>
    </row>
    <row r="990" spans="1:20" ht="14.5" x14ac:dyDescent="0.35">
      <c r="A990">
        <f t="shared" si="177"/>
        <v>108</v>
      </c>
      <c r="B990">
        <f t="shared" ca="1" si="167"/>
        <v>46103</v>
      </c>
      <c r="C990">
        <f t="shared" ca="1" si="168"/>
        <v>46157</v>
      </c>
      <c r="D990">
        <f t="shared" ca="1" si="169"/>
        <v>5</v>
      </c>
      <c r="E990">
        <f t="shared" ca="1" si="170"/>
        <v>0.79750207457294953</v>
      </c>
      <c r="F990">
        <f t="shared" ca="1" si="171"/>
        <v>139.28</v>
      </c>
      <c r="G990" t="str">
        <f t="shared" ca="1" si="172"/>
        <v>hipotecario</v>
      </c>
      <c r="H99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90" t="str">
        <f t="shared" ca="1" si="173"/>
        <v>Sí</v>
      </c>
      <c r="J99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90">
        <f ca="1">IF(Tabla2[[#This Row],[¿cliente deuda abierta?]]="Sí", Tabla2[[#This Row],[Deuda actual]]*Tabla2[[#This Row],[diferencia de días]], "0")</f>
        <v>696.4</v>
      </c>
      <c r="L99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9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9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90">
        <f t="shared" ca="1" si="174"/>
        <v>1683.81</v>
      </c>
      <c r="P990">
        <f t="shared" ca="1" si="175"/>
        <v>476156.05</v>
      </c>
      <c r="Q990">
        <f t="shared" ca="1" si="176"/>
        <v>2</v>
      </c>
      <c r="R990">
        <f ca="1">((Tabla2[[#This Row],[Fantasma Comunicación]]+1)/(Tabla2[[#This Row],[Fantasma Comunicación]]+RANDBETWEEN(0,5)+2))-0.5</f>
        <v>-0.16666666666666669</v>
      </c>
      <c r="S990">
        <f ca="1">1+MAX(0,Tabla2[[#This Row],[Deuda actual]]/Tabla2[[#This Row],[Liquidez]]+Tabla2[[#This Row],[Liquidez]]/(Tabla2[[#This Row],[Activos]]+Tabla2[[#This Row],[Liquidez]])+Tabla2[[#This Row],[Comunicación]])</f>
        <v>1</v>
      </c>
      <c r="T990">
        <f ca="1">Tabla2[[#This Row],[Deuda actual]]*EXP(Tabla2[[#This Row],[Ki]]*Tabla2[[#This Row],[diferencia de días]])*(1+Tabla2[[#This Row],[Hg]])</f>
        <v>146.39031714638011</v>
      </c>
    </row>
    <row r="991" spans="1:20" ht="14.5" x14ac:dyDescent="0.35">
      <c r="A991">
        <f t="shared" si="177"/>
        <v>109</v>
      </c>
      <c r="B991">
        <f t="shared" ca="1" si="167"/>
        <v>46094</v>
      </c>
      <c r="C991">
        <f t="shared" ca="1" si="168"/>
        <v>46157</v>
      </c>
      <c r="D991">
        <f t="shared" ca="1" si="169"/>
        <v>4</v>
      </c>
      <c r="E991">
        <f t="shared" ca="1" si="170"/>
        <v>0.38814829667094219</v>
      </c>
      <c r="F991">
        <f t="shared" ca="1" si="171"/>
        <v>375.46</v>
      </c>
      <c r="G991" t="str">
        <f t="shared" ca="1" si="172"/>
        <v>personal</v>
      </c>
      <c r="H991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91" t="str">
        <f t="shared" ca="1" si="173"/>
        <v>Sí</v>
      </c>
      <c r="J991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91">
        <f ca="1">IF(Tabla2[[#This Row],[¿cliente deuda abierta?]]="Sí", Tabla2[[#This Row],[Deuda actual]]*Tabla2[[#This Row],[diferencia de días]], "0")</f>
        <v>1501.84</v>
      </c>
      <c r="L991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91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91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91">
        <f t="shared" ca="1" si="174"/>
        <v>1531.92</v>
      </c>
      <c r="P991">
        <f t="shared" ca="1" si="175"/>
        <v>138224.10999999999</v>
      </c>
      <c r="Q991">
        <f t="shared" ca="1" si="176"/>
        <v>0</v>
      </c>
      <c r="R991">
        <f ca="1">((Tabla2[[#This Row],[Fantasma Comunicación]]+1)/(Tabla2[[#This Row],[Fantasma Comunicación]]+RANDBETWEEN(0,5)+2))-0.5</f>
        <v>-0.35714285714285715</v>
      </c>
      <c r="S991">
        <f ca="1">1+MAX(0,Tabla2[[#This Row],[Deuda actual]]/Tabla2[[#This Row],[Liquidez]]+Tabla2[[#This Row],[Liquidez]]/(Tabla2[[#This Row],[Activos]]+Tabla2[[#This Row],[Liquidez]])+Tabla2[[#This Row],[Comunicación]])</f>
        <v>1</v>
      </c>
      <c r="T991">
        <f ca="1">Tabla2[[#This Row],[Deuda actual]]*EXP(Tabla2[[#This Row],[Ki]]*Tabla2[[#This Row],[diferencia de días]])*(1+Tabla2[[#This Row],[Hg]])</f>
        <v>394.54851258820793</v>
      </c>
    </row>
    <row r="992" spans="1:20" ht="14.5" x14ac:dyDescent="0.35">
      <c r="A992">
        <f t="shared" si="177"/>
        <v>110</v>
      </c>
      <c r="B992">
        <f t="shared" ca="1" si="167"/>
        <v>46097</v>
      </c>
      <c r="C992">
        <f t="shared" ca="1" si="168"/>
        <v>46157</v>
      </c>
      <c r="D992">
        <f t="shared" ca="1" si="169"/>
        <v>24</v>
      </c>
      <c r="E992">
        <f t="shared" ca="1" si="170"/>
        <v>0.15644883562385836</v>
      </c>
      <c r="F992">
        <f t="shared" ca="1" si="171"/>
        <v>682.15</v>
      </c>
      <c r="G992" t="str">
        <f t="shared" ca="1" si="172"/>
        <v>personal</v>
      </c>
      <c r="H992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92" t="str">
        <f t="shared" ca="1" si="173"/>
        <v>No</v>
      </c>
      <c r="J992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12000.350175050651</v>
      </c>
      <c r="K992" t="str">
        <f ca="1">IF(Tabla2[[#This Row],[¿cliente deuda abierta?]]="Sí", Tabla2[[#This Row],[Deuda actual]]*Tabla2[[#This Row],[diferencia de días]], "0")</f>
        <v>0</v>
      </c>
      <c r="L992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92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992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992">
        <f t="shared" ca="1" si="174"/>
        <v>1501.27</v>
      </c>
      <c r="P992">
        <f t="shared" ca="1" si="175"/>
        <v>343346.24</v>
      </c>
      <c r="Q992">
        <f t="shared" ca="1" si="176"/>
        <v>0</v>
      </c>
      <c r="R992">
        <f ca="1">((Tabla2[[#This Row],[Fantasma Comunicación]]+1)/(Tabla2[[#This Row],[Fantasma Comunicación]]+RANDBETWEEN(0,5)+2))-0.5</f>
        <v>-0.3</v>
      </c>
      <c r="S992">
        <f ca="1">1+MAX(0,Tabla2[[#This Row],[Deuda actual]]/Tabla2[[#This Row],[Liquidez]]+Tabla2[[#This Row],[Liquidez]]/(Tabla2[[#This Row],[Activos]]+Tabla2[[#This Row],[Liquidez]])+Tabla2[[#This Row],[Comunicación]])</f>
        <v>1.1587353880731537</v>
      </c>
      <c r="T992">
        <f ca="1">Tabla2[[#This Row],[Deuda actual]]*EXP(Tabla2[[#This Row],[Ki]]*Tabla2[[#This Row],[diferencia de días]])*(1+Tabla2[[#This Row],[Hg]])</f>
        <v>619.85715687088532</v>
      </c>
    </row>
    <row r="993" spans="1:20" ht="14.5" x14ac:dyDescent="0.35">
      <c r="A993">
        <f t="shared" si="177"/>
        <v>111</v>
      </c>
      <c r="B993">
        <f t="shared" ca="1" si="167"/>
        <v>46093</v>
      </c>
      <c r="C993">
        <f t="shared" ca="1" si="168"/>
        <v>46157</v>
      </c>
      <c r="D993">
        <f t="shared" ca="1" si="169"/>
        <v>1</v>
      </c>
      <c r="E993">
        <f t="shared" ca="1" si="170"/>
        <v>3.4051773011614106E-2</v>
      </c>
      <c r="F993">
        <f t="shared" ca="1" si="171"/>
        <v>603.96</v>
      </c>
      <c r="G993" t="str">
        <f t="shared" ca="1" si="172"/>
        <v>hipotecario</v>
      </c>
      <c r="H993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93" t="str">
        <f t="shared" ca="1" si="173"/>
        <v>Sí</v>
      </c>
      <c r="J993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93">
        <f ca="1">IF(Tabla2[[#This Row],[¿cliente deuda abierta?]]="Sí", Tabla2[[#This Row],[Deuda actual]]*Tabla2[[#This Row],[diferencia de días]], "0")</f>
        <v>603.96</v>
      </c>
      <c r="L993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93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93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93">
        <f t="shared" ca="1" si="174"/>
        <v>2061.6999999999998</v>
      </c>
      <c r="P993">
        <f t="shared" ca="1" si="175"/>
        <v>230483.95</v>
      </c>
      <c r="Q993">
        <f t="shared" ca="1" si="176"/>
        <v>1</v>
      </c>
      <c r="R993">
        <f ca="1">((Tabla2[[#This Row],[Fantasma Comunicación]]+1)/(Tabla2[[#This Row],[Fantasma Comunicación]]+RANDBETWEEN(0,5)+2))-0.5</f>
        <v>-0.25</v>
      </c>
      <c r="S993">
        <f ca="1">1+MAX(0,Tabla2[[#This Row],[Deuda actual]]/Tabla2[[#This Row],[Liquidez]]+Tabla2[[#This Row],[Liquidez]]/(Tabla2[[#This Row],[Activos]]+Tabla2[[#This Row],[Liquidez]])+Tabla2[[#This Row],[Comunicación]])</f>
        <v>1.0518085033121913</v>
      </c>
      <c r="T993">
        <f ca="1">Tabla2[[#This Row],[Deuda actual]]*EXP(Tabla2[[#This Row],[Ki]]*Tabla2[[#This Row],[diferencia de días]])*(1+Tabla2[[#This Row],[Hg]])</f>
        <v>634.28484428400566</v>
      </c>
    </row>
    <row r="994" spans="1:20" ht="14.5" x14ac:dyDescent="0.35">
      <c r="A994">
        <f t="shared" si="177"/>
        <v>112</v>
      </c>
      <c r="B994">
        <f t="shared" ca="1" si="167"/>
        <v>46117</v>
      </c>
      <c r="C994">
        <f t="shared" ca="1" si="168"/>
        <v>46157</v>
      </c>
      <c r="D994">
        <f t="shared" ca="1" si="169"/>
        <v>59</v>
      </c>
      <c r="E994">
        <f t="shared" ca="1" si="170"/>
        <v>0.53052495661319643</v>
      </c>
      <c r="F994">
        <f t="shared" ca="1" si="171"/>
        <v>362.35</v>
      </c>
      <c r="G994" t="str">
        <f t="shared" ca="1" si="172"/>
        <v>personal</v>
      </c>
      <c r="H994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1.5E-3</v>
      </c>
      <c r="I994" t="str">
        <f t="shared" ca="1" si="173"/>
        <v>Sí</v>
      </c>
      <c r="J994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94">
        <f ca="1">IF(Tabla2[[#This Row],[¿cliente deuda abierta?]]="Sí", Tabla2[[#This Row],[Deuda actual]]*Tabla2[[#This Row],[diferencia de días]], "0")</f>
        <v>21378.65</v>
      </c>
      <c r="L994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94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94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94">
        <f t="shared" ca="1" si="174"/>
        <v>2088.0300000000002</v>
      </c>
      <c r="P994">
        <f t="shared" ca="1" si="175"/>
        <v>169854.19</v>
      </c>
      <c r="Q994">
        <f t="shared" ca="1" si="176"/>
        <v>4</v>
      </c>
      <c r="R994">
        <f ca="1">((Tabla2[[#This Row],[Fantasma Comunicación]]+1)/(Tabla2[[#This Row],[Fantasma Comunicación]]+RANDBETWEEN(0,5)+2))-0.5</f>
        <v>0</v>
      </c>
      <c r="S994">
        <f ca="1">1+MAX(0,Tabla2[[#This Row],[Deuda actual]]/Tabla2[[#This Row],[Liquidez]]+Tabla2[[#This Row],[Liquidez]]/(Tabla2[[#This Row],[Activos]]+Tabla2[[#This Row],[Liquidez]])+Tabla2[[#This Row],[Comunicación]])</f>
        <v>1.1856805674542406</v>
      </c>
      <c r="T994">
        <f ca="1">Tabla2[[#This Row],[Deuda actual]]*EXP(Tabla2[[#This Row],[Ki]]*Tabla2[[#This Row],[diferencia de días]])*(1+Tabla2[[#This Row],[Hg]])</f>
        <v>415.6737757550776</v>
      </c>
    </row>
    <row r="995" spans="1:20" ht="14.5" x14ac:dyDescent="0.35">
      <c r="A995">
        <f t="shared" si="177"/>
        <v>113</v>
      </c>
      <c r="B995">
        <f t="shared" ca="1" si="167"/>
        <v>46120</v>
      </c>
      <c r="C995">
        <f t="shared" ca="1" si="168"/>
        <v>46157</v>
      </c>
      <c r="D995">
        <f t="shared" ca="1" si="169"/>
        <v>6</v>
      </c>
      <c r="E995">
        <f t="shared" ca="1" si="170"/>
        <v>0.37067031436157472</v>
      </c>
      <c r="F995">
        <f t="shared" ca="1" si="171"/>
        <v>866.73</v>
      </c>
      <c r="G995" t="str">
        <f t="shared" ca="1" si="172"/>
        <v>hipotecario</v>
      </c>
      <c r="H995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95" t="str">
        <f t="shared" ca="1" si="173"/>
        <v>Sí</v>
      </c>
      <c r="J995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95">
        <f ca="1">IF(Tabla2[[#This Row],[¿cliente deuda abierta?]]="Sí", Tabla2[[#This Row],[Deuda actual]]*Tabla2[[#This Row],[diferencia de días]], "0")</f>
        <v>5200.38</v>
      </c>
      <c r="L995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95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95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95">
        <f t="shared" ca="1" si="174"/>
        <v>1726.24</v>
      </c>
      <c r="P995">
        <f t="shared" ca="1" si="175"/>
        <v>85344.31</v>
      </c>
      <c r="Q995">
        <f t="shared" ca="1" si="176"/>
        <v>1</v>
      </c>
      <c r="R995">
        <f ca="1">((Tabla2[[#This Row],[Fantasma Comunicación]]+1)/(Tabla2[[#This Row],[Fantasma Comunicación]]+RANDBETWEEN(0,5)+2))-0.5</f>
        <v>0</v>
      </c>
      <c r="S995">
        <f ca="1">1+MAX(0,Tabla2[[#This Row],[Deuda actual]]/Tabla2[[#This Row],[Liquidez]]+Tabla2[[#This Row],[Liquidez]]/(Tabla2[[#This Row],[Activos]]+Tabla2[[#This Row],[Liquidez]])+Tabla2[[#This Row],[Comunicación]])</f>
        <v>1.5219170123302443</v>
      </c>
      <c r="T995">
        <f ca="1">Tabla2[[#This Row],[Deuda actual]]*EXP(Tabla2[[#This Row],[Ki]]*Tabla2[[#This Row],[diferencia de días]])*(1+Tabla2[[#This Row],[Hg]])</f>
        <v>911.15923531005774</v>
      </c>
    </row>
    <row r="996" spans="1:20" ht="14.5" x14ac:dyDescent="0.35">
      <c r="A996">
        <f t="shared" si="177"/>
        <v>114</v>
      </c>
      <c r="B996">
        <f t="shared" ca="1" si="167"/>
        <v>46137</v>
      </c>
      <c r="C996">
        <f t="shared" ca="1" si="168"/>
        <v>46157</v>
      </c>
      <c r="D996">
        <f t="shared" ca="1" si="169"/>
        <v>2</v>
      </c>
      <c r="E996">
        <f t="shared" ca="1" si="170"/>
        <v>0.21832211461227224</v>
      </c>
      <c r="F996">
        <f t="shared" ca="1" si="171"/>
        <v>310.86</v>
      </c>
      <c r="G996" t="str">
        <f t="shared" ca="1" si="172"/>
        <v>personal</v>
      </c>
      <c r="H996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96" t="str">
        <f t="shared" ca="1" si="173"/>
        <v>No</v>
      </c>
      <c r="J996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>11999.843328053043</v>
      </c>
      <c r="K996" t="str">
        <f ca="1">IF(Tabla2[[#This Row],[¿cliente deuda abierta?]]="Sí", Tabla2[[#This Row],[Deuda actual]]*Tabla2[[#This Row],[diferencia de días]], "0")</f>
        <v>0</v>
      </c>
      <c r="L996" t="str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/>
      </c>
      <c r="M996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>0.1</v>
      </c>
      <c r="N996">
        <f ca="1">MAX(Tabla2[[#This Row],[VALORES DE Hg para actuales deudores]:[Valores de HG para deudores cerrados]])*IF(Tabla2[[#This Row],[VALORES DE Hg para actuales deudores]]&gt;Tabla2[[#This Row],[Valores de HG para deudores cerrados]],-1,1)</f>
        <v>-0.1</v>
      </c>
      <c r="O996">
        <f t="shared" ca="1" si="174"/>
        <v>1637.56</v>
      </c>
      <c r="P996">
        <f t="shared" ca="1" si="175"/>
        <v>65390.94</v>
      </c>
      <c r="Q996">
        <f t="shared" ca="1" si="176"/>
        <v>4</v>
      </c>
      <c r="R996">
        <f ca="1">((Tabla2[[#This Row],[Fantasma Comunicación]]+1)/(Tabla2[[#This Row],[Fantasma Comunicación]]+RANDBETWEEN(0,5)+2))-0.5</f>
        <v>0</v>
      </c>
      <c r="S996">
        <f ca="1">1+MAX(0,Tabla2[[#This Row],[Deuda actual]]/Tabla2[[#This Row],[Liquidez]]+Tabla2[[#This Row],[Liquidez]]/(Tabla2[[#This Row],[Activos]]+Tabla2[[#This Row],[Liquidez]])+Tabla2[[#This Row],[Comunicación]])</f>
        <v>1.214262014114563</v>
      </c>
      <c r="T996">
        <f ca="1">Tabla2[[#This Row],[Deuda actual]]*EXP(Tabla2[[#This Row],[Ki]]*Tabla2[[#This Row],[diferencia de días]])*(1+Tabla2[[#This Row],[Hg]])</f>
        <v>279.88593198490457</v>
      </c>
    </row>
    <row r="997" spans="1:20" ht="14.5" x14ac:dyDescent="0.35">
      <c r="A997">
        <f t="shared" si="177"/>
        <v>115</v>
      </c>
      <c r="B997">
        <f t="shared" ca="1" si="167"/>
        <v>46108</v>
      </c>
      <c r="C997">
        <f t="shared" ca="1" si="168"/>
        <v>46157</v>
      </c>
      <c r="D997">
        <f t="shared" ca="1" si="169"/>
        <v>3</v>
      </c>
      <c r="E997">
        <f t="shared" ca="1" si="170"/>
        <v>0.39314468614749987</v>
      </c>
      <c r="F997">
        <f t="shared" ca="1" si="171"/>
        <v>333.53</v>
      </c>
      <c r="G997" t="str">
        <f t="shared" ca="1" si="172"/>
        <v>hipotecario</v>
      </c>
      <c r="H997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97" t="str">
        <f t="shared" ca="1" si="173"/>
        <v>Sí</v>
      </c>
      <c r="J997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97">
        <f ca="1">IF(Tabla2[[#This Row],[¿cliente deuda abierta?]]="Sí", Tabla2[[#This Row],[Deuda actual]]*Tabla2[[#This Row],[diferencia de días]], "0")</f>
        <v>1000.5899999999999</v>
      </c>
      <c r="L997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97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97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97">
        <f t="shared" ca="1" si="174"/>
        <v>1454.88</v>
      </c>
      <c r="P997">
        <f t="shared" ca="1" si="175"/>
        <v>127814.07</v>
      </c>
      <c r="Q997">
        <f t="shared" ca="1" si="176"/>
        <v>2</v>
      </c>
      <c r="R997">
        <f ca="1">((Tabla2[[#This Row],[Fantasma Comunicación]]+1)/(Tabla2[[#This Row],[Fantasma Comunicación]]+RANDBETWEEN(0,5)+2))-0.5</f>
        <v>0</v>
      </c>
      <c r="S997">
        <f ca="1">1+MAX(0,Tabla2[[#This Row],[Deuda actual]]/Tabla2[[#This Row],[Liquidez]]+Tabla2[[#This Row],[Liquidez]]/(Tabla2[[#This Row],[Activos]]+Tabla2[[#This Row],[Liquidez]])+Tabla2[[#This Row],[Comunicación]])</f>
        <v>1.2405038225425418</v>
      </c>
      <c r="T997">
        <f ca="1">Tabla2[[#This Row],[Deuda actual]]*EXP(Tabla2[[#This Row],[Ki]]*Tabla2[[#This Row],[diferencia de días]])*(1+Tabla2[[#This Row],[Hg]])</f>
        <v>350.41668694977932</v>
      </c>
    </row>
    <row r="998" spans="1:20" ht="14.5" x14ac:dyDescent="0.35">
      <c r="A998">
        <f t="shared" si="177"/>
        <v>116</v>
      </c>
      <c r="B998">
        <f t="shared" ca="1" si="167"/>
        <v>46085</v>
      </c>
      <c r="C998">
        <f t="shared" ca="1" si="168"/>
        <v>46157</v>
      </c>
      <c r="D998">
        <f t="shared" ca="1" si="169"/>
        <v>22</v>
      </c>
      <c r="E998">
        <f t="shared" ca="1" si="170"/>
        <v>0.40037708089319679</v>
      </c>
      <c r="F998">
        <f t="shared" ca="1" si="171"/>
        <v>2979.15</v>
      </c>
      <c r="G998" t="str">
        <f t="shared" ca="1" si="172"/>
        <v>hipotecario</v>
      </c>
      <c r="H998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4.0000000000000002E-4</v>
      </c>
      <c r="I998" t="str">
        <f t="shared" ca="1" si="173"/>
        <v>Sí</v>
      </c>
      <c r="J998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98">
        <f ca="1">IF(Tabla2[[#This Row],[¿cliente deuda abierta?]]="Sí", Tabla2[[#This Row],[Deuda actual]]*Tabla2[[#This Row],[diferencia de días]], "0")</f>
        <v>65541.3</v>
      </c>
      <c r="L998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0.15</v>
      </c>
      <c r="M998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98">
        <f ca="1">MAX(Tabla2[[#This Row],[VALORES DE Hg para actuales deudores]:[Valores de HG para deudores cerrados]])*IF(Tabla2[[#This Row],[VALORES DE Hg para actuales deudores]]&gt;Tabla2[[#This Row],[Valores de HG para deudores cerrados]],-1,1)</f>
        <v>0.15</v>
      </c>
      <c r="O998">
        <f t="shared" ca="1" si="174"/>
        <v>1514.23</v>
      </c>
      <c r="P998">
        <f t="shared" ca="1" si="175"/>
        <v>351513.86</v>
      </c>
      <c r="Q998">
        <f t="shared" ca="1" si="176"/>
        <v>4</v>
      </c>
      <c r="R998">
        <f ca="1">((Tabla2[[#This Row],[Fantasma Comunicación]]+1)/(Tabla2[[#This Row],[Fantasma Comunicación]]+RANDBETWEEN(0,5)+2))-0.5</f>
        <v>0</v>
      </c>
      <c r="S998">
        <f ca="1">1+MAX(0,Tabla2[[#This Row],[Deuda actual]]/Tabla2[[#This Row],[Liquidez]]+Tabla2[[#This Row],[Liquidez]]/(Tabla2[[#This Row],[Activos]]+Tabla2[[#This Row],[Liquidez]])+Tabla2[[#This Row],[Comunicación]])</f>
        <v>2.97172485640957</v>
      </c>
      <c r="T998">
        <f ca="1">Tabla2[[#This Row],[Deuda actual]]*EXP(Tabla2[[#This Row],[Ki]]*Tabla2[[#This Row],[diferencia de días]])*(1+Tabla2[[#This Row],[Hg]])</f>
        <v>3456.3045435718473</v>
      </c>
    </row>
    <row r="999" spans="1:20" ht="14.5" x14ac:dyDescent="0.35">
      <c r="A999">
        <f t="shared" si="177"/>
        <v>117</v>
      </c>
      <c r="B999">
        <f t="shared" ca="1" si="167"/>
        <v>46110</v>
      </c>
      <c r="C999">
        <f t="shared" ca="1" si="168"/>
        <v>46157</v>
      </c>
      <c r="D999">
        <f t="shared" ca="1" si="169"/>
        <v>2</v>
      </c>
      <c r="E999">
        <f t="shared" ca="1" si="170"/>
        <v>0.23925157846623701</v>
      </c>
      <c r="F999">
        <f t="shared" ca="1" si="171"/>
        <v>1479.28</v>
      </c>
      <c r="G999" t="str">
        <f t="shared" ca="1" si="172"/>
        <v>hipotecario</v>
      </c>
      <c r="H999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999" t="str">
        <f t="shared" ca="1" si="173"/>
        <v>Sí</v>
      </c>
      <c r="J999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999">
        <f ca="1">IF(Tabla2[[#This Row],[¿cliente deuda abierta?]]="Sí", Tabla2[[#This Row],[Deuda actual]]*Tabla2[[#This Row],[diferencia de días]], "0")</f>
        <v>2958.56</v>
      </c>
      <c r="L999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999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999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999">
        <f t="shared" ca="1" si="174"/>
        <v>2099.3200000000002</v>
      </c>
      <c r="P999">
        <f t="shared" ca="1" si="175"/>
        <v>176817.88</v>
      </c>
      <c r="Q999">
        <f t="shared" ca="1" si="176"/>
        <v>1</v>
      </c>
      <c r="R999">
        <f ca="1">((Tabla2[[#This Row],[Fantasma Comunicación]]+1)/(Tabla2[[#This Row],[Fantasma Comunicación]]+RANDBETWEEN(0,5)+2))-0.5</f>
        <v>-0.25</v>
      </c>
      <c r="S999">
        <f ca="1">1+MAX(0,Tabla2[[#This Row],[Deuda actual]]/Tabla2[[#This Row],[Liquidez]]+Tabla2[[#This Row],[Liquidez]]/(Tabla2[[#This Row],[Activos]]+Tabla2[[#This Row],[Liquidez]])+Tabla2[[#This Row],[Comunicación]])</f>
        <v>1.4663806913425441</v>
      </c>
      <c r="T999">
        <f ca="1">Tabla2[[#This Row],[Deuda actual]]*EXP(Tabla2[[#This Row],[Ki]]*Tabla2[[#This Row],[diferencia de días]])*(1+Tabla2[[#This Row],[Hg]])</f>
        <v>1553.8654218760898</v>
      </c>
    </row>
    <row r="1000" spans="1:20" ht="14.5" x14ac:dyDescent="0.35">
      <c r="A1000">
        <f t="shared" si="177"/>
        <v>118</v>
      </c>
      <c r="B1000">
        <f t="shared" ca="1" si="167"/>
        <v>46110</v>
      </c>
      <c r="C1000">
        <f t="shared" ca="1" si="168"/>
        <v>46157</v>
      </c>
      <c r="D1000">
        <f t="shared" ca="1" si="169"/>
        <v>4</v>
      </c>
      <c r="E1000">
        <f t="shared" ca="1" si="170"/>
        <v>0.23719445965603525</v>
      </c>
      <c r="F1000">
        <f t="shared" ca="1" si="171"/>
        <v>555.70000000000005</v>
      </c>
      <c r="G1000" t="str">
        <f t="shared" ca="1" si="172"/>
        <v>hipotecario</v>
      </c>
      <c r="H1000">
        <f ca="1">IF(Tabla2[[#This Row],[diferencia de días]]&lt;0, 0, IF(Tabla2[[#This Row],[diferencia de días]]&lt;15, 0.0002, IF(Tabla2[[#This Row],[diferencia de días]]&lt;30, 0.0004, IF(Tabla2[[#This Row],[diferencia de días]]&lt;50, 0.001, IF(Tabla2[[#This Row],[diferencia de días]]&lt;60, 0.0015, IF(Tabla2[[#This Row],[diferencia de días]]&lt;90, 0.001, 0))))))</f>
        <v>2.0000000000000001E-4</v>
      </c>
      <c r="I1000" t="str">
        <f t="shared" ca="1" si="173"/>
        <v>Sí</v>
      </c>
      <c r="J1000" t="str">
        <f ca="1">IF(AND(Tabla2[[#This Row],[¿cliente deuda abierta?]]="no", Tabla2[[#This Row],[Tipo de préstamo ]]="personal"), NORMINV(RAND(), 12000, 0.8), IF(AND(Tabla2[[#This Row],[¿cliente deuda abierta?]]="no",Tabla2[[#This Row],[Tipo de préstamo ]]="hipotecario"), NORMINV(RAND(), 165000, 0.7),""))</f>
        <v/>
      </c>
      <c r="K1000">
        <f ca="1">IF(Tabla2[[#This Row],[¿cliente deuda abierta?]]="Sí", Tabla2[[#This Row],[Deuda actual]]*Tabla2[[#This Row],[diferencia de días]], "0")</f>
        <v>2222.8000000000002</v>
      </c>
      <c r="L1000">
        <f ca="1">IF(OR(Tabla2[[#This Row],[D si Tiene deuda actual]]=0,Tabla2[[#This Row],[D si Tiene deuda actual]]= 0), "",
 IF(Tabla2[[#This Row],[diferencia de días]]&gt;=90, 0.5,
 IF(Tabla2[[#This Row],[D si Tiene deuda actual]]&lt;30000, 0.05,
 IF(Tabla2[[#This Row],[D si Tiene deuda actual]]&lt;60000, 0.1,
 IF(Tabla2[[#This Row],[D si Tiene deuda actual]]&lt;200000, 0.15,
 IF(Tabla2[[#This Row],[D si Tiene deuda actual]]&lt;800000, 0.2,
 IF(Tabla2[[#This Row],[D si Tiene deuda actual]]&lt;1500000, 0.25, "")))))))</f>
        <v>0.05</v>
      </c>
      <c r="M1000" t="str">
        <f ca="1">IF(OR(Tabla2[[#This Row],[Deuda pasada cerrada]]=0, Tabla2[[#This Row],[Deuda pasada cerrada]]=""), "",
 IF(Tabla2[[#This Row],[Deuda pasada cerrada]]&lt;5000, 0.05,
 IF(Tabla2[[#This Row],[Deuda pasada cerrada]]&lt;20000, 0.1,
 IF(Tabla2[[#This Row],[Deuda pasada cerrada]]&lt;100000, 0.15, 0.2))))</f>
        <v/>
      </c>
      <c r="N1000">
        <f ca="1">MAX(Tabla2[[#This Row],[VALORES DE Hg para actuales deudores]:[Valores de HG para deudores cerrados]])*IF(Tabla2[[#This Row],[VALORES DE Hg para actuales deudores]]&gt;Tabla2[[#This Row],[Valores de HG para deudores cerrados]],-1,1)</f>
        <v>0.05</v>
      </c>
      <c r="O1000">
        <f t="shared" ca="1" si="174"/>
        <v>1516.47</v>
      </c>
      <c r="P1000">
        <f t="shared" ca="1" si="175"/>
        <v>230893.26</v>
      </c>
      <c r="Q1000">
        <f t="shared" ca="1" si="176"/>
        <v>2</v>
      </c>
      <c r="R1000">
        <f ca="1">((Tabla2[[#This Row],[Fantasma Comunicación]]+1)/(Tabla2[[#This Row],[Fantasma Comunicación]]+RANDBETWEEN(0,5)+2))-0.5</f>
        <v>9.9999999999999978E-2</v>
      </c>
      <c r="S1000">
        <f ca="1">1+MAX(0,Tabla2[[#This Row],[Deuda actual]]/Tabla2[[#This Row],[Liquidez]]+Tabla2[[#This Row],[Liquidez]]/(Tabla2[[#This Row],[Activos]]+Tabla2[[#This Row],[Liquidez]])+Tabla2[[#This Row],[Comunicación]])</f>
        <v>1.472968106186882</v>
      </c>
      <c r="T1000">
        <f ca="1">Tabla2[[#This Row],[Deuda actual]]*EXP(Tabla2[[#This Row],[Ki]]*Tabla2[[#This Row],[diferencia de días]])*(1+Tabla2[[#This Row],[Hg]])</f>
        <v>583.95197476500073</v>
      </c>
    </row>
  </sheetData>
  <conditionalFormatting sqref="S1001:S1048576">
    <cfRule type="colorScale" priority="1">
      <colorScale>
        <cfvo type="min"/>
        <cfvo type="max"/>
        <color rgb="FFFCFCFF"/>
        <color rgb="FFF8696B"/>
      </colorScale>
    </cfRule>
  </conditionalFormatting>
  <conditionalFormatting sqref="T1001:T1048576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81B5-9219-46F5-AD7D-1ED3EE502DEF}">
  <dimension ref="A1"/>
  <sheetViews>
    <sheetView workbookViewId="0">
      <selection activeCell="D16" sqref="D16"/>
    </sheetView>
  </sheetViews>
  <sheetFormatPr baseColWidth="10" defaultRowHeight="14.5" x14ac:dyDescent="0.35"/>
  <sheetData>
    <row r="1" spans="1:1" x14ac:dyDescent="0.35">
      <c r="A1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1DED-60AA-4F8C-81DA-B8ECC6E1834C}">
  <dimension ref="A1:AA33"/>
  <sheetViews>
    <sheetView zoomScale="59" workbookViewId="0">
      <selection activeCell="S17" sqref="S17"/>
    </sheetView>
  </sheetViews>
  <sheetFormatPr baseColWidth="10" defaultColWidth="11.453125" defaultRowHeight="14.5" x14ac:dyDescent="0.35"/>
  <cols>
    <col min="21" max="21" width="14" bestFit="1" customWidth="1"/>
    <col min="23" max="23" width="19.36328125" bestFit="1" customWidth="1"/>
    <col min="27" max="27" width="14" bestFit="1" customWidth="1"/>
  </cols>
  <sheetData>
    <row r="1" spans="1:27" x14ac:dyDescent="0.35">
      <c r="U1" s="38" t="s">
        <v>57</v>
      </c>
      <c r="V1" s="34" t="s">
        <v>58</v>
      </c>
      <c r="W1" s="21" t="s">
        <v>59</v>
      </c>
      <c r="Y1" s="32" t="s">
        <v>60</v>
      </c>
      <c r="Z1" s="33"/>
      <c r="AA1" s="28" t="s">
        <v>57</v>
      </c>
    </row>
    <row r="2" spans="1:27" x14ac:dyDescent="0.35">
      <c r="U2" s="38" t="s">
        <v>8</v>
      </c>
      <c r="V2" s="35">
        <v>0.1</v>
      </c>
      <c r="W2" s="22">
        <f>V2</f>
        <v>0.1</v>
      </c>
      <c r="Y2" s="24">
        <v>0</v>
      </c>
      <c r="Z2" s="25">
        <f t="shared" ref="Z2:Z7" si="0">W2</f>
        <v>0.1</v>
      </c>
      <c r="AA2" s="29" t="str">
        <f t="shared" ref="AA2:AA7" si="1">U2</f>
        <v>&lt;500</v>
      </c>
    </row>
    <row r="3" spans="1:27" x14ac:dyDescent="0.35">
      <c r="C3" t="s">
        <v>71</v>
      </c>
      <c r="U3" s="38" t="s">
        <v>61</v>
      </c>
      <c r="V3" s="35">
        <v>0.15</v>
      </c>
      <c r="W3" s="22">
        <f>V3+W2</f>
        <v>0.25</v>
      </c>
      <c r="Y3" s="24">
        <f>Z2</f>
        <v>0.1</v>
      </c>
      <c r="Z3" s="25">
        <f t="shared" si="0"/>
        <v>0.25</v>
      </c>
      <c r="AA3" s="29" t="str">
        <f t="shared" si="1"/>
        <v>500≤d&lt;1000</v>
      </c>
    </row>
    <row r="4" spans="1:27" x14ac:dyDescent="0.35">
      <c r="C4" t="s">
        <v>72</v>
      </c>
      <c r="U4" s="38" t="s">
        <v>62</v>
      </c>
      <c r="V4" s="35">
        <v>0.25</v>
      </c>
      <c r="W4" s="22">
        <f>V4+W3</f>
        <v>0.5</v>
      </c>
      <c r="Y4" s="24">
        <f>Z3</f>
        <v>0.25</v>
      </c>
      <c r="Z4" s="25">
        <f t="shared" si="0"/>
        <v>0.5</v>
      </c>
      <c r="AA4" s="29" t="str">
        <f t="shared" si="1"/>
        <v>1000≤d&lt;3000</v>
      </c>
    </row>
    <row r="5" spans="1:27" x14ac:dyDescent="0.35">
      <c r="C5" t="s">
        <v>73</v>
      </c>
      <c r="E5" t="s">
        <v>74</v>
      </c>
      <c r="U5" s="38" t="s">
        <v>63</v>
      </c>
      <c r="V5" s="35">
        <v>0.15</v>
      </c>
      <c r="W5" s="22">
        <f>V5+W4</f>
        <v>0.65</v>
      </c>
      <c r="Y5" s="24">
        <f>Z4</f>
        <v>0.5</v>
      </c>
      <c r="Z5" s="25">
        <f t="shared" si="0"/>
        <v>0.65</v>
      </c>
      <c r="AA5" s="29" t="str">
        <f t="shared" si="1"/>
        <v>3000≤d&lt;5000</v>
      </c>
    </row>
    <row r="6" spans="1:27" x14ac:dyDescent="0.35">
      <c r="C6" t="s">
        <v>75</v>
      </c>
      <c r="G6" t="s">
        <v>76</v>
      </c>
      <c r="M6" t="s">
        <v>77</v>
      </c>
      <c r="U6" s="38" t="s">
        <v>64</v>
      </c>
      <c r="V6" s="35">
        <v>0.15</v>
      </c>
      <c r="W6" s="22">
        <f>V6+W5</f>
        <v>0.8</v>
      </c>
      <c r="Y6" s="24">
        <f>Z5</f>
        <v>0.65</v>
      </c>
      <c r="Z6" s="25">
        <f t="shared" si="0"/>
        <v>0.8</v>
      </c>
      <c r="AA6" s="29" t="str">
        <f t="shared" si="1"/>
        <v>5000≤d&lt;10000</v>
      </c>
    </row>
    <row r="7" spans="1:27" ht="15" thickBot="1" x14ac:dyDescent="0.4">
      <c r="U7" s="38" t="s">
        <v>65</v>
      </c>
      <c r="V7" s="35">
        <v>0.2</v>
      </c>
      <c r="W7" s="22">
        <f>V7+W6</f>
        <v>1</v>
      </c>
      <c r="Y7" s="26">
        <f>Z6</f>
        <v>0.8</v>
      </c>
      <c r="Z7" s="27">
        <f t="shared" si="0"/>
        <v>1</v>
      </c>
      <c r="AA7" s="29" t="str">
        <f t="shared" si="1"/>
        <v>10000≤d</v>
      </c>
    </row>
    <row r="8" spans="1:27" ht="15" thickBot="1" x14ac:dyDescent="0.4">
      <c r="C8" t="s">
        <v>78</v>
      </c>
      <c r="U8" s="38"/>
      <c r="V8" s="36">
        <f>SUM(V2:V7)</f>
        <v>1</v>
      </c>
      <c r="W8" s="23"/>
    </row>
    <row r="9" spans="1:27" x14ac:dyDescent="0.35">
      <c r="A9" t="s">
        <v>79</v>
      </c>
      <c r="C9" t="s">
        <v>80</v>
      </c>
      <c r="E9" t="s">
        <v>81</v>
      </c>
    </row>
    <row r="10" spans="1:27" x14ac:dyDescent="0.35">
      <c r="C10" t="s">
        <v>82</v>
      </c>
      <c r="E10" t="s">
        <v>83</v>
      </c>
      <c r="Y10" t="s">
        <v>66</v>
      </c>
      <c r="AA10" t="s">
        <v>67</v>
      </c>
    </row>
    <row r="11" spans="1:27" x14ac:dyDescent="0.35">
      <c r="C11" t="s">
        <v>84</v>
      </c>
      <c r="V11" t="s">
        <v>58</v>
      </c>
      <c r="W11" t="s">
        <v>68</v>
      </c>
      <c r="Y11">
        <v>0</v>
      </c>
      <c r="Z11">
        <v>0.6</v>
      </c>
      <c r="AA11" t="s">
        <v>69</v>
      </c>
    </row>
    <row r="12" spans="1:27" x14ac:dyDescent="0.35">
      <c r="V12">
        <v>0.6</v>
      </c>
      <c r="W12">
        <v>0.6</v>
      </c>
      <c r="Y12">
        <v>0.6</v>
      </c>
      <c r="Z12">
        <v>1</v>
      </c>
      <c r="AA12" t="s">
        <v>70</v>
      </c>
    </row>
    <row r="13" spans="1:27" x14ac:dyDescent="0.35">
      <c r="V13">
        <v>0.4</v>
      </c>
      <c r="W13">
        <v>1</v>
      </c>
    </row>
    <row r="15" spans="1:27" x14ac:dyDescent="0.35">
      <c r="C15" t="s">
        <v>85</v>
      </c>
    </row>
    <row r="19" spans="3:12" x14ac:dyDescent="0.35">
      <c r="C19" t="s">
        <v>86</v>
      </c>
    </row>
    <row r="20" spans="3:12" x14ac:dyDescent="0.35">
      <c r="C20" t="s">
        <v>87</v>
      </c>
      <c r="F20" t="s">
        <v>88</v>
      </c>
      <c r="G20" t="s">
        <v>89</v>
      </c>
      <c r="I20" s="31" t="s">
        <v>90</v>
      </c>
      <c r="J20" s="31" t="s">
        <v>91</v>
      </c>
      <c r="L20" t="s">
        <v>92</v>
      </c>
    </row>
    <row r="21" spans="3:12" x14ac:dyDescent="0.35">
      <c r="C21" t="s">
        <v>93</v>
      </c>
    </row>
    <row r="23" spans="3:12" x14ac:dyDescent="0.35">
      <c r="C23" t="s">
        <v>94</v>
      </c>
      <c r="E23" t="s">
        <v>95</v>
      </c>
    </row>
    <row r="26" spans="3:12" x14ac:dyDescent="0.35">
      <c r="C26" t="s">
        <v>96</v>
      </c>
    </row>
    <row r="28" spans="3:12" x14ac:dyDescent="0.35">
      <c r="C28" t="s">
        <v>97</v>
      </c>
      <c r="I28" t="s">
        <v>98</v>
      </c>
    </row>
    <row r="29" spans="3:12" x14ac:dyDescent="0.35">
      <c r="C29" t="s">
        <v>99</v>
      </c>
      <c r="I29" t="s">
        <v>100</v>
      </c>
    </row>
    <row r="32" spans="3:12" x14ac:dyDescent="0.35">
      <c r="C32" t="s">
        <v>101</v>
      </c>
    </row>
    <row r="33" spans="3:3" x14ac:dyDescent="0.35">
      <c r="C33" t="s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38BC2A247AA43846AD299C796DA02" ma:contentTypeVersion="6" ma:contentTypeDescription="Crear nuevo documento." ma:contentTypeScope="" ma:versionID="562e228814599977e367dab2681b07b4">
  <xsd:schema xmlns:xsd="http://www.w3.org/2001/XMLSchema" xmlns:xs="http://www.w3.org/2001/XMLSchema" xmlns:p="http://schemas.microsoft.com/office/2006/metadata/properties" xmlns:ns3="d7da6bb9-159c-42ee-b01c-6168794a6500" targetNamespace="http://schemas.microsoft.com/office/2006/metadata/properties" ma:root="true" ma:fieldsID="4c35d2a195a4875c6f298d1883af9dad" ns3:_="">
    <xsd:import namespace="d7da6bb9-159c-42ee-b01c-6168794a65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da6bb9-159c-42ee-b01c-6168794a65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da6bb9-159c-42ee-b01c-6168794a6500" xsi:nil="true"/>
  </documentManagement>
</p:properties>
</file>

<file path=customXml/itemProps1.xml><?xml version="1.0" encoding="utf-8"?>
<ds:datastoreItem xmlns:ds="http://schemas.openxmlformats.org/officeDocument/2006/customXml" ds:itemID="{8950DA19-CEFE-4F0A-A622-59692099CB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C5A693-D2A2-460C-85FE-B6F9C1B264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da6bb9-159c-42ee-b01c-6168794a65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46E0F0-E017-43E1-A200-BACD7AC81F59}">
  <ds:schemaRefs>
    <ds:schemaRef ds:uri="http://purl.org/dc/elements/1.1/"/>
    <ds:schemaRef ds:uri="http://schemas.microsoft.com/office/2006/metadata/properties"/>
    <ds:schemaRef ds:uri="d7da6bb9-159c-42ee-b01c-6168794a6500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Modelo</vt:lpstr>
      <vt:lpstr>Hoja2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Estrella Heredia</dc:creator>
  <cp:keywords/>
  <dc:description/>
  <cp:lastModifiedBy>Sofia Fernandez Gonzalez</cp:lastModifiedBy>
  <cp:revision/>
  <dcterms:created xsi:type="dcterms:W3CDTF">2026-05-06T11:14:52Z</dcterms:created>
  <dcterms:modified xsi:type="dcterms:W3CDTF">2026-05-15T17:01:54Z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0x010100FCB38BC2A247AA43846AD299C796DA02</vt:lpwstr>
  </property>
</Properties>
</file>