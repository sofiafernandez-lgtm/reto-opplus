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ofía\Downloads\"/>
    </mc:Choice>
  </mc:AlternateContent>
  <xr:revisionPtr revIDLastSave="0" documentId="8_{C0FE33E3-74D4-407E-B95E-E403438A2214}" xr6:coauthVersionLast="47" xr6:coauthVersionMax="47" xr10:uidLastSave="{00000000-0000-0000-0000-000000000000}"/>
  <bookViews>
    <workbookView xWindow="-110" yWindow="-110" windowWidth="19420" windowHeight="10300" firstSheet="1" activeTab="1" xr2:uid="{A093B264-4293-4691-88C0-9CC88ADD2FAC}"/>
  </bookViews>
  <sheets>
    <sheet name="Datos" sheetId="1" r:id="rId1"/>
    <sheet name="Modelo" sheetId="2" r:id="rId2"/>
    <sheet name="Hoja2" sheetId="4" r:id="rId3"/>
    <sheet name="Hoja1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83" i="2" l="1"/>
  <c r="F418" i="2"/>
  <c r="F92" i="2"/>
  <c r="F669" i="2"/>
  <c r="F488" i="2"/>
  <c r="F731" i="2"/>
  <c r="F626" i="2"/>
  <c r="F887" i="2"/>
  <c r="F797" i="2"/>
  <c r="F657" i="2"/>
  <c r="F581" i="2"/>
  <c r="F316" i="2"/>
  <c r="F396" i="2"/>
  <c r="F698" i="2"/>
  <c r="F18" i="2"/>
  <c r="F629" i="2"/>
  <c r="F51" i="2"/>
  <c r="F873" i="2"/>
  <c r="F575" i="2"/>
  <c r="F774" i="2"/>
  <c r="F976" i="2"/>
  <c r="F891" i="2"/>
  <c r="F463" i="2"/>
  <c r="F116" i="2"/>
  <c r="F66" i="2"/>
  <c r="F705" i="2"/>
  <c r="F93" i="2"/>
  <c r="F275" i="2"/>
  <c r="F990" i="2"/>
  <c r="F243" i="2"/>
  <c r="F454" i="2"/>
  <c r="F214" i="2"/>
  <c r="F738" i="2"/>
  <c r="F208" i="2"/>
  <c r="F55" i="2"/>
  <c r="F567" i="2"/>
  <c r="F829" i="2"/>
  <c r="F252" i="2"/>
  <c r="F469" i="2"/>
  <c r="F900" i="2"/>
  <c r="F190" i="2"/>
  <c r="F510" i="2"/>
  <c r="F749" i="2"/>
  <c r="F147" i="2"/>
  <c r="F234" i="2"/>
  <c r="F773" i="2"/>
  <c r="F8" i="2"/>
  <c r="F913" i="2"/>
  <c r="F211" i="2"/>
  <c r="F475" i="2"/>
  <c r="F29" i="2"/>
  <c r="F4" i="2"/>
  <c r="F14" i="2"/>
  <c r="F679" i="2"/>
  <c r="F607" i="2"/>
  <c r="F815" i="2"/>
  <c r="F149" i="2"/>
  <c r="F39" i="2"/>
  <c r="F108" i="2"/>
  <c r="F310" i="2"/>
  <c r="F194" i="2"/>
  <c r="F102" i="2"/>
  <c r="F969" i="2"/>
  <c r="F570" i="2"/>
  <c r="F895" i="2"/>
  <c r="F401" i="2"/>
  <c r="F594" i="2"/>
  <c r="F446" i="2"/>
  <c r="F406" i="2"/>
  <c r="F412" i="2"/>
  <c r="F566" i="2"/>
  <c r="F155" i="2"/>
  <c r="F616" i="2"/>
  <c r="F303" i="2"/>
  <c r="F754" i="2"/>
  <c r="F497" i="2"/>
  <c r="F287" i="2"/>
  <c r="F87" i="2"/>
  <c r="F215" i="2"/>
  <c r="F492" i="2"/>
  <c r="F122" i="2"/>
  <c r="F764" i="2"/>
  <c r="F219" i="2"/>
  <c r="F265" i="2"/>
  <c r="F922" i="2"/>
  <c r="F166" i="2"/>
  <c r="F733" i="2"/>
  <c r="F260" i="2"/>
  <c r="F112" i="2"/>
  <c r="F693" i="2"/>
  <c r="F507" i="2"/>
  <c r="F688" i="2"/>
  <c r="F778" i="2"/>
  <c r="F11" i="2"/>
  <c r="F962" i="2"/>
  <c r="F700" i="2"/>
  <c r="F85" i="2"/>
  <c r="F798" i="2"/>
  <c r="F199" i="2"/>
  <c r="F344" i="2"/>
  <c r="F137" i="2"/>
  <c r="F135" i="2"/>
  <c r="F413" i="2"/>
  <c r="F156" i="2"/>
  <c r="F236" i="2"/>
  <c r="F419" i="2"/>
  <c r="F658" i="2"/>
  <c r="F526" i="2"/>
  <c r="F280" i="2"/>
  <c r="F88" i="2"/>
  <c r="F213" i="2"/>
  <c r="F936" i="2"/>
  <c r="F550" i="2"/>
  <c r="F111" i="2"/>
  <c r="F5" i="2"/>
  <c r="F255" i="2"/>
  <c r="F785" i="2"/>
  <c r="F186" i="2"/>
  <c r="F551" i="2"/>
  <c r="F851" i="2"/>
  <c r="F819" i="2"/>
  <c r="F633" i="2"/>
  <c r="F784" i="2"/>
  <c r="F706" i="2"/>
  <c r="F807" i="2"/>
  <c r="F718" i="2"/>
  <c r="F589" i="2"/>
  <c r="F947" i="2"/>
  <c r="F117" i="2"/>
  <c r="F765" i="2"/>
  <c r="F415" i="2"/>
  <c r="F361" i="2"/>
  <c r="F681" i="2"/>
  <c r="F250" i="2"/>
  <c r="F329" i="2"/>
  <c r="F972" i="2"/>
  <c r="F670" i="2"/>
  <c r="F314" i="2"/>
  <c r="F174" i="2"/>
  <c r="F333" i="2"/>
  <c r="F907" i="2"/>
  <c r="F699" i="2"/>
  <c r="F929" i="2"/>
  <c r="F752" i="2"/>
  <c r="F141" i="2"/>
  <c r="F544" i="2"/>
  <c r="F284" i="2"/>
  <c r="F960" i="2"/>
  <c r="F210" i="2"/>
  <c r="F926" i="2"/>
  <c r="F823" i="2"/>
  <c r="F298" i="2"/>
  <c r="F197" i="2"/>
  <c r="F832" i="2"/>
  <c r="F843" i="2"/>
  <c r="F232" i="2"/>
  <c r="F26" i="2"/>
  <c r="F3" i="2"/>
  <c r="F21" i="2"/>
  <c r="F879" i="2"/>
  <c r="F372" i="2"/>
  <c r="F923" i="2"/>
  <c r="F691" i="2"/>
  <c r="F315" i="2"/>
  <c r="F185" i="2"/>
  <c r="F533" i="2"/>
  <c r="F195" i="2"/>
  <c r="F452" i="2"/>
  <c r="F296" i="2"/>
  <c r="F338" i="2"/>
  <c r="F31" i="2"/>
  <c r="F563" i="2"/>
  <c r="F414" i="2"/>
  <c r="F973" i="2"/>
  <c r="F505" i="2"/>
  <c r="F888" i="2"/>
  <c r="F848" i="2"/>
  <c r="F151" i="2"/>
  <c r="F719" i="2"/>
  <c r="F568" i="2"/>
  <c r="F729" i="2"/>
  <c r="F140" i="2"/>
  <c r="F458" i="2"/>
  <c r="F826" i="2"/>
  <c r="F6" i="2"/>
  <c r="F978" i="2"/>
  <c r="F435" i="2"/>
  <c r="F769" i="2"/>
  <c r="F624" i="2"/>
  <c r="F988" i="2"/>
  <c r="F762" i="2"/>
  <c r="F545" i="2"/>
  <c r="F937" i="2"/>
  <c r="F821" i="2"/>
  <c r="F272" i="2"/>
  <c r="F62" i="2"/>
  <c r="F979" i="2"/>
  <c r="F118" i="2"/>
  <c r="F216" i="2"/>
  <c r="F322" i="2"/>
  <c r="F229" i="2"/>
  <c r="F989" i="2"/>
  <c r="F884" i="2"/>
  <c r="F328" i="2"/>
  <c r="F958" i="2"/>
  <c r="F383" i="2"/>
  <c r="F724" i="2"/>
  <c r="F694" i="2"/>
  <c r="F432" i="2"/>
  <c r="F781" i="2"/>
  <c r="F892" i="2"/>
  <c r="F293" i="2"/>
  <c r="F171" i="2"/>
  <c r="F124" i="2"/>
  <c r="F491" i="2"/>
  <c r="F758" i="2"/>
  <c r="F983" i="2"/>
  <c r="F956" i="2"/>
  <c r="F398" i="2"/>
  <c r="F971" i="2"/>
  <c r="F101" i="2"/>
  <c r="F649" i="2"/>
  <c r="F268" i="2"/>
  <c r="F722" i="2"/>
  <c r="F86" i="2"/>
  <c r="F479" i="2"/>
  <c r="F501" i="2"/>
  <c r="F238" i="2"/>
  <c r="F1000" i="2"/>
  <c r="F643" i="2"/>
  <c r="F158" i="2"/>
  <c r="F650" i="2"/>
  <c r="F221" i="2"/>
  <c r="F483" i="2"/>
  <c r="F562" i="2"/>
  <c r="F437" i="2"/>
  <c r="F621" i="2"/>
  <c r="F444" i="2"/>
  <c r="F113" i="2"/>
  <c r="F792" i="2"/>
  <c r="F191" i="2"/>
  <c r="F918" i="2"/>
  <c r="F517" i="2"/>
  <c r="F217" i="2"/>
  <c r="F707" i="2"/>
  <c r="F256" i="2"/>
  <c r="F493" i="2"/>
  <c r="F179" i="2"/>
  <c r="F852" i="2"/>
  <c r="F524" i="2"/>
  <c r="F67" i="2"/>
  <c r="F521" i="2"/>
  <c r="F585" i="2"/>
  <c r="F842" i="2"/>
  <c r="F599" i="2"/>
  <c r="F99" i="2"/>
  <c r="F441" i="2"/>
  <c r="F365" i="2"/>
  <c r="F455" i="2"/>
  <c r="F371" i="2"/>
  <c r="F683" i="2"/>
  <c r="F162" i="2"/>
  <c r="F449" i="2"/>
  <c r="F530" i="2"/>
  <c r="F251" i="2"/>
  <c r="F23" i="2"/>
  <c r="F661" i="2"/>
  <c r="F617" i="2"/>
  <c r="F48" i="2"/>
  <c r="F673" i="2"/>
  <c r="F504" i="2"/>
  <c r="F642" i="2"/>
  <c r="F327" i="2"/>
  <c r="F318" i="2"/>
  <c r="F739" i="2"/>
  <c r="F81" i="2"/>
  <c r="F19" i="2"/>
  <c r="F17" i="2"/>
  <c r="F995" i="2"/>
  <c r="F609" i="2"/>
  <c r="F95" i="2"/>
  <c r="F878" i="2"/>
  <c r="F436" i="2"/>
  <c r="F370" i="2"/>
  <c r="F381" i="2"/>
  <c r="F83" i="2"/>
  <c r="F915" i="2"/>
  <c r="F299" i="2"/>
  <c r="F916" i="2"/>
  <c r="F772" i="2"/>
  <c r="F775" i="2"/>
  <c r="F734" i="2"/>
  <c r="F115" i="2"/>
  <c r="F360" i="2"/>
  <c r="F473" i="2"/>
  <c r="F654" i="2"/>
  <c r="F519" i="2"/>
  <c r="F555" i="2"/>
  <c r="F872" i="2"/>
  <c r="F680" i="2"/>
  <c r="F634" i="2"/>
  <c r="F332" i="2"/>
  <c r="F279" i="2"/>
  <c r="F747" i="2"/>
  <c r="F438" i="2"/>
  <c r="F490" i="2"/>
  <c r="F776" i="2"/>
  <c r="F965" i="2"/>
  <c r="F100" i="2"/>
  <c r="F218" i="2"/>
  <c r="F411" i="2"/>
  <c r="F70" i="2"/>
  <c r="F576" i="2"/>
  <c r="F9" i="2"/>
  <c r="F339" i="2"/>
  <c r="F748" i="2"/>
  <c r="F833" i="2"/>
  <c r="F623" i="2"/>
  <c r="F612" i="2"/>
  <c r="F448" i="2"/>
  <c r="F312" i="2"/>
  <c r="F970" i="2"/>
  <c r="F98" i="2"/>
  <c r="F89" i="2"/>
  <c r="F509" i="2"/>
  <c r="F932" i="2"/>
  <c r="F144" i="2"/>
  <c r="F356" i="2"/>
  <c r="F49" i="2"/>
  <c r="F184" i="2"/>
  <c r="F921" i="2"/>
  <c r="F824" i="2"/>
  <c r="F809" i="2"/>
  <c r="F553" i="2"/>
  <c r="F306" i="2"/>
  <c r="F464" i="2"/>
  <c r="F388" i="2"/>
  <c r="F997" i="2"/>
  <c r="F382" i="2"/>
  <c r="F535" i="2"/>
  <c r="F246" i="2"/>
  <c r="F953" i="2"/>
  <c r="F263" i="2"/>
  <c r="F373" i="2"/>
  <c r="F28" i="2"/>
  <c r="F402" i="2"/>
  <c r="F595" i="2"/>
  <c r="F270" i="2"/>
  <c r="F427" i="2"/>
  <c r="F828" i="2"/>
  <c r="F860" i="2"/>
  <c r="F511" i="2"/>
  <c r="F374" i="2"/>
  <c r="F150" i="2"/>
  <c r="F899" i="2"/>
  <c r="F109" i="2"/>
  <c r="F771" i="2"/>
  <c r="F689" i="2"/>
  <c r="F615" i="2"/>
  <c r="F226" i="2"/>
  <c r="F686" i="2"/>
  <c r="F675" i="2"/>
  <c r="F665" i="2"/>
  <c r="F163" i="2"/>
  <c r="F518" i="2"/>
  <c r="F266" i="2"/>
  <c r="F331" i="2"/>
  <c r="F480" i="2"/>
  <c r="F855" i="2"/>
  <c r="F257" i="2"/>
  <c r="F136" i="2"/>
  <c r="F295" i="2"/>
  <c r="F76" i="2"/>
  <c r="F596" i="2"/>
  <c r="F702" i="2"/>
  <c r="F529" i="2"/>
  <c r="F614" i="2"/>
  <c r="F72" i="2"/>
  <c r="F968" i="2"/>
  <c r="F42" i="2"/>
  <c r="F63" i="2"/>
  <c r="F928" i="2"/>
  <c r="F164" i="2"/>
  <c r="F351" i="2"/>
  <c r="F672" i="2"/>
  <c r="F949" i="2"/>
  <c r="F790" i="2"/>
  <c r="F759" i="2"/>
  <c r="F750" i="2"/>
  <c r="F96" i="2"/>
  <c r="F919" i="2"/>
  <c r="F309" i="2"/>
  <c r="F687" i="2"/>
  <c r="F434" i="2"/>
  <c r="F905" i="2"/>
  <c r="F598" i="2"/>
  <c r="F12" i="2"/>
  <c r="F646" i="2"/>
  <c r="F15" i="2"/>
  <c r="F207" i="2"/>
  <c r="F861" i="2"/>
  <c r="F482" i="2"/>
  <c r="F984" i="2"/>
  <c r="F168" i="2"/>
  <c r="F811" i="2"/>
  <c r="F660" i="2"/>
  <c r="F368" i="2"/>
  <c r="F244" i="2"/>
  <c r="F50" i="2"/>
  <c r="F547" i="2"/>
  <c r="F814" i="2"/>
  <c r="F579" i="2"/>
  <c r="F648" i="2"/>
  <c r="F541" i="2"/>
  <c r="F993" i="2"/>
  <c r="F532" i="2"/>
  <c r="F886" i="2"/>
  <c r="F106" i="2"/>
  <c r="F644" i="2"/>
  <c r="F107" i="2"/>
  <c r="F552" i="2"/>
  <c r="F154" i="2"/>
  <c r="F342" i="2"/>
  <c r="F433" i="2"/>
  <c r="F267" i="2"/>
  <c r="F44" i="2"/>
  <c r="F597" i="2"/>
  <c r="F523" i="2"/>
  <c r="F954" i="2"/>
  <c r="F169" i="2"/>
  <c r="F564" i="2"/>
  <c r="F426" i="2"/>
  <c r="F981" i="2"/>
  <c r="F522" i="2"/>
  <c r="F395" i="2"/>
  <c r="F580" i="2"/>
  <c r="F408" i="2"/>
  <c r="F54" i="2"/>
  <c r="F794" i="2"/>
  <c r="F822" i="2"/>
  <c r="F516" i="2"/>
  <c r="F827" i="2"/>
  <c r="F846" i="2"/>
  <c r="F904" i="2"/>
  <c r="F543" i="2"/>
  <c r="F514" i="2"/>
  <c r="F871" i="2"/>
  <c r="F708" i="2"/>
  <c r="F653" i="2"/>
  <c r="F75" i="2"/>
  <c r="F889" i="2"/>
  <c r="F187" i="2"/>
  <c r="F704" i="2"/>
  <c r="F27" i="2"/>
  <c r="F911" i="2"/>
  <c r="F985" i="2"/>
  <c r="F212" i="2"/>
  <c r="F390" i="2"/>
  <c r="F90" i="2"/>
  <c r="F777" i="2"/>
  <c r="F714" i="2"/>
  <c r="F379" i="2"/>
  <c r="F132" i="2"/>
  <c r="F841" i="2"/>
  <c r="F868" i="2"/>
  <c r="F176" i="2"/>
  <c r="F73" i="2"/>
  <c r="F273" i="2"/>
  <c r="F403" i="2"/>
  <c r="F486" i="2"/>
  <c r="F711" i="2"/>
  <c r="F994" i="2"/>
  <c r="F966" i="2"/>
  <c r="F882" i="2"/>
  <c r="F898" i="2"/>
  <c r="F656" i="2"/>
  <c r="F666" i="2"/>
  <c r="F247" i="2"/>
  <c r="F863" i="2"/>
  <c r="F200" i="2"/>
  <c r="F812" i="2"/>
  <c r="F583" i="2"/>
  <c r="F902" i="2"/>
  <c r="F917" i="2"/>
  <c r="F288" i="2"/>
  <c r="F763" i="2"/>
  <c r="F498" i="2"/>
  <c r="F741" i="2"/>
  <c r="F810" i="2"/>
  <c r="F495" i="2"/>
  <c r="F955" i="2"/>
  <c r="F160" i="2"/>
  <c r="F423" i="2"/>
  <c r="F618" i="2"/>
  <c r="F120" i="2"/>
  <c r="F716" i="2"/>
  <c r="F925" i="2"/>
  <c r="F74" i="2"/>
  <c r="F399" i="2"/>
  <c r="F525" i="2"/>
  <c r="F690" i="2"/>
  <c r="F779" i="2"/>
  <c r="F465" i="2"/>
  <c r="F222" i="2"/>
  <c r="F835" i="2"/>
  <c r="F36" i="2"/>
  <c r="F352" i="2"/>
  <c r="F345" i="2"/>
  <c r="F119" i="2"/>
  <c r="F782" i="2"/>
  <c r="F938" i="2"/>
  <c r="F721" i="2"/>
  <c r="F173" i="2"/>
  <c r="F362" i="2"/>
  <c r="F485" i="2"/>
  <c r="F204" i="2"/>
  <c r="F77" i="2"/>
  <c r="F924" i="2"/>
  <c r="F302" i="2"/>
  <c r="F743" i="2"/>
  <c r="F645" i="2"/>
  <c r="F856" i="2"/>
  <c r="F627" i="2"/>
  <c r="F242" i="2"/>
  <c r="F277" i="2"/>
  <c r="F53" i="2"/>
  <c r="F422" i="2"/>
  <c r="F319" i="2"/>
  <c r="F813" i="2"/>
  <c r="F91" i="2"/>
  <c r="F944" i="2"/>
  <c r="F880" i="2"/>
  <c r="F224" i="2"/>
  <c r="F957" i="2"/>
  <c r="F831" i="2"/>
  <c r="F289" i="2"/>
  <c r="F639" i="2"/>
  <c r="F133" i="2"/>
  <c r="F346" i="2"/>
  <c r="F192" i="2"/>
  <c r="F450" i="2"/>
  <c r="F61" i="2"/>
  <c r="F582" i="2"/>
  <c r="F389" i="2"/>
  <c r="F573" i="2"/>
  <c r="F751" i="2"/>
  <c r="F153" i="2"/>
  <c r="F282" i="2"/>
  <c r="F343" i="2"/>
  <c r="F235" i="2"/>
  <c r="F254" i="2"/>
  <c r="F181" i="2"/>
  <c r="F416" i="2"/>
  <c r="F291" i="2"/>
  <c r="F584" i="2"/>
  <c r="F145" i="2"/>
  <c r="F684" i="2"/>
  <c r="F611" i="2"/>
  <c r="F605" i="2"/>
  <c r="F712" i="2"/>
  <c r="F349" i="2"/>
  <c r="F934" i="2"/>
  <c r="F223" i="2"/>
  <c r="F574" i="2"/>
  <c r="F975" i="2"/>
  <c r="F378" i="2"/>
  <c r="F838" i="2"/>
  <c r="F671" i="2"/>
  <c r="F80" i="2"/>
  <c r="F770" i="2"/>
  <c r="F104" i="2"/>
  <c r="F38" i="2"/>
  <c r="F805" i="2"/>
  <c r="F134" i="2"/>
  <c r="F420" i="2"/>
  <c r="F534" i="2"/>
  <c r="F820" i="2"/>
  <c r="F674" i="2"/>
  <c r="F539" i="2"/>
  <c r="F527" i="2"/>
  <c r="F335" i="2"/>
  <c r="F471" i="2"/>
  <c r="F682" i="2"/>
  <c r="F43" i="2"/>
  <c r="F528" i="2"/>
  <c r="F728" i="2"/>
  <c r="F180" i="2"/>
  <c r="F697" i="2"/>
  <c r="F78" i="2"/>
  <c r="F659" i="2"/>
  <c r="F142" i="2"/>
  <c r="F206" i="2"/>
  <c r="F25" i="2"/>
  <c r="F839" i="2"/>
  <c r="F239" i="2"/>
  <c r="F16" i="2"/>
  <c r="F477" i="2"/>
  <c r="F461" i="2"/>
  <c r="F998" i="2"/>
  <c r="F866" i="2"/>
  <c r="F715" i="2"/>
  <c r="F65" i="2"/>
  <c r="F375" i="2"/>
  <c r="F7" i="2"/>
  <c r="F951" i="2"/>
  <c r="F625" i="2"/>
  <c r="F237" i="2"/>
  <c r="F647" i="2"/>
  <c r="F470" i="2"/>
  <c r="F845" i="2"/>
  <c r="F57" i="2"/>
  <c r="F837" i="2"/>
  <c r="F460" i="2"/>
  <c r="F431" i="2"/>
  <c r="F725" i="2"/>
  <c r="F456" i="2"/>
  <c r="F341" i="2"/>
  <c r="F963" i="2"/>
  <c r="F830" i="2"/>
  <c r="F366" i="2"/>
  <c r="F744" i="2"/>
  <c r="F676" i="2"/>
  <c r="F803" i="2"/>
  <c r="F606" i="2"/>
  <c r="F430" i="2"/>
  <c r="F494" i="2"/>
  <c r="F387" i="2"/>
  <c r="F874" i="2"/>
  <c r="F320" i="2"/>
  <c r="F392" i="2"/>
  <c r="F723" i="2"/>
  <c r="F536" i="2"/>
  <c r="F285" i="2"/>
  <c r="F105" i="2"/>
  <c r="F540" i="2"/>
  <c r="F30" i="2"/>
  <c r="F780" i="2"/>
  <c r="F557" i="2"/>
  <c r="F632" i="2"/>
  <c r="F736" i="2"/>
  <c r="F278" i="2"/>
  <c r="F472" i="2"/>
  <c r="F258" i="2"/>
  <c r="F561" i="2"/>
  <c r="F227" i="2"/>
  <c r="F840" i="2"/>
  <c r="F737" i="2"/>
  <c r="F241" i="2"/>
  <c r="F161" i="2"/>
  <c r="F148" i="2"/>
  <c r="F468" i="2"/>
  <c r="F82" i="2"/>
  <c r="F292" i="2"/>
  <c r="F802" i="2"/>
  <c r="F817" i="2"/>
  <c r="F205" i="2"/>
  <c r="F359" i="2"/>
  <c r="F240" i="2"/>
  <c r="F950" i="2"/>
  <c r="F948" i="2"/>
  <c r="F808" i="2"/>
  <c r="F865" i="2"/>
  <c r="F565" i="2"/>
  <c r="F996" i="2"/>
  <c r="F307" i="2"/>
  <c r="F931" i="2"/>
  <c r="F588" i="2"/>
  <c r="F608" i="2"/>
  <c r="F439" i="2"/>
  <c r="F941" i="2"/>
  <c r="F128" i="2"/>
  <c r="F385" i="2"/>
  <c r="F167" i="2"/>
  <c r="F308" i="2"/>
  <c r="F859" i="2"/>
  <c r="F367" i="2"/>
  <c r="F305" i="2"/>
  <c r="F459" i="2"/>
  <c r="F457" i="2"/>
  <c r="F45" i="2"/>
  <c r="F271" i="2"/>
  <c r="F131" i="2"/>
  <c r="F720" i="2"/>
  <c r="F139" i="2"/>
  <c r="F301" i="2"/>
  <c r="F110" i="2"/>
  <c r="F549" i="2"/>
  <c r="F496" i="2"/>
  <c r="F97" i="2"/>
  <c r="F893" i="2"/>
  <c r="F336" i="2"/>
  <c r="F867" i="2"/>
  <c r="F249" i="2"/>
  <c r="F967" i="2"/>
  <c r="F613" i="2"/>
  <c r="F853" i="2"/>
  <c r="F264" i="2"/>
  <c r="F69" i="2"/>
  <c r="F2" i="2"/>
  <c r="F927" i="2"/>
  <c r="F881" i="2"/>
  <c r="F484" i="2"/>
  <c r="F796" i="2"/>
  <c r="F24" i="2"/>
  <c r="F325" i="2"/>
  <c r="F125" i="2"/>
  <c r="F189" i="2"/>
  <c r="F556" i="2"/>
  <c r="F877" i="2"/>
  <c r="F864" i="2"/>
  <c r="F876" i="2"/>
  <c r="F590" i="2"/>
  <c r="F159" i="2"/>
  <c r="F407" i="2"/>
  <c r="F294" i="2"/>
  <c r="F68" i="2"/>
  <c r="F47" i="2"/>
  <c r="F59" i="2"/>
  <c r="F130" i="2"/>
  <c r="F651" i="2"/>
  <c r="F202" i="2"/>
  <c r="F245" i="2"/>
  <c r="F13" i="2"/>
  <c r="F652" i="2"/>
  <c r="F46" i="2"/>
  <c r="F766" i="2"/>
  <c r="F508" i="2"/>
  <c r="F261" i="2"/>
  <c r="F695" i="2"/>
  <c r="F60" i="2"/>
  <c r="F709" i="2"/>
  <c r="F703" i="2"/>
  <c r="F591" i="2"/>
  <c r="F760" i="2"/>
  <c r="F768" i="2"/>
  <c r="F850" i="2"/>
  <c r="F228" i="2"/>
  <c r="F622" i="2"/>
  <c r="F364" i="2"/>
  <c r="F914" i="2"/>
  <c r="F177" i="2"/>
  <c r="F170" i="2"/>
  <c r="F467" i="2"/>
  <c r="F537" i="2"/>
  <c r="F354" i="2"/>
  <c r="F870" i="2"/>
  <c r="F991" i="2"/>
  <c r="F146" i="2"/>
  <c r="F531" i="2"/>
  <c r="F640" i="2"/>
  <c r="F604" i="2"/>
  <c r="F193" i="2"/>
  <c r="F610" i="2"/>
  <c r="F662" i="2"/>
  <c r="F825" i="2"/>
  <c r="F209" i="2"/>
  <c r="F761" i="2"/>
  <c r="F503" i="2"/>
  <c r="F630" i="2"/>
  <c r="F512" i="2"/>
  <c r="F620" i="2"/>
  <c r="F663" i="2"/>
  <c r="F542" i="2"/>
  <c r="F397" i="2"/>
  <c r="F986" i="2"/>
  <c r="F172" i="2"/>
  <c r="F726" i="2"/>
  <c r="F869" i="2"/>
  <c r="F685" i="2"/>
  <c r="F478" i="2"/>
  <c r="F799" i="2"/>
  <c r="F323" i="2"/>
  <c r="F324" i="2"/>
  <c r="F559" i="2"/>
  <c r="F816" i="2"/>
  <c r="F586" i="2"/>
  <c r="F52" i="2"/>
  <c r="F793" i="2"/>
  <c r="F930" i="2"/>
  <c r="F600" i="2"/>
  <c r="F710" i="2"/>
  <c r="F126" i="2"/>
  <c r="F502" i="2"/>
  <c r="F668" i="2"/>
  <c r="F601" i="2"/>
  <c r="F890" i="2"/>
  <c r="F862" i="2"/>
  <c r="F317" i="2"/>
  <c r="F692" i="2"/>
  <c r="F231" i="2"/>
  <c r="F795" i="2"/>
  <c r="F946" i="2"/>
  <c r="F391" i="2"/>
  <c r="F121" i="2"/>
  <c r="F182" i="2"/>
  <c r="F394" i="2"/>
  <c r="F138" i="2"/>
  <c r="F801" i="2"/>
  <c r="F380" i="2"/>
  <c r="F440" i="2"/>
  <c r="F405" i="2"/>
  <c r="F735" i="2"/>
  <c r="F358" i="2"/>
  <c r="F253" i="2"/>
  <c r="F740" i="2"/>
  <c r="F854" i="2"/>
  <c r="F71" i="2"/>
  <c r="F409" i="2"/>
  <c r="F297" i="2"/>
  <c r="F428" i="2"/>
  <c r="F638" i="2"/>
  <c r="F476" i="2"/>
  <c r="F321" i="2"/>
  <c r="F353" i="2"/>
  <c r="F572" i="2"/>
  <c r="F858" i="2"/>
  <c r="F400" i="2"/>
  <c r="F451" i="2"/>
  <c r="F520" i="2"/>
  <c r="F977" i="2"/>
  <c r="F129" i="2"/>
  <c r="F421" i="2"/>
  <c r="F274" i="2"/>
  <c r="F233" i="2"/>
  <c r="F203" i="2"/>
  <c r="F667" i="2"/>
  <c r="F992" i="2"/>
  <c r="F377" i="2"/>
  <c r="F513" i="2"/>
  <c r="F885" i="2"/>
  <c r="F641" i="2"/>
  <c r="F94" i="2"/>
  <c r="F340" i="2"/>
  <c r="F281" i="2"/>
  <c r="F462" i="2"/>
  <c r="F269" i="2"/>
  <c r="F908" i="2"/>
  <c r="F753" i="2"/>
  <c r="F538" i="2"/>
  <c r="F903" i="2"/>
  <c r="F800" i="2"/>
  <c r="F767" i="2"/>
  <c r="F178" i="2"/>
  <c r="F701" i="2"/>
  <c r="F558" i="2"/>
  <c r="F32" i="2"/>
  <c r="F569" i="2"/>
  <c r="F64" i="2"/>
  <c r="F248" i="2"/>
  <c r="F982" i="2"/>
  <c r="F35" i="2"/>
  <c r="F20" i="2"/>
  <c r="F58" i="2"/>
  <c r="F500" i="2"/>
  <c r="F259" i="2"/>
  <c r="F10" i="2"/>
  <c r="F188" i="2"/>
  <c r="F560" i="2"/>
  <c r="F56" i="2"/>
  <c r="F348" i="2"/>
  <c r="F806" i="2"/>
  <c r="F696" i="2"/>
  <c r="F894" i="2"/>
  <c r="F474" i="2"/>
  <c r="F554" i="2"/>
  <c r="F952" i="2"/>
  <c r="F230" i="2"/>
  <c r="F410" i="2"/>
  <c r="F834" i="2"/>
  <c r="F789" i="2"/>
  <c r="F103" i="2"/>
  <c r="F425" i="2"/>
  <c r="F678" i="2"/>
  <c r="F912" i="2"/>
  <c r="F300" i="2"/>
  <c r="F363" i="2"/>
  <c r="F587" i="2"/>
  <c r="F603" i="2"/>
  <c r="F578" i="2"/>
  <c r="F943" i="2"/>
  <c r="F745" i="2"/>
  <c r="F791" i="2"/>
  <c r="F424" i="2"/>
  <c r="F22" i="2"/>
  <c r="F940" i="2"/>
  <c r="F198" i="2"/>
  <c r="F165" i="2"/>
  <c r="F755" i="2"/>
  <c r="F786" i="2"/>
  <c r="F442" i="2"/>
  <c r="F175" i="2"/>
  <c r="F818" i="2"/>
  <c r="F445" i="2"/>
  <c r="F787" i="2"/>
  <c r="F499" i="2"/>
  <c r="F910" i="2"/>
  <c r="F220" i="2"/>
  <c r="F717" i="2"/>
  <c r="F939" i="2"/>
  <c r="F920" i="2"/>
  <c r="F347" i="2"/>
  <c r="F999" i="2"/>
  <c r="F727" i="2"/>
  <c r="F757" i="2"/>
  <c r="F631" i="2"/>
  <c r="F447" i="2"/>
  <c r="F196" i="2"/>
  <c r="F286" i="2"/>
  <c r="F980" i="2"/>
  <c r="F713" i="2"/>
  <c r="F804" i="2"/>
  <c r="F628" i="2"/>
  <c r="F635" i="2"/>
  <c r="F37" i="2"/>
  <c r="F201" i="2"/>
  <c r="F546" i="2"/>
  <c r="F453" i="2"/>
  <c r="F974" i="2"/>
  <c r="F369" i="2"/>
  <c r="F896" i="2"/>
  <c r="F783" i="2"/>
  <c r="F515" i="2"/>
  <c r="F730" i="2"/>
  <c r="F746" i="2"/>
  <c r="F127" i="2"/>
  <c r="F489" i="2"/>
  <c r="F393" i="2"/>
  <c r="F443" i="2"/>
  <c r="F350" i="2"/>
  <c r="F466" i="2"/>
  <c r="F836" i="2"/>
  <c r="F901" i="2"/>
  <c r="F742" i="2"/>
  <c r="F506" i="2"/>
  <c r="F875" i="2"/>
  <c r="F906" i="2"/>
  <c r="F114" i="2"/>
  <c r="F619" i="2"/>
  <c r="F386" i="2"/>
  <c r="F844" i="2"/>
  <c r="F84" i="2"/>
  <c r="F847" i="2"/>
  <c r="F33" i="2"/>
  <c r="F849" i="2"/>
  <c r="F376" i="2"/>
  <c r="F577" i="2"/>
  <c r="F276" i="2"/>
  <c r="F355" i="2"/>
  <c r="F487" i="2"/>
  <c r="F593" i="2"/>
  <c r="F41" i="2"/>
  <c r="F313" i="2"/>
  <c r="F571" i="2"/>
  <c r="F326" i="2"/>
  <c r="F945" i="2"/>
  <c r="F304" i="2"/>
  <c r="F964" i="2"/>
  <c r="F79" i="2"/>
  <c r="F330" i="2"/>
  <c r="F417" i="2"/>
  <c r="F987" i="2"/>
  <c r="F334" i="2"/>
  <c r="F548" i="2"/>
  <c r="F290" i="2"/>
  <c r="F602" i="2"/>
  <c r="F384" i="2"/>
  <c r="F592" i="2"/>
  <c r="F961" i="2"/>
  <c r="F756" i="2"/>
  <c r="F357" i="2"/>
  <c r="F677" i="2"/>
  <c r="F636" i="2"/>
  <c r="F40" i="2"/>
  <c r="F157" i="2"/>
  <c r="F225" i="2"/>
  <c r="F311" i="2"/>
  <c r="F897" i="2"/>
  <c r="F143" i="2"/>
  <c r="F34" i="2"/>
  <c r="F152" i="2"/>
  <c r="F935" i="2"/>
  <c r="F655" i="2"/>
  <c r="F481" i="2"/>
  <c r="F429" i="2"/>
  <c r="F664" i="2"/>
  <c r="F123" i="2"/>
  <c r="F909" i="2"/>
  <c r="F857" i="2"/>
  <c r="F942" i="2"/>
  <c r="F337" i="2"/>
  <c r="F404" i="2"/>
  <c r="F732" i="2"/>
  <c r="F183" i="2"/>
  <c r="F933" i="2"/>
  <c r="F262" i="2"/>
  <c r="F637" i="2"/>
  <c r="F283" i="2"/>
  <c r="F788" i="2"/>
  <c r="F959" i="2"/>
  <c r="G883" i="2"/>
  <c r="G418" i="2"/>
  <c r="G92" i="2"/>
  <c r="G669" i="2"/>
  <c r="G488" i="2"/>
  <c r="G731" i="2"/>
  <c r="G626" i="2"/>
  <c r="G887" i="2"/>
  <c r="G797" i="2"/>
  <c r="G657" i="2"/>
  <c r="G581" i="2"/>
  <c r="G316" i="2"/>
  <c r="G396" i="2"/>
  <c r="G698" i="2"/>
  <c r="G18" i="2"/>
  <c r="G629" i="2"/>
  <c r="G51" i="2"/>
  <c r="G873" i="2"/>
  <c r="G575" i="2"/>
  <c r="G774" i="2"/>
  <c r="G976" i="2"/>
  <c r="G891" i="2"/>
  <c r="G463" i="2"/>
  <c r="G116" i="2"/>
  <c r="G66" i="2"/>
  <c r="G705" i="2"/>
  <c r="G93" i="2"/>
  <c r="G275" i="2"/>
  <c r="G990" i="2"/>
  <c r="G243" i="2"/>
  <c r="G454" i="2"/>
  <c r="G214" i="2"/>
  <c r="G738" i="2"/>
  <c r="G208" i="2"/>
  <c r="G55" i="2"/>
  <c r="G567" i="2"/>
  <c r="G829" i="2"/>
  <c r="G252" i="2"/>
  <c r="G469" i="2"/>
  <c r="G900" i="2"/>
  <c r="G190" i="2"/>
  <c r="G510" i="2"/>
  <c r="G749" i="2"/>
  <c r="G147" i="2"/>
  <c r="G234" i="2"/>
  <c r="G773" i="2"/>
  <c r="G8" i="2"/>
  <c r="G913" i="2"/>
  <c r="G211" i="2"/>
  <c r="G475" i="2"/>
  <c r="G29" i="2"/>
  <c r="G4" i="2"/>
  <c r="G14" i="2"/>
  <c r="G679" i="2"/>
  <c r="G607" i="2"/>
  <c r="G815" i="2"/>
  <c r="G149" i="2"/>
  <c r="G39" i="2"/>
  <c r="G108" i="2"/>
  <c r="G310" i="2"/>
  <c r="G194" i="2"/>
  <c r="G102" i="2"/>
  <c r="G969" i="2"/>
  <c r="G570" i="2"/>
  <c r="G895" i="2"/>
  <c r="G401" i="2"/>
  <c r="G594" i="2"/>
  <c r="G446" i="2"/>
  <c r="G406" i="2"/>
  <c r="G412" i="2"/>
  <c r="G566" i="2"/>
  <c r="G155" i="2"/>
  <c r="G616" i="2"/>
  <c r="G303" i="2"/>
  <c r="G754" i="2"/>
  <c r="G497" i="2"/>
  <c r="G287" i="2"/>
  <c r="G87" i="2"/>
  <c r="G215" i="2"/>
  <c r="G492" i="2"/>
  <c r="G122" i="2"/>
  <c r="G764" i="2"/>
  <c r="G219" i="2"/>
  <c r="G265" i="2"/>
  <c r="G922" i="2"/>
  <c r="G166" i="2"/>
  <c r="G733" i="2"/>
  <c r="G260" i="2"/>
  <c r="G112" i="2"/>
  <c r="G693" i="2"/>
  <c r="G507" i="2"/>
  <c r="G688" i="2"/>
  <c r="G778" i="2"/>
  <c r="G11" i="2"/>
  <c r="G962" i="2"/>
  <c r="G700" i="2"/>
  <c r="G85" i="2"/>
  <c r="G798" i="2"/>
  <c r="G199" i="2"/>
  <c r="G344" i="2"/>
  <c r="G137" i="2"/>
  <c r="G135" i="2"/>
  <c r="G413" i="2"/>
  <c r="G156" i="2"/>
  <c r="G236" i="2"/>
  <c r="G419" i="2"/>
  <c r="G658" i="2"/>
  <c r="G526" i="2"/>
  <c r="G280" i="2"/>
  <c r="G88" i="2"/>
  <c r="G213" i="2"/>
  <c r="G936" i="2"/>
  <c r="G550" i="2"/>
  <c r="G111" i="2"/>
  <c r="G5" i="2"/>
  <c r="G255" i="2"/>
  <c r="G785" i="2"/>
  <c r="G186" i="2"/>
  <c r="G551" i="2"/>
  <c r="G851" i="2"/>
  <c r="G819" i="2"/>
  <c r="G633" i="2"/>
  <c r="G784" i="2"/>
  <c r="G706" i="2"/>
  <c r="G807" i="2"/>
  <c r="G718" i="2"/>
  <c r="G589" i="2"/>
  <c r="G947" i="2"/>
  <c r="G117" i="2"/>
  <c r="G765" i="2"/>
  <c r="G415" i="2"/>
  <c r="G361" i="2"/>
  <c r="G681" i="2"/>
  <c r="G250" i="2"/>
  <c r="G329" i="2"/>
  <c r="G972" i="2"/>
  <c r="G670" i="2"/>
  <c r="G314" i="2"/>
  <c r="G174" i="2"/>
  <c r="G333" i="2"/>
  <c r="G907" i="2"/>
  <c r="G699" i="2"/>
  <c r="G929" i="2"/>
  <c r="G752" i="2"/>
  <c r="G141" i="2"/>
  <c r="G544" i="2"/>
  <c r="G284" i="2"/>
  <c r="G960" i="2"/>
  <c r="G210" i="2"/>
  <c r="G926" i="2"/>
  <c r="G823" i="2"/>
  <c r="G298" i="2"/>
  <c r="G197" i="2"/>
  <c r="G832" i="2"/>
  <c r="G843" i="2"/>
  <c r="G232" i="2"/>
  <c r="G26" i="2"/>
  <c r="G3" i="2"/>
  <c r="G21" i="2"/>
  <c r="G879" i="2"/>
  <c r="G372" i="2"/>
  <c r="G923" i="2"/>
  <c r="G691" i="2"/>
  <c r="G315" i="2"/>
  <c r="G185" i="2"/>
  <c r="G533" i="2"/>
  <c r="G195" i="2"/>
  <c r="G452" i="2"/>
  <c r="G296" i="2"/>
  <c r="G338" i="2"/>
  <c r="G31" i="2"/>
  <c r="G563" i="2"/>
  <c r="G414" i="2"/>
  <c r="G973" i="2"/>
  <c r="G505" i="2"/>
  <c r="G888" i="2"/>
  <c r="G848" i="2"/>
  <c r="G151" i="2"/>
  <c r="G719" i="2"/>
  <c r="G568" i="2"/>
  <c r="G729" i="2"/>
  <c r="G140" i="2"/>
  <c r="G458" i="2"/>
  <c r="G826" i="2"/>
  <c r="G6" i="2"/>
  <c r="G978" i="2"/>
  <c r="G435" i="2"/>
  <c r="G769" i="2"/>
  <c r="G624" i="2"/>
  <c r="G988" i="2"/>
  <c r="G762" i="2"/>
  <c r="G545" i="2"/>
  <c r="G937" i="2"/>
  <c r="G821" i="2"/>
  <c r="G272" i="2"/>
  <c r="G62" i="2"/>
  <c r="G979" i="2"/>
  <c r="G118" i="2"/>
  <c r="G216" i="2"/>
  <c r="G322" i="2"/>
  <c r="G229" i="2"/>
  <c r="G989" i="2"/>
  <c r="G884" i="2"/>
  <c r="G328" i="2"/>
  <c r="G958" i="2"/>
  <c r="G383" i="2"/>
  <c r="G724" i="2"/>
  <c r="G694" i="2"/>
  <c r="G432" i="2"/>
  <c r="G781" i="2"/>
  <c r="G892" i="2"/>
  <c r="G293" i="2"/>
  <c r="G171" i="2"/>
  <c r="G124" i="2"/>
  <c r="G491" i="2"/>
  <c r="G758" i="2"/>
  <c r="G983" i="2"/>
  <c r="G956" i="2"/>
  <c r="G398" i="2"/>
  <c r="G971" i="2"/>
  <c r="G101" i="2"/>
  <c r="G649" i="2"/>
  <c r="G268" i="2"/>
  <c r="G722" i="2"/>
  <c r="G86" i="2"/>
  <c r="G479" i="2"/>
  <c r="G501" i="2"/>
  <c r="G238" i="2"/>
  <c r="G1000" i="2"/>
  <c r="G643" i="2"/>
  <c r="G158" i="2"/>
  <c r="G650" i="2"/>
  <c r="G221" i="2"/>
  <c r="G483" i="2"/>
  <c r="G562" i="2"/>
  <c r="G437" i="2"/>
  <c r="G621" i="2"/>
  <c r="G444" i="2"/>
  <c r="G113" i="2"/>
  <c r="G792" i="2"/>
  <c r="G191" i="2"/>
  <c r="G918" i="2"/>
  <c r="G517" i="2"/>
  <c r="G217" i="2"/>
  <c r="G707" i="2"/>
  <c r="G256" i="2"/>
  <c r="G493" i="2"/>
  <c r="G179" i="2"/>
  <c r="G852" i="2"/>
  <c r="G524" i="2"/>
  <c r="G67" i="2"/>
  <c r="G521" i="2"/>
  <c r="G585" i="2"/>
  <c r="G842" i="2"/>
  <c r="G599" i="2"/>
  <c r="G99" i="2"/>
  <c r="G441" i="2"/>
  <c r="G365" i="2"/>
  <c r="G455" i="2"/>
  <c r="G371" i="2"/>
  <c r="G683" i="2"/>
  <c r="G162" i="2"/>
  <c r="G449" i="2"/>
  <c r="G530" i="2"/>
  <c r="G251" i="2"/>
  <c r="G23" i="2"/>
  <c r="G661" i="2"/>
  <c r="G617" i="2"/>
  <c r="G48" i="2"/>
  <c r="G673" i="2"/>
  <c r="G504" i="2"/>
  <c r="G642" i="2"/>
  <c r="G327" i="2"/>
  <c r="G318" i="2"/>
  <c r="G739" i="2"/>
  <c r="G81" i="2"/>
  <c r="G19" i="2"/>
  <c r="G17" i="2"/>
  <c r="G995" i="2"/>
  <c r="G609" i="2"/>
  <c r="G95" i="2"/>
  <c r="G878" i="2"/>
  <c r="G436" i="2"/>
  <c r="G370" i="2"/>
  <c r="G381" i="2"/>
  <c r="G83" i="2"/>
  <c r="G915" i="2"/>
  <c r="G299" i="2"/>
  <c r="G916" i="2"/>
  <c r="G772" i="2"/>
  <c r="G775" i="2"/>
  <c r="G734" i="2"/>
  <c r="G115" i="2"/>
  <c r="G360" i="2"/>
  <c r="G473" i="2"/>
  <c r="G654" i="2"/>
  <c r="G519" i="2"/>
  <c r="G555" i="2"/>
  <c r="G872" i="2"/>
  <c r="G680" i="2"/>
  <c r="G634" i="2"/>
  <c r="G332" i="2"/>
  <c r="G279" i="2"/>
  <c r="G747" i="2"/>
  <c r="G438" i="2"/>
  <c r="G490" i="2"/>
  <c r="G776" i="2"/>
  <c r="G965" i="2"/>
  <c r="G100" i="2"/>
  <c r="G218" i="2"/>
  <c r="G411" i="2"/>
  <c r="G70" i="2"/>
  <c r="G576" i="2"/>
  <c r="G9" i="2"/>
  <c r="G339" i="2"/>
  <c r="G748" i="2"/>
  <c r="G833" i="2"/>
  <c r="G623" i="2"/>
  <c r="G612" i="2"/>
  <c r="G448" i="2"/>
  <c r="G312" i="2"/>
  <c r="G970" i="2"/>
  <c r="G98" i="2"/>
  <c r="G89" i="2"/>
  <c r="G509" i="2"/>
  <c r="G932" i="2"/>
  <c r="G144" i="2"/>
  <c r="G356" i="2"/>
  <c r="G49" i="2"/>
  <c r="G184" i="2"/>
  <c r="G921" i="2"/>
  <c r="G824" i="2"/>
  <c r="G809" i="2"/>
  <c r="G553" i="2"/>
  <c r="G306" i="2"/>
  <c r="G464" i="2"/>
  <c r="G388" i="2"/>
  <c r="G997" i="2"/>
  <c r="G382" i="2"/>
  <c r="G535" i="2"/>
  <c r="G246" i="2"/>
  <c r="G953" i="2"/>
  <c r="G263" i="2"/>
  <c r="G373" i="2"/>
  <c r="G28" i="2"/>
  <c r="G402" i="2"/>
  <c r="G595" i="2"/>
  <c r="G270" i="2"/>
  <c r="G427" i="2"/>
  <c r="G828" i="2"/>
  <c r="G860" i="2"/>
  <c r="G511" i="2"/>
  <c r="G374" i="2"/>
  <c r="G150" i="2"/>
  <c r="G899" i="2"/>
  <c r="G109" i="2"/>
  <c r="G771" i="2"/>
  <c r="G689" i="2"/>
  <c r="G615" i="2"/>
  <c r="G226" i="2"/>
  <c r="G686" i="2"/>
  <c r="G675" i="2"/>
  <c r="G665" i="2"/>
  <c r="G163" i="2"/>
  <c r="G518" i="2"/>
  <c r="G266" i="2"/>
  <c r="G331" i="2"/>
  <c r="G480" i="2"/>
  <c r="G855" i="2"/>
  <c r="G257" i="2"/>
  <c r="G136" i="2"/>
  <c r="G295" i="2"/>
  <c r="G76" i="2"/>
  <c r="G596" i="2"/>
  <c r="G702" i="2"/>
  <c r="G529" i="2"/>
  <c r="G614" i="2"/>
  <c r="G72" i="2"/>
  <c r="G968" i="2"/>
  <c r="G42" i="2"/>
  <c r="G63" i="2"/>
  <c r="G928" i="2"/>
  <c r="G164" i="2"/>
  <c r="G351" i="2"/>
  <c r="G672" i="2"/>
  <c r="G949" i="2"/>
  <c r="G790" i="2"/>
  <c r="G759" i="2"/>
  <c r="G750" i="2"/>
  <c r="G96" i="2"/>
  <c r="G919" i="2"/>
  <c r="G309" i="2"/>
  <c r="G687" i="2"/>
  <c r="G434" i="2"/>
  <c r="G905" i="2"/>
  <c r="G598" i="2"/>
  <c r="G12" i="2"/>
  <c r="G646" i="2"/>
  <c r="G15" i="2"/>
  <c r="G207" i="2"/>
  <c r="G861" i="2"/>
  <c r="G482" i="2"/>
  <c r="G984" i="2"/>
  <c r="G168" i="2"/>
  <c r="G811" i="2"/>
  <c r="G660" i="2"/>
  <c r="G368" i="2"/>
  <c r="G244" i="2"/>
  <c r="G50" i="2"/>
  <c r="G547" i="2"/>
  <c r="G814" i="2"/>
  <c r="G579" i="2"/>
  <c r="G648" i="2"/>
  <c r="G541" i="2"/>
  <c r="G993" i="2"/>
  <c r="G532" i="2"/>
  <c r="G886" i="2"/>
  <c r="G106" i="2"/>
  <c r="G644" i="2"/>
  <c r="G107" i="2"/>
  <c r="G552" i="2"/>
  <c r="G154" i="2"/>
  <c r="G342" i="2"/>
  <c r="G433" i="2"/>
  <c r="G267" i="2"/>
  <c r="G44" i="2"/>
  <c r="G597" i="2"/>
  <c r="G523" i="2"/>
  <c r="G954" i="2"/>
  <c r="G169" i="2"/>
  <c r="G564" i="2"/>
  <c r="G426" i="2"/>
  <c r="G981" i="2"/>
  <c r="G522" i="2"/>
  <c r="G395" i="2"/>
  <c r="G580" i="2"/>
  <c r="G408" i="2"/>
  <c r="G54" i="2"/>
  <c r="G794" i="2"/>
  <c r="G822" i="2"/>
  <c r="G516" i="2"/>
  <c r="G827" i="2"/>
  <c r="G846" i="2"/>
  <c r="G904" i="2"/>
  <c r="G543" i="2"/>
  <c r="G514" i="2"/>
  <c r="G871" i="2"/>
  <c r="G708" i="2"/>
  <c r="G653" i="2"/>
  <c r="G75" i="2"/>
  <c r="G889" i="2"/>
  <c r="G187" i="2"/>
  <c r="G704" i="2"/>
  <c r="G27" i="2"/>
  <c r="G911" i="2"/>
  <c r="G985" i="2"/>
  <c r="G212" i="2"/>
  <c r="G390" i="2"/>
  <c r="G90" i="2"/>
  <c r="G777" i="2"/>
  <c r="G714" i="2"/>
  <c r="G379" i="2"/>
  <c r="G132" i="2"/>
  <c r="G841" i="2"/>
  <c r="G868" i="2"/>
  <c r="G176" i="2"/>
  <c r="G73" i="2"/>
  <c r="G273" i="2"/>
  <c r="G403" i="2"/>
  <c r="G486" i="2"/>
  <c r="G711" i="2"/>
  <c r="G994" i="2"/>
  <c r="G966" i="2"/>
  <c r="G882" i="2"/>
  <c r="G898" i="2"/>
  <c r="G656" i="2"/>
  <c r="G666" i="2"/>
  <c r="G247" i="2"/>
  <c r="G863" i="2"/>
  <c r="G200" i="2"/>
  <c r="G812" i="2"/>
  <c r="G583" i="2"/>
  <c r="G902" i="2"/>
  <c r="G917" i="2"/>
  <c r="G288" i="2"/>
  <c r="G763" i="2"/>
  <c r="G498" i="2"/>
  <c r="G741" i="2"/>
  <c r="G810" i="2"/>
  <c r="G495" i="2"/>
  <c r="G955" i="2"/>
  <c r="G160" i="2"/>
  <c r="G423" i="2"/>
  <c r="G618" i="2"/>
  <c r="G120" i="2"/>
  <c r="G716" i="2"/>
  <c r="G925" i="2"/>
  <c r="G74" i="2"/>
  <c r="G399" i="2"/>
  <c r="G525" i="2"/>
  <c r="G690" i="2"/>
  <c r="G779" i="2"/>
  <c r="G465" i="2"/>
  <c r="G222" i="2"/>
  <c r="G835" i="2"/>
  <c r="G36" i="2"/>
  <c r="G352" i="2"/>
  <c r="G345" i="2"/>
  <c r="G119" i="2"/>
  <c r="G782" i="2"/>
  <c r="G938" i="2"/>
  <c r="G721" i="2"/>
  <c r="G173" i="2"/>
  <c r="G362" i="2"/>
  <c r="G485" i="2"/>
  <c r="G204" i="2"/>
  <c r="G77" i="2"/>
  <c r="G924" i="2"/>
  <c r="G302" i="2"/>
  <c r="G743" i="2"/>
  <c r="G645" i="2"/>
  <c r="G856" i="2"/>
  <c r="G627" i="2"/>
  <c r="G242" i="2"/>
  <c r="G277" i="2"/>
  <c r="G53" i="2"/>
  <c r="G422" i="2"/>
  <c r="G319" i="2"/>
  <c r="G813" i="2"/>
  <c r="G91" i="2"/>
  <c r="G944" i="2"/>
  <c r="G880" i="2"/>
  <c r="G224" i="2"/>
  <c r="G957" i="2"/>
  <c r="G831" i="2"/>
  <c r="G289" i="2"/>
  <c r="G639" i="2"/>
  <c r="G133" i="2"/>
  <c r="G346" i="2"/>
  <c r="G192" i="2"/>
  <c r="G450" i="2"/>
  <c r="G61" i="2"/>
  <c r="G582" i="2"/>
  <c r="G389" i="2"/>
  <c r="G573" i="2"/>
  <c r="G751" i="2"/>
  <c r="G153" i="2"/>
  <c r="G282" i="2"/>
  <c r="G343" i="2"/>
  <c r="G235" i="2"/>
  <c r="G254" i="2"/>
  <c r="G181" i="2"/>
  <c r="G416" i="2"/>
  <c r="G291" i="2"/>
  <c r="G584" i="2"/>
  <c r="G145" i="2"/>
  <c r="G684" i="2"/>
  <c r="G611" i="2"/>
  <c r="G605" i="2"/>
  <c r="G712" i="2"/>
  <c r="G349" i="2"/>
  <c r="G934" i="2"/>
  <c r="G223" i="2"/>
  <c r="G574" i="2"/>
  <c r="G975" i="2"/>
  <c r="G378" i="2"/>
  <c r="G838" i="2"/>
  <c r="G671" i="2"/>
  <c r="G80" i="2"/>
  <c r="G770" i="2"/>
  <c r="G104" i="2"/>
  <c r="G38" i="2"/>
  <c r="G805" i="2"/>
  <c r="G134" i="2"/>
  <c r="G420" i="2"/>
  <c r="G534" i="2"/>
  <c r="G820" i="2"/>
  <c r="G674" i="2"/>
  <c r="G539" i="2"/>
  <c r="G527" i="2"/>
  <c r="G335" i="2"/>
  <c r="G471" i="2"/>
  <c r="G682" i="2"/>
  <c r="G43" i="2"/>
  <c r="G528" i="2"/>
  <c r="G728" i="2"/>
  <c r="G180" i="2"/>
  <c r="G697" i="2"/>
  <c r="G78" i="2"/>
  <c r="G659" i="2"/>
  <c r="G142" i="2"/>
  <c r="G206" i="2"/>
  <c r="G25" i="2"/>
  <c r="G839" i="2"/>
  <c r="G239" i="2"/>
  <c r="G16" i="2"/>
  <c r="G477" i="2"/>
  <c r="G461" i="2"/>
  <c r="G998" i="2"/>
  <c r="G866" i="2"/>
  <c r="G715" i="2"/>
  <c r="G65" i="2"/>
  <c r="G375" i="2"/>
  <c r="G7" i="2"/>
  <c r="G951" i="2"/>
  <c r="G625" i="2"/>
  <c r="G237" i="2"/>
  <c r="G647" i="2"/>
  <c r="G470" i="2"/>
  <c r="G845" i="2"/>
  <c r="G57" i="2"/>
  <c r="G837" i="2"/>
  <c r="G460" i="2"/>
  <c r="G431" i="2"/>
  <c r="G725" i="2"/>
  <c r="G456" i="2"/>
  <c r="G341" i="2"/>
  <c r="G963" i="2"/>
  <c r="G830" i="2"/>
  <c r="G366" i="2"/>
  <c r="G744" i="2"/>
  <c r="G676" i="2"/>
  <c r="G803" i="2"/>
  <c r="G606" i="2"/>
  <c r="G430" i="2"/>
  <c r="G494" i="2"/>
  <c r="G387" i="2"/>
  <c r="G874" i="2"/>
  <c r="G320" i="2"/>
  <c r="G392" i="2"/>
  <c r="G723" i="2"/>
  <c r="G536" i="2"/>
  <c r="G285" i="2"/>
  <c r="G105" i="2"/>
  <c r="G540" i="2"/>
  <c r="G30" i="2"/>
  <c r="G780" i="2"/>
  <c r="G557" i="2"/>
  <c r="G632" i="2"/>
  <c r="G736" i="2"/>
  <c r="G278" i="2"/>
  <c r="G472" i="2"/>
  <c r="G258" i="2"/>
  <c r="G561" i="2"/>
  <c r="G227" i="2"/>
  <c r="G840" i="2"/>
  <c r="G737" i="2"/>
  <c r="G241" i="2"/>
  <c r="G161" i="2"/>
  <c r="G148" i="2"/>
  <c r="G468" i="2"/>
  <c r="G82" i="2"/>
  <c r="G292" i="2"/>
  <c r="G802" i="2"/>
  <c r="G817" i="2"/>
  <c r="G205" i="2"/>
  <c r="G359" i="2"/>
  <c r="G240" i="2"/>
  <c r="G950" i="2"/>
  <c r="G948" i="2"/>
  <c r="G808" i="2"/>
  <c r="G865" i="2"/>
  <c r="G565" i="2"/>
  <c r="G996" i="2"/>
  <c r="G307" i="2"/>
  <c r="G931" i="2"/>
  <c r="G588" i="2"/>
  <c r="G608" i="2"/>
  <c r="G439" i="2"/>
  <c r="G941" i="2"/>
  <c r="G128" i="2"/>
  <c r="G385" i="2"/>
  <c r="G167" i="2"/>
  <c r="G308" i="2"/>
  <c r="G859" i="2"/>
  <c r="G367" i="2"/>
  <c r="G305" i="2"/>
  <c r="G459" i="2"/>
  <c r="G457" i="2"/>
  <c r="G45" i="2"/>
  <c r="G271" i="2"/>
  <c r="G131" i="2"/>
  <c r="G720" i="2"/>
  <c r="G139" i="2"/>
  <c r="G301" i="2"/>
  <c r="G110" i="2"/>
  <c r="G549" i="2"/>
  <c r="G496" i="2"/>
  <c r="G97" i="2"/>
  <c r="G893" i="2"/>
  <c r="G336" i="2"/>
  <c r="G867" i="2"/>
  <c r="G249" i="2"/>
  <c r="G967" i="2"/>
  <c r="G613" i="2"/>
  <c r="G853" i="2"/>
  <c r="G264" i="2"/>
  <c r="G69" i="2"/>
  <c r="G2" i="2"/>
  <c r="G927" i="2"/>
  <c r="G881" i="2"/>
  <c r="G484" i="2"/>
  <c r="G796" i="2"/>
  <c r="G24" i="2"/>
  <c r="G325" i="2"/>
  <c r="G125" i="2"/>
  <c r="G189" i="2"/>
  <c r="G556" i="2"/>
  <c r="G877" i="2"/>
  <c r="G864" i="2"/>
  <c r="G876" i="2"/>
  <c r="G590" i="2"/>
  <c r="G159" i="2"/>
  <c r="G407" i="2"/>
  <c r="G294" i="2"/>
  <c r="G68" i="2"/>
  <c r="G47" i="2"/>
  <c r="G59" i="2"/>
  <c r="G130" i="2"/>
  <c r="G651" i="2"/>
  <c r="G202" i="2"/>
  <c r="G245" i="2"/>
  <c r="G13" i="2"/>
  <c r="G652" i="2"/>
  <c r="G46" i="2"/>
  <c r="G766" i="2"/>
  <c r="G508" i="2"/>
  <c r="G261" i="2"/>
  <c r="G695" i="2"/>
  <c r="G60" i="2"/>
  <c r="G709" i="2"/>
  <c r="G703" i="2"/>
  <c r="G591" i="2"/>
  <c r="G760" i="2"/>
  <c r="G768" i="2"/>
  <c r="G850" i="2"/>
  <c r="G228" i="2"/>
  <c r="G622" i="2"/>
  <c r="G364" i="2"/>
  <c r="G914" i="2"/>
  <c r="G177" i="2"/>
  <c r="G170" i="2"/>
  <c r="G467" i="2"/>
  <c r="G537" i="2"/>
  <c r="G354" i="2"/>
  <c r="G870" i="2"/>
  <c r="G991" i="2"/>
  <c r="G146" i="2"/>
  <c r="G531" i="2"/>
  <c r="G640" i="2"/>
  <c r="G604" i="2"/>
  <c r="G193" i="2"/>
  <c r="G610" i="2"/>
  <c r="G662" i="2"/>
  <c r="G825" i="2"/>
  <c r="G209" i="2"/>
  <c r="G761" i="2"/>
  <c r="G503" i="2"/>
  <c r="G630" i="2"/>
  <c r="G512" i="2"/>
  <c r="G620" i="2"/>
  <c r="G663" i="2"/>
  <c r="G542" i="2"/>
  <c r="G397" i="2"/>
  <c r="G986" i="2"/>
  <c r="G172" i="2"/>
  <c r="G726" i="2"/>
  <c r="G869" i="2"/>
  <c r="G685" i="2"/>
  <c r="G478" i="2"/>
  <c r="G799" i="2"/>
  <c r="G323" i="2"/>
  <c r="G324" i="2"/>
  <c r="G559" i="2"/>
  <c r="G816" i="2"/>
  <c r="G586" i="2"/>
  <c r="G52" i="2"/>
  <c r="G793" i="2"/>
  <c r="G930" i="2"/>
  <c r="G600" i="2"/>
  <c r="G710" i="2"/>
  <c r="G126" i="2"/>
  <c r="G502" i="2"/>
  <c r="G668" i="2"/>
  <c r="G601" i="2"/>
  <c r="G890" i="2"/>
  <c r="G862" i="2"/>
  <c r="G317" i="2"/>
  <c r="G692" i="2"/>
  <c r="G231" i="2"/>
  <c r="G795" i="2"/>
  <c r="G946" i="2"/>
  <c r="G391" i="2"/>
  <c r="G121" i="2"/>
  <c r="G182" i="2"/>
  <c r="G394" i="2"/>
  <c r="G138" i="2"/>
  <c r="G801" i="2"/>
  <c r="G380" i="2"/>
  <c r="G440" i="2"/>
  <c r="G405" i="2"/>
  <c r="G735" i="2"/>
  <c r="G358" i="2"/>
  <c r="G253" i="2"/>
  <c r="G740" i="2"/>
  <c r="G854" i="2"/>
  <c r="G71" i="2"/>
  <c r="G409" i="2"/>
  <c r="G297" i="2"/>
  <c r="G428" i="2"/>
  <c r="G638" i="2"/>
  <c r="G476" i="2"/>
  <c r="G321" i="2"/>
  <c r="G353" i="2"/>
  <c r="G572" i="2"/>
  <c r="G858" i="2"/>
  <c r="G400" i="2"/>
  <c r="G451" i="2"/>
  <c r="G520" i="2"/>
  <c r="G977" i="2"/>
  <c r="G129" i="2"/>
  <c r="G421" i="2"/>
  <c r="G274" i="2"/>
  <c r="G233" i="2"/>
  <c r="G203" i="2"/>
  <c r="G667" i="2"/>
  <c r="G992" i="2"/>
  <c r="G377" i="2"/>
  <c r="G513" i="2"/>
  <c r="G885" i="2"/>
  <c r="G641" i="2"/>
  <c r="G94" i="2"/>
  <c r="G340" i="2"/>
  <c r="G281" i="2"/>
  <c r="G462" i="2"/>
  <c r="G269" i="2"/>
  <c r="G908" i="2"/>
  <c r="G753" i="2"/>
  <c r="G538" i="2"/>
  <c r="G903" i="2"/>
  <c r="G800" i="2"/>
  <c r="G767" i="2"/>
  <c r="G178" i="2"/>
  <c r="G701" i="2"/>
  <c r="G558" i="2"/>
  <c r="G32" i="2"/>
  <c r="G569" i="2"/>
  <c r="G64" i="2"/>
  <c r="G248" i="2"/>
  <c r="G982" i="2"/>
  <c r="G35" i="2"/>
  <c r="G20" i="2"/>
  <c r="G58" i="2"/>
  <c r="G500" i="2"/>
  <c r="G259" i="2"/>
  <c r="G10" i="2"/>
  <c r="G188" i="2"/>
  <c r="G560" i="2"/>
  <c r="G56" i="2"/>
  <c r="G348" i="2"/>
  <c r="G806" i="2"/>
  <c r="G696" i="2"/>
  <c r="G894" i="2"/>
  <c r="G474" i="2"/>
  <c r="G554" i="2"/>
  <c r="G952" i="2"/>
  <c r="G230" i="2"/>
  <c r="G410" i="2"/>
  <c r="G834" i="2"/>
  <c r="G789" i="2"/>
  <c r="G103" i="2"/>
  <c r="G425" i="2"/>
  <c r="G678" i="2"/>
  <c r="G912" i="2"/>
  <c r="G300" i="2"/>
  <c r="G363" i="2"/>
  <c r="G587" i="2"/>
  <c r="G603" i="2"/>
  <c r="G578" i="2"/>
  <c r="G943" i="2"/>
  <c r="G745" i="2"/>
  <c r="G791" i="2"/>
  <c r="G424" i="2"/>
  <c r="G22" i="2"/>
  <c r="G940" i="2"/>
  <c r="G198" i="2"/>
  <c r="G165" i="2"/>
  <c r="G755" i="2"/>
  <c r="G786" i="2"/>
  <c r="G442" i="2"/>
  <c r="G175" i="2"/>
  <c r="G818" i="2"/>
  <c r="G445" i="2"/>
  <c r="G787" i="2"/>
  <c r="G499" i="2"/>
  <c r="G910" i="2"/>
  <c r="G220" i="2"/>
  <c r="G717" i="2"/>
  <c r="G939" i="2"/>
  <c r="G920" i="2"/>
  <c r="G347" i="2"/>
  <c r="G999" i="2"/>
  <c r="G727" i="2"/>
  <c r="G757" i="2"/>
  <c r="G631" i="2"/>
  <c r="G447" i="2"/>
  <c r="G196" i="2"/>
  <c r="G286" i="2"/>
  <c r="G980" i="2"/>
  <c r="G713" i="2"/>
  <c r="G804" i="2"/>
  <c r="G628" i="2"/>
  <c r="G635" i="2"/>
  <c r="G37" i="2"/>
  <c r="G201" i="2"/>
  <c r="G546" i="2"/>
  <c r="G453" i="2"/>
  <c r="G974" i="2"/>
  <c r="G369" i="2"/>
  <c r="G896" i="2"/>
  <c r="G783" i="2"/>
  <c r="G515" i="2"/>
  <c r="G730" i="2"/>
  <c r="G746" i="2"/>
  <c r="G127" i="2"/>
  <c r="G489" i="2"/>
  <c r="G393" i="2"/>
  <c r="G443" i="2"/>
  <c r="G350" i="2"/>
  <c r="G466" i="2"/>
  <c r="G836" i="2"/>
  <c r="G901" i="2"/>
  <c r="G742" i="2"/>
  <c r="G506" i="2"/>
  <c r="G875" i="2"/>
  <c r="G906" i="2"/>
  <c r="G114" i="2"/>
  <c r="G619" i="2"/>
  <c r="G386" i="2"/>
  <c r="G844" i="2"/>
  <c r="G84" i="2"/>
  <c r="G847" i="2"/>
  <c r="G33" i="2"/>
  <c r="G849" i="2"/>
  <c r="G376" i="2"/>
  <c r="G577" i="2"/>
  <c r="G276" i="2"/>
  <c r="G355" i="2"/>
  <c r="G487" i="2"/>
  <c r="G593" i="2"/>
  <c r="G41" i="2"/>
  <c r="G313" i="2"/>
  <c r="G571" i="2"/>
  <c r="G326" i="2"/>
  <c r="G945" i="2"/>
  <c r="G304" i="2"/>
  <c r="G964" i="2"/>
  <c r="G79" i="2"/>
  <c r="G330" i="2"/>
  <c r="G417" i="2"/>
  <c r="G987" i="2"/>
  <c r="G334" i="2"/>
  <c r="G548" i="2"/>
  <c r="G290" i="2"/>
  <c r="G602" i="2"/>
  <c r="G384" i="2"/>
  <c r="G592" i="2"/>
  <c r="G961" i="2"/>
  <c r="G756" i="2"/>
  <c r="G357" i="2"/>
  <c r="G677" i="2"/>
  <c r="G636" i="2"/>
  <c r="G40" i="2"/>
  <c r="G157" i="2"/>
  <c r="G225" i="2"/>
  <c r="G311" i="2"/>
  <c r="G897" i="2"/>
  <c r="G143" i="2"/>
  <c r="G34" i="2"/>
  <c r="G152" i="2"/>
  <c r="G935" i="2"/>
  <c r="G655" i="2"/>
  <c r="G481" i="2"/>
  <c r="G429" i="2"/>
  <c r="G664" i="2"/>
  <c r="G123" i="2"/>
  <c r="G909" i="2"/>
  <c r="G857" i="2"/>
  <c r="G942" i="2"/>
  <c r="G337" i="2"/>
  <c r="G404" i="2"/>
  <c r="G732" i="2"/>
  <c r="G183" i="2"/>
  <c r="G933" i="2"/>
  <c r="G262" i="2"/>
  <c r="G637" i="2"/>
  <c r="G283" i="2"/>
  <c r="G788" i="2"/>
  <c r="G959" i="2"/>
  <c r="W2" i="3"/>
  <c r="Z2" i="3"/>
  <c r="AA2" i="3"/>
  <c r="W3" i="3"/>
  <c r="Y3" i="3"/>
  <c r="Z3" i="3"/>
  <c r="AA3" i="3"/>
  <c r="W4" i="3"/>
  <c r="Y4" i="3"/>
  <c r="Z4" i="3"/>
  <c r="AA4" i="3"/>
  <c r="W5" i="3"/>
  <c r="Y5" i="3"/>
  <c r="Z5" i="3"/>
  <c r="AA5" i="3"/>
  <c r="W6" i="3"/>
  <c r="Y6" i="3"/>
  <c r="Z6" i="3"/>
  <c r="AA6" i="3"/>
  <c r="W7" i="3"/>
  <c r="Y7" i="3"/>
  <c r="Z7" i="3"/>
  <c r="AA7" i="3"/>
  <c r="V8" i="3"/>
  <c r="Q797" i="2"/>
  <c r="R797" i="2" s="1"/>
  <c r="Q657" i="2"/>
  <c r="R657" i="2" s="1"/>
  <c r="Q581" i="2"/>
  <c r="R581" i="2" s="1"/>
  <c r="Q316" i="2"/>
  <c r="R316" i="2" s="1"/>
  <c r="Q396" i="2"/>
  <c r="R396" i="2" s="1"/>
  <c r="Q698" i="2"/>
  <c r="R698" i="2" s="1"/>
  <c r="Q18" i="2"/>
  <c r="R18" i="2" s="1"/>
  <c r="Q629" i="2"/>
  <c r="R629" i="2" s="1"/>
  <c r="Q51" i="2"/>
  <c r="R51" i="2" s="1"/>
  <c r="Q873" i="2"/>
  <c r="R873" i="2" s="1"/>
  <c r="Q575" i="2"/>
  <c r="R575" i="2" s="1"/>
  <c r="Q774" i="2"/>
  <c r="R774" i="2" s="1"/>
  <c r="Q976" i="2"/>
  <c r="R976" i="2" s="1"/>
  <c r="Q891" i="2"/>
  <c r="R891" i="2" s="1"/>
  <c r="Q463" i="2"/>
  <c r="R463" i="2" s="1"/>
  <c r="Q116" i="2"/>
  <c r="R116" i="2" s="1"/>
  <c r="Q66" i="2"/>
  <c r="R66" i="2" s="1"/>
  <c r="Q705" i="2"/>
  <c r="R705" i="2" s="1"/>
  <c r="Q93" i="2"/>
  <c r="R93" i="2" s="1"/>
  <c r="Q275" i="2"/>
  <c r="R275" i="2" s="1"/>
  <c r="Q990" i="2"/>
  <c r="R990" i="2" s="1"/>
  <c r="Q243" i="2"/>
  <c r="R243" i="2" s="1"/>
  <c r="Q454" i="2"/>
  <c r="R454" i="2" s="1"/>
  <c r="Q214" i="2"/>
  <c r="R214" i="2" s="1"/>
  <c r="Q738" i="2"/>
  <c r="R738" i="2" s="1"/>
  <c r="Q208" i="2"/>
  <c r="R208" i="2" s="1"/>
  <c r="Q55" i="2"/>
  <c r="R55" i="2" s="1"/>
  <c r="Q567" i="2"/>
  <c r="R567" i="2" s="1"/>
  <c r="Q829" i="2"/>
  <c r="R829" i="2" s="1"/>
  <c r="Q252" i="2"/>
  <c r="R252" i="2" s="1"/>
  <c r="Q469" i="2"/>
  <c r="R469" i="2" s="1"/>
  <c r="Q900" i="2"/>
  <c r="R900" i="2" s="1"/>
  <c r="Q190" i="2"/>
  <c r="R190" i="2" s="1"/>
  <c r="Q510" i="2"/>
  <c r="R510" i="2" s="1"/>
  <c r="Q749" i="2"/>
  <c r="R749" i="2" s="1"/>
  <c r="Q147" i="2"/>
  <c r="R147" i="2" s="1"/>
  <c r="Q234" i="2"/>
  <c r="R234" i="2" s="1"/>
  <c r="Q773" i="2"/>
  <c r="R773" i="2" s="1"/>
  <c r="Q8" i="2"/>
  <c r="R8" i="2" s="1"/>
  <c r="Q913" i="2"/>
  <c r="R913" i="2" s="1"/>
  <c r="Q211" i="2"/>
  <c r="R211" i="2" s="1"/>
  <c r="Q475" i="2"/>
  <c r="R475" i="2" s="1"/>
  <c r="Q29" i="2"/>
  <c r="R29" i="2" s="1"/>
  <c r="Q4" i="2"/>
  <c r="R4" i="2" s="1"/>
  <c r="Q14" i="2"/>
  <c r="R14" i="2" s="1"/>
  <c r="Q679" i="2"/>
  <c r="R679" i="2" s="1"/>
  <c r="Q607" i="2"/>
  <c r="R607" i="2" s="1"/>
  <c r="Q815" i="2"/>
  <c r="R815" i="2" s="1"/>
  <c r="Q149" i="2"/>
  <c r="R149" i="2" s="1"/>
  <c r="Q39" i="2"/>
  <c r="R39" i="2" s="1"/>
  <c r="Q108" i="2"/>
  <c r="R108" i="2" s="1"/>
  <c r="Q310" i="2"/>
  <c r="R310" i="2" s="1"/>
  <c r="Q194" i="2"/>
  <c r="R194" i="2" s="1"/>
  <c r="Q102" i="2"/>
  <c r="R102" i="2" s="1"/>
  <c r="Q969" i="2"/>
  <c r="R969" i="2" s="1"/>
  <c r="Q570" i="2"/>
  <c r="R570" i="2" s="1"/>
  <c r="Q895" i="2"/>
  <c r="R895" i="2" s="1"/>
  <c r="Q401" i="2"/>
  <c r="R401" i="2" s="1"/>
  <c r="Q594" i="2"/>
  <c r="R594" i="2" s="1"/>
  <c r="Q446" i="2"/>
  <c r="R446" i="2" s="1"/>
  <c r="Q406" i="2"/>
  <c r="R406" i="2" s="1"/>
  <c r="Q412" i="2"/>
  <c r="R412" i="2" s="1"/>
  <c r="Q566" i="2"/>
  <c r="R566" i="2" s="1"/>
  <c r="Q155" i="2"/>
  <c r="R155" i="2" s="1"/>
  <c r="Q616" i="2"/>
  <c r="R616" i="2" s="1"/>
  <c r="Q303" i="2"/>
  <c r="R303" i="2" s="1"/>
  <c r="Q754" i="2"/>
  <c r="R754" i="2" s="1"/>
  <c r="Q497" i="2"/>
  <c r="R497" i="2" s="1"/>
  <c r="Q287" i="2"/>
  <c r="R287" i="2" s="1"/>
  <c r="Q87" i="2"/>
  <c r="R87" i="2" s="1"/>
  <c r="Q215" i="2"/>
  <c r="R215" i="2" s="1"/>
  <c r="Q492" i="2"/>
  <c r="R492" i="2" s="1"/>
  <c r="Q122" i="2"/>
  <c r="R122" i="2" s="1"/>
  <c r="Q764" i="2"/>
  <c r="R764" i="2" s="1"/>
  <c r="Q219" i="2"/>
  <c r="R219" i="2" s="1"/>
  <c r="Q265" i="2"/>
  <c r="R265" i="2" s="1"/>
  <c r="Q922" i="2"/>
  <c r="R922" i="2" s="1"/>
  <c r="Q166" i="2"/>
  <c r="R166" i="2" s="1"/>
  <c r="Q733" i="2"/>
  <c r="R733" i="2" s="1"/>
  <c r="Q260" i="2"/>
  <c r="R260" i="2" s="1"/>
  <c r="Q112" i="2"/>
  <c r="R112" i="2" s="1"/>
  <c r="Q693" i="2"/>
  <c r="R693" i="2" s="1"/>
  <c r="Q507" i="2"/>
  <c r="R507" i="2" s="1"/>
  <c r="Q688" i="2"/>
  <c r="R688" i="2" s="1"/>
  <c r="Q778" i="2"/>
  <c r="R778" i="2" s="1"/>
  <c r="Q11" i="2"/>
  <c r="R11" i="2" s="1"/>
  <c r="Q962" i="2"/>
  <c r="R962" i="2" s="1"/>
  <c r="Q700" i="2"/>
  <c r="R700" i="2" s="1"/>
  <c r="Q85" i="2"/>
  <c r="R85" i="2" s="1"/>
  <c r="Q798" i="2"/>
  <c r="R798" i="2" s="1"/>
  <c r="Q199" i="2"/>
  <c r="R199" i="2" s="1"/>
  <c r="Q344" i="2"/>
  <c r="R344" i="2" s="1"/>
  <c r="Q137" i="2"/>
  <c r="R137" i="2" s="1"/>
  <c r="Q135" i="2"/>
  <c r="R135" i="2" s="1"/>
  <c r="Q413" i="2"/>
  <c r="R413" i="2" s="1"/>
  <c r="Q156" i="2"/>
  <c r="R156" i="2" s="1"/>
  <c r="Q236" i="2"/>
  <c r="R236" i="2" s="1"/>
  <c r="Q419" i="2"/>
  <c r="R419" i="2" s="1"/>
  <c r="Q658" i="2"/>
  <c r="R658" i="2" s="1"/>
  <c r="Q526" i="2"/>
  <c r="R526" i="2" s="1"/>
  <c r="Q280" i="2"/>
  <c r="R280" i="2" s="1"/>
  <c r="Q88" i="2"/>
  <c r="R88" i="2" s="1"/>
  <c r="Q213" i="2"/>
  <c r="R213" i="2" s="1"/>
  <c r="Q936" i="2"/>
  <c r="R936" i="2" s="1"/>
  <c r="Q550" i="2"/>
  <c r="R550" i="2" s="1"/>
  <c r="Q111" i="2"/>
  <c r="R111" i="2" s="1"/>
  <c r="Q5" i="2"/>
  <c r="R5" i="2" s="1"/>
  <c r="Q255" i="2"/>
  <c r="R255" i="2" s="1"/>
  <c r="Q785" i="2"/>
  <c r="R785" i="2" s="1"/>
  <c r="Q186" i="2"/>
  <c r="R186" i="2" s="1"/>
  <c r="Q551" i="2"/>
  <c r="R551" i="2" s="1"/>
  <c r="Q851" i="2"/>
  <c r="R851" i="2" s="1"/>
  <c r="Q819" i="2"/>
  <c r="R819" i="2" s="1"/>
  <c r="Q633" i="2"/>
  <c r="R633" i="2" s="1"/>
  <c r="Q784" i="2"/>
  <c r="R784" i="2" s="1"/>
  <c r="Q706" i="2"/>
  <c r="R706" i="2" s="1"/>
  <c r="Q807" i="2"/>
  <c r="R807" i="2" s="1"/>
  <c r="Q718" i="2"/>
  <c r="R718" i="2" s="1"/>
  <c r="Q589" i="2"/>
  <c r="R589" i="2" s="1"/>
  <c r="Q947" i="2"/>
  <c r="R947" i="2" s="1"/>
  <c r="Q117" i="2"/>
  <c r="R117" i="2" s="1"/>
  <c r="Q765" i="2"/>
  <c r="R765" i="2" s="1"/>
  <c r="Q415" i="2"/>
  <c r="R415" i="2" s="1"/>
  <c r="Q361" i="2"/>
  <c r="R361" i="2" s="1"/>
  <c r="Q681" i="2"/>
  <c r="R681" i="2" s="1"/>
  <c r="Q250" i="2"/>
  <c r="R250" i="2" s="1"/>
  <c r="Q329" i="2"/>
  <c r="R329" i="2" s="1"/>
  <c r="Q972" i="2"/>
  <c r="R972" i="2" s="1"/>
  <c r="Q670" i="2"/>
  <c r="R670" i="2" s="1"/>
  <c r="Q314" i="2"/>
  <c r="R314" i="2" s="1"/>
  <c r="Q174" i="2"/>
  <c r="R174" i="2" s="1"/>
  <c r="Q333" i="2"/>
  <c r="R333" i="2" s="1"/>
  <c r="Q907" i="2"/>
  <c r="R907" i="2" s="1"/>
  <c r="Q699" i="2"/>
  <c r="R699" i="2" s="1"/>
  <c r="Q929" i="2"/>
  <c r="R929" i="2" s="1"/>
  <c r="Q752" i="2"/>
  <c r="R752" i="2" s="1"/>
  <c r="Q141" i="2"/>
  <c r="R141" i="2" s="1"/>
  <c r="Q544" i="2"/>
  <c r="R544" i="2" s="1"/>
  <c r="Q284" i="2"/>
  <c r="R284" i="2" s="1"/>
  <c r="Q960" i="2"/>
  <c r="R960" i="2" s="1"/>
  <c r="Q210" i="2"/>
  <c r="R210" i="2" s="1"/>
  <c r="Q926" i="2"/>
  <c r="R926" i="2" s="1"/>
  <c r="Q823" i="2"/>
  <c r="R823" i="2" s="1"/>
  <c r="Q298" i="2"/>
  <c r="R298" i="2" s="1"/>
  <c r="Q197" i="2"/>
  <c r="R197" i="2" s="1"/>
  <c r="Q832" i="2"/>
  <c r="R832" i="2" s="1"/>
  <c r="Q843" i="2"/>
  <c r="R843" i="2" s="1"/>
  <c r="Q232" i="2"/>
  <c r="R232" i="2" s="1"/>
  <c r="Q26" i="2"/>
  <c r="R26" i="2" s="1"/>
  <c r="Q3" i="2"/>
  <c r="R3" i="2" s="1"/>
  <c r="Q21" i="2"/>
  <c r="R21" i="2" s="1"/>
  <c r="Q879" i="2"/>
  <c r="R879" i="2" s="1"/>
  <c r="Q372" i="2"/>
  <c r="R372" i="2" s="1"/>
  <c r="Q923" i="2"/>
  <c r="R923" i="2" s="1"/>
  <c r="Q691" i="2"/>
  <c r="R691" i="2" s="1"/>
  <c r="Q315" i="2"/>
  <c r="R315" i="2" s="1"/>
  <c r="Q185" i="2"/>
  <c r="R185" i="2" s="1"/>
  <c r="Q533" i="2"/>
  <c r="R533" i="2" s="1"/>
  <c r="Q195" i="2"/>
  <c r="R195" i="2" s="1"/>
  <c r="Q452" i="2"/>
  <c r="R452" i="2" s="1"/>
  <c r="Q296" i="2"/>
  <c r="R296" i="2" s="1"/>
  <c r="Q338" i="2"/>
  <c r="R338" i="2" s="1"/>
  <c r="Q31" i="2"/>
  <c r="R31" i="2" s="1"/>
  <c r="Q563" i="2"/>
  <c r="R563" i="2" s="1"/>
  <c r="Q414" i="2"/>
  <c r="R414" i="2" s="1"/>
  <c r="Q973" i="2"/>
  <c r="R973" i="2" s="1"/>
  <c r="Q505" i="2"/>
  <c r="R505" i="2" s="1"/>
  <c r="Q888" i="2"/>
  <c r="R888" i="2" s="1"/>
  <c r="Q848" i="2"/>
  <c r="R848" i="2" s="1"/>
  <c r="Q151" i="2"/>
  <c r="R151" i="2" s="1"/>
  <c r="Q719" i="2"/>
  <c r="R719" i="2" s="1"/>
  <c r="Q568" i="2"/>
  <c r="R568" i="2" s="1"/>
  <c r="Q729" i="2"/>
  <c r="R729" i="2" s="1"/>
  <c r="Q140" i="2"/>
  <c r="R140" i="2" s="1"/>
  <c r="Q458" i="2"/>
  <c r="R458" i="2" s="1"/>
  <c r="Q826" i="2"/>
  <c r="R826" i="2" s="1"/>
  <c r="Q6" i="2"/>
  <c r="R6" i="2" s="1"/>
  <c r="Q978" i="2"/>
  <c r="R978" i="2" s="1"/>
  <c r="Q435" i="2"/>
  <c r="R435" i="2" s="1"/>
  <c r="Q769" i="2"/>
  <c r="R769" i="2" s="1"/>
  <c r="Q624" i="2"/>
  <c r="R624" i="2" s="1"/>
  <c r="Q988" i="2"/>
  <c r="R988" i="2" s="1"/>
  <c r="Q762" i="2"/>
  <c r="R762" i="2" s="1"/>
  <c r="Q545" i="2"/>
  <c r="R545" i="2" s="1"/>
  <c r="Q937" i="2"/>
  <c r="R937" i="2" s="1"/>
  <c r="Q821" i="2"/>
  <c r="R821" i="2" s="1"/>
  <c r="Q272" i="2"/>
  <c r="R272" i="2" s="1"/>
  <c r="Q62" i="2"/>
  <c r="R62" i="2" s="1"/>
  <c r="Q979" i="2"/>
  <c r="R979" i="2" s="1"/>
  <c r="Q118" i="2"/>
  <c r="R118" i="2" s="1"/>
  <c r="Q216" i="2"/>
  <c r="R216" i="2" s="1"/>
  <c r="Q322" i="2"/>
  <c r="R322" i="2" s="1"/>
  <c r="Q229" i="2"/>
  <c r="R229" i="2" s="1"/>
  <c r="Q989" i="2"/>
  <c r="R989" i="2" s="1"/>
  <c r="Q884" i="2"/>
  <c r="R884" i="2" s="1"/>
  <c r="Q328" i="2"/>
  <c r="R328" i="2" s="1"/>
  <c r="Q958" i="2"/>
  <c r="R958" i="2" s="1"/>
  <c r="Q383" i="2"/>
  <c r="R383" i="2" s="1"/>
  <c r="Q724" i="2"/>
  <c r="R724" i="2" s="1"/>
  <c r="Q694" i="2"/>
  <c r="R694" i="2" s="1"/>
  <c r="Q432" i="2"/>
  <c r="R432" i="2" s="1"/>
  <c r="Q781" i="2"/>
  <c r="R781" i="2" s="1"/>
  <c r="Q892" i="2"/>
  <c r="R892" i="2" s="1"/>
  <c r="Q293" i="2"/>
  <c r="R293" i="2" s="1"/>
  <c r="Q171" i="2"/>
  <c r="R171" i="2" s="1"/>
  <c r="Q124" i="2"/>
  <c r="R124" i="2" s="1"/>
  <c r="Q491" i="2"/>
  <c r="R491" i="2" s="1"/>
  <c r="Q758" i="2"/>
  <c r="R758" i="2" s="1"/>
  <c r="Q983" i="2"/>
  <c r="R983" i="2" s="1"/>
  <c r="Q956" i="2"/>
  <c r="R956" i="2" s="1"/>
  <c r="Q398" i="2"/>
  <c r="R398" i="2" s="1"/>
  <c r="Q971" i="2"/>
  <c r="R971" i="2" s="1"/>
  <c r="Q101" i="2"/>
  <c r="R101" i="2" s="1"/>
  <c r="Q649" i="2"/>
  <c r="R649" i="2" s="1"/>
  <c r="Q268" i="2"/>
  <c r="R268" i="2" s="1"/>
  <c r="Q722" i="2"/>
  <c r="R722" i="2" s="1"/>
  <c r="Q86" i="2"/>
  <c r="R86" i="2" s="1"/>
  <c r="Q479" i="2"/>
  <c r="R479" i="2" s="1"/>
  <c r="Q501" i="2"/>
  <c r="R501" i="2" s="1"/>
  <c r="Q238" i="2"/>
  <c r="R238" i="2" s="1"/>
  <c r="Q1000" i="2"/>
  <c r="R1000" i="2" s="1"/>
  <c r="Q643" i="2"/>
  <c r="R643" i="2" s="1"/>
  <c r="Q158" i="2"/>
  <c r="R158" i="2" s="1"/>
  <c r="Q650" i="2"/>
  <c r="R650" i="2" s="1"/>
  <c r="Q221" i="2"/>
  <c r="R221" i="2" s="1"/>
  <c r="Q483" i="2"/>
  <c r="R483" i="2" s="1"/>
  <c r="Q562" i="2"/>
  <c r="R562" i="2" s="1"/>
  <c r="Q437" i="2"/>
  <c r="R437" i="2" s="1"/>
  <c r="Q621" i="2"/>
  <c r="R621" i="2" s="1"/>
  <c r="Q444" i="2"/>
  <c r="R444" i="2" s="1"/>
  <c r="Q113" i="2"/>
  <c r="R113" i="2" s="1"/>
  <c r="Q792" i="2"/>
  <c r="R792" i="2" s="1"/>
  <c r="Q191" i="2"/>
  <c r="R191" i="2" s="1"/>
  <c r="Q918" i="2"/>
  <c r="R918" i="2" s="1"/>
  <c r="Q517" i="2"/>
  <c r="R517" i="2" s="1"/>
  <c r="Q217" i="2"/>
  <c r="R217" i="2" s="1"/>
  <c r="Q707" i="2"/>
  <c r="R707" i="2" s="1"/>
  <c r="Q256" i="2"/>
  <c r="R256" i="2" s="1"/>
  <c r="Q493" i="2"/>
  <c r="R493" i="2" s="1"/>
  <c r="Q179" i="2"/>
  <c r="R179" i="2" s="1"/>
  <c r="Q852" i="2"/>
  <c r="R852" i="2" s="1"/>
  <c r="Q524" i="2"/>
  <c r="R524" i="2" s="1"/>
  <c r="Q67" i="2"/>
  <c r="R67" i="2" s="1"/>
  <c r="Q521" i="2"/>
  <c r="R521" i="2" s="1"/>
  <c r="Q585" i="2"/>
  <c r="R585" i="2" s="1"/>
  <c r="Q842" i="2"/>
  <c r="R842" i="2" s="1"/>
  <c r="Q599" i="2"/>
  <c r="R599" i="2" s="1"/>
  <c r="Q99" i="2"/>
  <c r="R99" i="2" s="1"/>
  <c r="Q441" i="2"/>
  <c r="R441" i="2" s="1"/>
  <c r="Q365" i="2"/>
  <c r="R365" i="2" s="1"/>
  <c r="Q455" i="2"/>
  <c r="R455" i="2" s="1"/>
  <c r="Q371" i="2"/>
  <c r="R371" i="2" s="1"/>
  <c r="Q683" i="2"/>
  <c r="R683" i="2" s="1"/>
  <c r="Q162" i="2"/>
  <c r="R162" i="2" s="1"/>
  <c r="Q449" i="2"/>
  <c r="R449" i="2" s="1"/>
  <c r="Q530" i="2"/>
  <c r="R530" i="2" s="1"/>
  <c r="Q251" i="2"/>
  <c r="R251" i="2" s="1"/>
  <c r="Q23" i="2"/>
  <c r="R23" i="2" s="1"/>
  <c r="Q661" i="2"/>
  <c r="R661" i="2" s="1"/>
  <c r="Q617" i="2"/>
  <c r="R617" i="2" s="1"/>
  <c r="Q48" i="2"/>
  <c r="R48" i="2" s="1"/>
  <c r="Q673" i="2"/>
  <c r="R673" i="2" s="1"/>
  <c r="Q504" i="2"/>
  <c r="R504" i="2" s="1"/>
  <c r="Q642" i="2"/>
  <c r="R642" i="2" s="1"/>
  <c r="Q327" i="2"/>
  <c r="R327" i="2" s="1"/>
  <c r="Q318" i="2"/>
  <c r="R318" i="2" s="1"/>
  <c r="Q739" i="2"/>
  <c r="R739" i="2" s="1"/>
  <c r="Q81" i="2"/>
  <c r="R81" i="2" s="1"/>
  <c r="Q19" i="2"/>
  <c r="R19" i="2" s="1"/>
  <c r="Q17" i="2"/>
  <c r="R17" i="2" s="1"/>
  <c r="Q995" i="2"/>
  <c r="R995" i="2" s="1"/>
  <c r="Q609" i="2"/>
  <c r="R609" i="2" s="1"/>
  <c r="Q95" i="2"/>
  <c r="R95" i="2" s="1"/>
  <c r="Q878" i="2"/>
  <c r="R878" i="2" s="1"/>
  <c r="Q436" i="2"/>
  <c r="R436" i="2" s="1"/>
  <c r="Q370" i="2"/>
  <c r="R370" i="2" s="1"/>
  <c r="Q381" i="2"/>
  <c r="R381" i="2" s="1"/>
  <c r="Q83" i="2"/>
  <c r="R83" i="2" s="1"/>
  <c r="Q915" i="2"/>
  <c r="R915" i="2" s="1"/>
  <c r="Q299" i="2"/>
  <c r="R299" i="2" s="1"/>
  <c r="Q916" i="2"/>
  <c r="R916" i="2" s="1"/>
  <c r="Q772" i="2"/>
  <c r="R772" i="2" s="1"/>
  <c r="Q775" i="2"/>
  <c r="R775" i="2" s="1"/>
  <c r="Q734" i="2"/>
  <c r="R734" i="2" s="1"/>
  <c r="Q115" i="2"/>
  <c r="R115" i="2" s="1"/>
  <c r="Q360" i="2"/>
  <c r="R360" i="2" s="1"/>
  <c r="Q473" i="2"/>
  <c r="R473" i="2" s="1"/>
  <c r="Q654" i="2"/>
  <c r="R654" i="2" s="1"/>
  <c r="Q519" i="2"/>
  <c r="R519" i="2" s="1"/>
  <c r="Q555" i="2"/>
  <c r="R555" i="2" s="1"/>
  <c r="Q872" i="2"/>
  <c r="R872" i="2" s="1"/>
  <c r="Q680" i="2"/>
  <c r="R680" i="2" s="1"/>
  <c r="Q634" i="2"/>
  <c r="R634" i="2" s="1"/>
  <c r="Q332" i="2"/>
  <c r="R332" i="2" s="1"/>
  <c r="Q279" i="2"/>
  <c r="R279" i="2" s="1"/>
  <c r="Q747" i="2"/>
  <c r="R747" i="2" s="1"/>
  <c r="Q438" i="2"/>
  <c r="R438" i="2" s="1"/>
  <c r="Q490" i="2"/>
  <c r="R490" i="2" s="1"/>
  <c r="Q776" i="2"/>
  <c r="R776" i="2" s="1"/>
  <c r="Q965" i="2"/>
  <c r="R965" i="2" s="1"/>
  <c r="Q100" i="2"/>
  <c r="R100" i="2" s="1"/>
  <c r="Q218" i="2"/>
  <c r="R218" i="2" s="1"/>
  <c r="Q411" i="2"/>
  <c r="R411" i="2" s="1"/>
  <c r="Q70" i="2"/>
  <c r="R70" i="2" s="1"/>
  <c r="Q576" i="2"/>
  <c r="R576" i="2" s="1"/>
  <c r="Q9" i="2"/>
  <c r="R9" i="2" s="1"/>
  <c r="Q339" i="2"/>
  <c r="R339" i="2" s="1"/>
  <c r="Q748" i="2"/>
  <c r="R748" i="2" s="1"/>
  <c r="Q833" i="2"/>
  <c r="R833" i="2" s="1"/>
  <c r="Q623" i="2"/>
  <c r="R623" i="2" s="1"/>
  <c r="Q612" i="2"/>
  <c r="R612" i="2" s="1"/>
  <c r="Q448" i="2"/>
  <c r="R448" i="2" s="1"/>
  <c r="Q312" i="2"/>
  <c r="R312" i="2" s="1"/>
  <c r="Q970" i="2"/>
  <c r="R970" i="2" s="1"/>
  <c r="Q98" i="2"/>
  <c r="R98" i="2" s="1"/>
  <c r="Q89" i="2"/>
  <c r="R89" i="2" s="1"/>
  <c r="Q509" i="2"/>
  <c r="R509" i="2" s="1"/>
  <c r="Q932" i="2"/>
  <c r="R932" i="2" s="1"/>
  <c r="Q144" i="2"/>
  <c r="R144" i="2" s="1"/>
  <c r="Q356" i="2"/>
  <c r="R356" i="2" s="1"/>
  <c r="Q49" i="2"/>
  <c r="R49" i="2" s="1"/>
  <c r="Q184" i="2"/>
  <c r="R184" i="2" s="1"/>
  <c r="Q921" i="2"/>
  <c r="R921" i="2" s="1"/>
  <c r="Q824" i="2"/>
  <c r="R824" i="2" s="1"/>
  <c r="Q809" i="2"/>
  <c r="R809" i="2" s="1"/>
  <c r="Q553" i="2"/>
  <c r="R553" i="2" s="1"/>
  <c r="Q306" i="2"/>
  <c r="R306" i="2" s="1"/>
  <c r="Q464" i="2"/>
  <c r="R464" i="2" s="1"/>
  <c r="Q388" i="2"/>
  <c r="R388" i="2" s="1"/>
  <c r="Q997" i="2"/>
  <c r="R997" i="2" s="1"/>
  <c r="Q382" i="2"/>
  <c r="R382" i="2" s="1"/>
  <c r="Q535" i="2"/>
  <c r="R535" i="2" s="1"/>
  <c r="Q246" i="2"/>
  <c r="R246" i="2" s="1"/>
  <c r="Q953" i="2"/>
  <c r="R953" i="2" s="1"/>
  <c r="Q263" i="2"/>
  <c r="R263" i="2" s="1"/>
  <c r="Q373" i="2"/>
  <c r="R373" i="2" s="1"/>
  <c r="Q28" i="2"/>
  <c r="R28" i="2" s="1"/>
  <c r="Q402" i="2"/>
  <c r="R402" i="2" s="1"/>
  <c r="Q595" i="2"/>
  <c r="R595" i="2" s="1"/>
  <c r="Q270" i="2"/>
  <c r="R270" i="2" s="1"/>
  <c r="Q427" i="2"/>
  <c r="R427" i="2" s="1"/>
  <c r="Q828" i="2"/>
  <c r="R828" i="2" s="1"/>
  <c r="Q860" i="2"/>
  <c r="R860" i="2" s="1"/>
  <c r="Q511" i="2"/>
  <c r="R511" i="2" s="1"/>
  <c r="Q374" i="2"/>
  <c r="R374" i="2" s="1"/>
  <c r="Q150" i="2"/>
  <c r="R150" i="2" s="1"/>
  <c r="Q899" i="2"/>
  <c r="R899" i="2" s="1"/>
  <c r="Q109" i="2"/>
  <c r="R109" i="2" s="1"/>
  <c r="Q771" i="2"/>
  <c r="R771" i="2" s="1"/>
  <c r="Q689" i="2"/>
  <c r="R689" i="2" s="1"/>
  <c r="Q615" i="2"/>
  <c r="R615" i="2" s="1"/>
  <c r="Q226" i="2"/>
  <c r="R226" i="2" s="1"/>
  <c r="Q686" i="2"/>
  <c r="R686" i="2" s="1"/>
  <c r="Q675" i="2"/>
  <c r="R675" i="2" s="1"/>
  <c r="Q665" i="2"/>
  <c r="R665" i="2" s="1"/>
  <c r="Q163" i="2"/>
  <c r="R163" i="2" s="1"/>
  <c r="Q518" i="2"/>
  <c r="R518" i="2" s="1"/>
  <c r="Q266" i="2"/>
  <c r="R266" i="2" s="1"/>
  <c r="Q331" i="2"/>
  <c r="R331" i="2" s="1"/>
  <c r="Q480" i="2"/>
  <c r="R480" i="2" s="1"/>
  <c r="Q855" i="2"/>
  <c r="R855" i="2" s="1"/>
  <c r="Q257" i="2"/>
  <c r="R257" i="2" s="1"/>
  <c r="Q136" i="2"/>
  <c r="R136" i="2" s="1"/>
  <c r="Q295" i="2"/>
  <c r="R295" i="2" s="1"/>
  <c r="Q76" i="2"/>
  <c r="R76" i="2" s="1"/>
  <c r="Q596" i="2"/>
  <c r="R596" i="2" s="1"/>
  <c r="Q702" i="2"/>
  <c r="R702" i="2" s="1"/>
  <c r="Q529" i="2"/>
  <c r="R529" i="2" s="1"/>
  <c r="Q614" i="2"/>
  <c r="R614" i="2" s="1"/>
  <c r="Q72" i="2"/>
  <c r="R72" i="2" s="1"/>
  <c r="Q968" i="2"/>
  <c r="R968" i="2" s="1"/>
  <c r="Q42" i="2"/>
  <c r="R42" i="2" s="1"/>
  <c r="Q63" i="2"/>
  <c r="R63" i="2" s="1"/>
  <c r="Q928" i="2"/>
  <c r="R928" i="2" s="1"/>
  <c r="Q164" i="2"/>
  <c r="R164" i="2" s="1"/>
  <c r="Q351" i="2"/>
  <c r="R351" i="2" s="1"/>
  <c r="Q672" i="2"/>
  <c r="R672" i="2" s="1"/>
  <c r="Q949" i="2"/>
  <c r="R949" i="2" s="1"/>
  <c r="Q790" i="2"/>
  <c r="R790" i="2" s="1"/>
  <c r="Q759" i="2"/>
  <c r="R759" i="2" s="1"/>
  <c r="Q750" i="2"/>
  <c r="R750" i="2" s="1"/>
  <c r="Q96" i="2"/>
  <c r="R96" i="2" s="1"/>
  <c r="Q919" i="2"/>
  <c r="R919" i="2" s="1"/>
  <c r="Q309" i="2"/>
  <c r="R309" i="2" s="1"/>
  <c r="Q687" i="2"/>
  <c r="R687" i="2" s="1"/>
  <c r="Q434" i="2"/>
  <c r="R434" i="2" s="1"/>
  <c r="Q905" i="2"/>
  <c r="R905" i="2" s="1"/>
  <c r="Q598" i="2"/>
  <c r="R598" i="2" s="1"/>
  <c r="Q12" i="2"/>
  <c r="R12" i="2" s="1"/>
  <c r="Q646" i="2"/>
  <c r="R646" i="2" s="1"/>
  <c r="Q15" i="2"/>
  <c r="R15" i="2" s="1"/>
  <c r="Q207" i="2"/>
  <c r="R207" i="2" s="1"/>
  <c r="Q861" i="2"/>
  <c r="R861" i="2" s="1"/>
  <c r="Q482" i="2"/>
  <c r="R482" i="2" s="1"/>
  <c r="Q984" i="2"/>
  <c r="R984" i="2" s="1"/>
  <c r="Q168" i="2"/>
  <c r="R168" i="2" s="1"/>
  <c r="Q811" i="2"/>
  <c r="R811" i="2" s="1"/>
  <c r="Q660" i="2"/>
  <c r="R660" i="2" s="1"/>
  <c r="Q368" i="2"/>
  <c r="R368" i="2" s="1"/>
  <c r="Q244" i="2"/>
  <c r="R244" i="2" s="1"/>
  <c r="Q50" i="2"/>
  <c r="R50" i="2" s="1"/>
  <c r="Q547" i="2"/>
  <c r="R547" i="2" s="1"/>
  <c r="Q814" i="2"/>
  <c r="R814" i="2" s="1"/>
  <c r="Q579" i="2"/>
  <c r="R579" i="2" s="1"/>
  <c r="Q648" i="2"/>
  <c r="R648" i="2" s="1"/>
  <c r="Q541" i="2"/>
  <c r="R541" i="2" s="1"/>
  <c r="Q993" i="2"/>
  <c r="R993" i="2" s="1"/>
  <c r="Q532" i="2"/>
  <c r="R532" i="2" s="1"/>
  <c r="Q886" i="2"/>
  <c r="R886" i="2" s="1"/>
  <c r="Q106" i="2"/>
  <c r="R106" i="2" s="1"/>
  <c r="Q644" i="2"/>
  <c r="R644" i="2" s="1"/>
  <c r="Q107" i="2"/>
  <c r="R107" i="2" s="1"/>
  <c r="Q552" i="2"/>
  <c r="R552" i="2" s="1"/>
  <c r="Q154" i="2"/>
  <c r="R154" i="2" s="1"/>
  <c r="Q342" i="2"/>
  <c r="R342" i="2" s="1"/>
  <c r="Q433" i="2"/>
  <c r="R433" i="2" s="1"/>
  <c r="Q267" i="2"/>
  <c r="R267" i="2" s="1"/>
  <c r="Q44" i="2"/>
  <c r="R44" i="2" s="1"/>
  <c r="Q597" i="2"/>
  <c r="R597" i="2" s="1"/>
  <c r="Q523" i="2"/>
  <c r="R523" i="2" s="1"/>
  <c r="Q954" i="2"/>
  <c r="R954" i="2" s="1"/>
  <c r="Q169" i="2"/>
  <c r="R169" i="2" s="1"/>
  <c r="Q564" i="2"/>
  <c r="R564" i="2" s="1"/>
  <c r="Q426" i="2"/>
  <c r="R426" i="2" s="1"/>
  <c r="Q981" i="2"/>
  <c r="R981" i="2" s="1"/>
  <c r="Q522" i="2"/>
  <c r="R522" i="2" s="1"/>
  <c r="Q395" i="2"/>
  <c r="R395" i="2" s="1"/>
  <c r="Q580" i="2"/>
  <c r="R580" i="2" s="1"/>
  <c r="Q408" i="2"/>
  <c r="R408" i="2" s="1"/>
  <c r="Q54" i="2"/>
  <c r="R54" i="2" s="1"/>
  <c r="Q794" i="2"/>
  <c r="R794" i="2" s="1"/>
  <c r="Q822" i="2"/>
  <c r="R822" i="2" s="1"/>
  <c r="Q516" i="2"/>
  <c r="R516" i="2" s="1"/>
  <c r="Q827" i="2"/>
  <c r="R827" i="2" s="1"/>
  <c r="Q846" i="2"/>
  <c r="R846" i="2" s="1"/>
  <c r="Q904" i="2"/>
  <c r="R904" i="2" s="1"/>
  <c r="Q543" i="2"/>
  <c r="R543" i="2" s="1"/>
  <c r="Q514" i="2"/>
  <c r="R514" i="2" s="1"/>
  <c r="Q871" i="2"/>
  <c r="R871" i="2" s="1"/>
  <c r="Q708" i="2"/>
  <c r="R708" i="2" s="1"/>
  <c r="Q653" i="2"/>
  <c r="R653" i="2" s="1"/>
  <c r="Q75" i="2"/>
  <c r="R75" i="2" s="1"/>
  <c r="Q889" i="2"/>
  <c r="R889" i="2" s="1"/>
  <c r="Q187" i="2"/>
  <c r="R187" i="2" s="1"/>
  <c r="Q704" i="2"/>
  <c r="R704" i="2" s="1"/>
  <c r="Q27" i="2"/>
  <c r="R27" i="2" s="1"/>
  <c r="Q911" i="2"/>
  <c r="R911" i="2" s="1"/>
  <c r="Q985" i="2"/>
  <c r="R985" i="2" s="1"/>
  <c r="Q212" i="2"/>
  <c r="R212" i="2" s="1"/>
  <c r="Q390" i="2"/>
  <c r="R390" i="2" s="1"/>
  <c r="Q90" i="2"/>
  <c r="R90" i="2" s="1"/>
  <c r="Q777" i="2"/>
  <c r="R777" i="2" s="1"/>
  <c r="Q714" i="2"/>
  <c r="R714" i="2" s="1"/>
  <c r="Q379" i="2"/>
  <c r="R379" i="2" s="1"/>
  <c r="Q132" i="2"/>
  <c r="R132" i="2" s="1"/>
  <c r="Q841" i="2"/>
  <c r="R841" i="2" s="1"/>
  <c r="Q868" i="2"/>
  <c r="R868" i="2" s="1"/>
  <c r="Q176" i="2"/>
  <c r="R176" i="2" s="1"/>
  <c r="Q73" i="2"/>
  <c r="R73" i="2" s="1"/>
  <c r="Q273" i="2"/>
  <c r="R273" i="2" s="1"/>
  <c r="Q403" i="2"/>
  <c r="R403" i="2" s="1"/>
  <c r="Q486" i="2"/>
  <c r="R486" i="2" s="1"/>
  <c r="Q711" i="2"/>
  <c r="R711" i="2" s="1"/>
  <c r="Q994" i="2"/>
  <c r="R994" i="2" s="1"/>
  <c r="Q966" i="2"/>
  <c r="R966" i="2" s="1"/>
  <c r="Q882" i="2"/>
  <c r="R882" i="2" s="1"/>
  <c r="Q898" i="2"/>
  <c r="R898" i="2" s="1"/>
  <c r="Q656" i="2"/>
  <c r="R656" i="2" s="1"/>
  <c r="Q666" i="2"/>
  <c r="R666" i="2" s="1"/>
  <c r="Q247" i="2"/>
  <c r="R247" i="2" s="1"/>
  <c r="Q863" i="2"/>
  <c r="R863" i="2" s="1"/>
  <c r="Q200" i="2"/>
  <c r="R200" i="2" s="1"/>
  <c r="Q812" i="2"/>
  <c r="R812" i="2" s="1"/>
  <c r="Q583" i="2"/>
  <c r="R583" i="2" s="1"/>
  <c r="Q902" i="2"/>
  <c r="R902" i="2" s="1"/>
  <c r="Q917" i="2"/>
  <c r="R917" i="2" s="1"/>
  <c r="Q288" i="2"/>
  <c r="R288" i="2" s="1"/>
  <c r="Q763" i="2"/>
  <c r="R763" i="2" s="1"/>
  <c r="Q498" i="2"/>
  <c r="R498" i="2" s="1"/>
  <c r="Q741" i="2"/>
  <c r="R741" i="2" s="1"/>
  <c r="Q810" i="2"/>
  <c r="R810" i="2" s="1"/>
  <c r="Q495" i="2"/>
  <c r="R495" i="2" s="1"/>
  <c r="Q955" i="2"/>
  <c r="R955" i="2" s="1"/>
  <c r="Q160" i="2"/>
  <c r="R160" i="2" s="1"/>
  <c r="Q423" i="2"/>
  <c r="R423" i="2" s="1"/>
  <c r="Q618" i="2"/>
  <c r="R618" i="2" s="1"/>
  <c r="Q120" i="2"/>
  <c r="R120" i="2" s="1"/>
  <c r="Q716" i="2"/>
  <c r="R716" i="2" s="1"/>
  <c r="Q925" i="2"/>
  <c r="R925" i="2" s="1"/>
  <c r="Q74" i="2"/>
  <c r="R74" i="2" s="1"/>
  <c r="Q399" i="2"/>
  <c r="R399" i="2" s="1"/>
  <c r="Q525" i="2"/>
  <c r="R525" i="2" s="1"/>
  <c r="Q690" i="2"/>
  <c r="R690" i="2" s="1"/>
  <c r="Q779" i="2"/>
  <c r="R779" i="2" s="1"/>
  <c r="Q465" i="2"/>
  <c r="R465" i="2" s="1"/>
  <c r="Q222" i="2"/>
  <c r="R222" i="2" s="1"/>
  <c r="Q835" i="2"/>
  <c r="R835" i="2" s="1"/>
  <c r="Q36" i="2"/>
  <c r="R36" i="2" s="1"/>
  <c r="Q352" i="2"/>
  <c r="R352" i="2" s="1"/>
  <c r="Q345" i="2"/>
  <c r="R345" i="2" s="1"/>
  <c r="Q119" i="2"/>
  <c r="R119" i="2" s="1"/>
  <c r="Q782" i="2"/>
  <c r="R782" i="2" s="1"/>
  <c r="Q938" i="2"/>
  <c r="R938" i="2" s="1"/>
  <c r="Q721" i="2"/>
  <c r="R721" i="2" s="1"/>
  <c r="Q173" i="2"/>
  <c r="R173" i="2" s="1"/>
  <c r="Q362" i="2"/>
  <c r="R362" i="2" s="1"/>
  <c r="Q485" i="2"/>
  <c r="R485" i="2" s="1"/>
  <c r="Q204" i="2"/>
  <c r="R204" i="2" s="1"/>
  <c r="Q77" i="2"/>
  <c r="R77" i="2" s="1"/>
  <c r="Q924" i="2"/>
  <c r="R924" i="2" s="1"/>
  <c r="Q302" i="2"/>
  <c r="R302" i="2" s="1"/>
  <c r="Q743" i="2"/>
  <c r="R743" i="2" s="1"/>
  <c r="Q645" i="2"/>
  <c r="R645" i="2" s="1"/>
  <c r="Q856" i="2"/>
  <c r="R856" i="2" s="1"/>
  <c r="Q627" i="2"/>
  <c r="R627" i="2" s="1"/>
  <c r="Q242" i="2"/>
  <c r="R242" i="2" s="1"/>
  <c r="Q277" i="2"/>
  <c r="R277" i="2" s="1"/>
  <c r="Q53" i="2"/>
  <c r="R53" i="2" s="1"/>
  <c r="Q422" i="2"/>
  <c r="R422" i="2" s="1"/>
  <c r="Q319" i="2"/>
  <c r="R319" i="2" s="1"/>
  <c r="Q813" i="2"/>
  <c r="R813" i="2" s="1"/>
  <c r="Q91" i="2"/>
  <c r="R91" i="2" s="1"/>
  <c r="Q944" i="2"/>
  <c r="R944" i="2" s="1"/>
  <c r="Q880" i="2"/>
  <c r="R880" i="2" s="1"/>
  <c r="Q224" i="2"/>
  <c r="R224" i="2" s="1"/>
  <c r="Q957" i="2"/>
  <c r="R957" i="2" s="1"/>
  <c r="Q831" i="2"/>
  <c r="R831" i="2" s="1"/>
  <c r="Q289" i="2"/>
  <c r="R289" i="2" s="1"/>
  <c r="Q639" i="2"/>
  <c r="R639" i="2" s="1"/>
  <c r="Q133" i="2"/>
  <c r="R133" i="2" s="1"/>
  <c r="Q346" i="2"/>
  <c r="R346" i="2" s="1"/>
  <c r="Q192" i="2"/>
  <c r="R192" i="2" s="1"/>
  <c r="Q450" i="2"/>
  <c r="R450" i="2" s="1"/>
  <c r="Q61" i="2"/>
  <c r="R61" i="2" s="1"/>
  <c r="Q582" i="2"/>
  <c r="R582" i="2" s="1"/>
  <c r="Q389" i="2"/>
  <c r="R389" i="2" s="1"/>
  <c r="Q573" i="2"/>
  <c r="R573" i="2" s="1"/>
  <c r="Q751" i="2"/>
  <c r="R751" i="2" s="1"/>
  <c r="Q153" i="2"/>
  <c r="R153" i="2" s="1"/>
  <c r="Q282" i="2"/>
  <c r="R282" i="2" s="1"/>
  <c r="Q343" i="2"/>
  <c r="R343" i="2" s="1"/>
  <c r="Q235" i="2"/>
  <c r="R235" i="2" s="1"/>
  <c r="Q254" i="2"/>
  <c r="R254" i="2" s="1"/>
  <c r="Q181" i="2"/>
  <c r="R181" i="2" s="1"/>
  <c r="Q416" i="2"/>
  <c r="R416" i="2" s="1"/>
  <c r="Q291" i="2"/>
  <c r="R291" i="2" s="1"/>
  <c r="Q584" i="2"/>
  <c r="R584" i="2" s="1"/>
  <c r="Q145" i="2"/>
  <c r="R145" i="2" s="1"/>
  <c r="Q684" i="2"/>
  <c r="R684" i="2" s="1"/>
  <c r="Q611" i="2"/>
  <c r="R611" i="2" s="1"/>
  <c r="Q605" i="2"/>
  <c r="R605" i="2" s="1"/>
  <c r="Q712" i="2"/>
  <c r="R712" i="2" s="1"/>
  <c r="Q349" i="2"/>
  <c r="R349" i="2" s="1"/>
  <c r="Q934" i="2"/>
  <c r="R934" i="2" s="1"/>
  <c r="Q223" i="2"/>
  <c r="R223" i="2" s="1"/>
  <c r="Q574" i="2"/>
  <c r="R574" i="2" s="1"/>
  <c r="Q975" i="2"/>
  <c r="R975" i="2" s="1"/>
  <c r="Q378" i="2"/>
  <c r="R378" i="2" s="1"/>
  <c r="Q838" i="2"/>
  <c r="R838" i="2" s="1"/>
  <c r="Q671" i="2"/>
  <c r="R671" i="2" s="1"/>
  <c r="Q80" i="2"/>
  <c r="R80" i="2" s="1"/>
  <c r="Q770" i="2"/>
  <c r="R770" i="2" s="1"/>
  <c r="Q104" i="2"/>
  <c r="R104" i="2" s="1"/>
  <c r="Q38" i="2"/>
  <c r="R38" i="2" s="1"/>
  <c r="Q805" i="2"/>
  <c r="R805" i="2" s="1"/>
  <c r="Q134" i="2"/>
  <c r="R134" i="2" s="1"/>
  <c r="Q420" i="2"/>
  <c r="R420" i="2" s="1"/>
  <c r="Q534" i="2"/>
  <c r="R534" i="2" s="1"/>
  <c r="Q820" i="2"/>
  <c r="R820" i="2" s="1"/>
  <c r="Q674" i="2"/>
  <c r="R674" i="2" s="1"/>
  <c r="Q539" i="2"/>
  <c r="R539" i="2" s="1"/>
  <c r="Q527" i="2"/>
  <c r="R527" i="2" s="1"/>
  <c r="Q335" i="2"/>
  <c r="R335" i="2" s="1"/>
  <c r="Q471" i="2"/>
  <c r="R471" i="2" s="1"/>
  <c r="Q682" i="2"/>
  <c r="R682" i="2" s="1"/>
  <c r="Q43" i="2"/>
  <c r="R43" i="2" s="1"/>
  <c r="Q528" i="2"/>
  <c r="R528" i="2" s="1"/>
  <c r="Q728" i="2"/>
  <c r="R728" i="2" s="1"/>
  <c r="Q180" i="2"/>
  <c r="R180" i="2" s="1"/>
  <c r="Q697" i="2"/>
  <c r="R697" i="2" s="1"/>
  <c r="Q78" i="2"/>
  <c r="R78" i="2" s="1"/>
  <c r="Q659" i="2"/>
  <c r="R659" i="2" s="1"/>
  <c r="Q142" i="2"/>
  <c r="R142" i="2" s="1"/>
  <c r="Q206" i="2"/>
  <c r="R206" i="2" s="1"/>
  <c r="Q25" i="2"/>
  <c r="R25" i="2" s="1"/>
  <c r="Q839" i="2"/>
  <c r="R839" i="2" s="1"/>
  <c r="Q239" i="2"/>
  <c r="R239" i="2" s="1"/>
  <c r="Q16" i="2"/>
  <c r="R16" i="2" s="1"/>
  <c r="Q477" i="2"/>
  <c r="R477" i="2" s="1"/>
  <c r="Q461" i="2"/>
  <c r="R461" i="2" s="1"/>
  <c r="Q998" i="2"/>
  <c r="R998" i="2" s="1"/>
  <c r="Q866" i="2"/>
  <c r="R866" i="2" s="1"/>
  <c r="Q715" i="2"/>
  <c r="R715" i="2" s="1"/>
  <c r="Q65" i="2"/>
  <c r="R65" i="2" s="1"/>
  <c r="Q375" i="2"/>
  <c r="R375" i="2" s="1"/>
  <c r="Q7" i="2"/>
  <c r="R7" i="2" s="1"/>
  <c r="Q951" i="2"/>
  <c r="R951" i="2" s="1"/>
  <c r="Q625" i="2"/>
  <c r="R625" i="2" s="1"/>
  <c r="Q237" i="2"/>
  <c r="R237" i="2" s="1"/>
  <c r="Q647" i="2"/>
  <c r="R647" i="2" s="1"/>
  <c r="Q470" i="2"/>
  <c r="R470" i="2" s="1"/>
  <c r="Q845" i="2"/>
  <c r="R845" i="2" s="1"/>
  <c r="Q57" i="2"/>
  <c r="R57" i="2" s="1"/>
  <c r="Q837" i="2"/>
  <c r="R837" i="2" s="1"/>
  <c r="Q460" i="2"/>
  <c r="R460" i="2" s="1"/>
  <c r="Q431" i="2"/>
  <c r="R431" i="2" s="1"/>
  <c r="Q725" i="2"/>
  <c r="R725" i="2" s="1"/>
  <c r="Q456" i="2"/>
  <c r="R456" i="2" s="1"/>
  <c r="Q341" i="2"/>
  <c r="R341" i="2" s="1"/>
  <c r="Q963" i="2"/>
  <c r="R963" i="2" s="1"/>
  <c r="Q830" i="2"/>
  <c r="R830" i="2" s="1"/>
  <c r="Q366" i="2"/>
  <c r="R366" i="2" s="1"/>
  <c r="Q744" i="2"/>
  <c r="R744" i="2" s="1"/>
  <c r="Q676" i="2"/>
  <c r="R676" i="2" s="1"/>
  <c r="Q803" i="2"/>
  <c r="R803" i="2" s="1"/>
  <c r="Q606" i="2"/>
  <c r="R606" i="2" s="1"/>
  <c r="Q430" i="2"/>
  <c r="R430" i="2" s="1"/>
  <c r="Q494" i="2"/>
  <c r="R494" i="2" s="1"/>
  <c r="Q387" i="2"/>
  <c r="R387" i="2" s="1"/>
  <c r="Q874" i="2"/>
  <c r="R874" i="2" s="1"/>
  <c r="Q320" i="2"/>
  <c r="R320" i="2" s="1"/>
  <c r="Q392" i="2"/>
  <c r="R392" i="2" s="1"/>
  <c r="Q723" i="2"/>
  <c r="R723" i="2" s="1"/>
  <c r="Q536" i="2"/>
  <c r="R536" i="2" s="1"/>
  <c r="Q285" i="2"/>
  <c r="R285" i="2" s="1"/>
  <c r="Q105" i="2"/>
  <c r="R105" i="2" s="1"/>
  <c r="Q540" i="2"/>
  <c r="R540" i="2" s="1"/>
  <c r="Q30" i="2"/>
  <c r="R30" i="2" s="1"/>
  <c r="Q780" i="2"/>
  <c r="R780" i="2" s="1"/>
  <c r="Q557" i="2"/>
  <c r="R557" i="2" s="1"/>
  <c r="Q632" i="2"/>
  <c r="R632" i="2" s="1"/>
  <c r="Q736" i="2"/>
  <c r="R736" i="2" s="1"/>
  <c r="Q278" i="2"/>
  <c r="R278" i="2" s="1"/>
  <c r="Q472" i="2"/>
  <c r="R472" i="2" s="1"/>
  <c r="Q258" i="2"/>
  <c r="R258" i="2" s="1"/>
  <c r="Q561" i="2"/>
  <c r="R561" i="2" s="1"/>
  <c r="Q227" i="2"/>
  <c r="R227" i="2" s="1"/>
  <c r="Q840" i="2"/>
  <c r="R840" i="2" s="1"/>
  <c r="Q737" i="2"/>
  <c r="R737" i="2" s="1"/>
  <c r="Q241" i="2"/>
  <c r="R241" i="2" s="1"/>
  <c r="Q161" i="2"/>
  <c r="R161" i="2" s="1"/>
  <c r="Q148" i="2"/>
  <c r="R148" i="2" s="1"/>
  <c r="Q468" i="2"/>
  <c r="R468" i="2" s="1"/>
  <c r="Q82" i="2"/>
  <c r="R82" i="2" s="1"/>
  <c r="Q292" i="2"/>
  <c r="R292" i="2" s="1"/>
  <c r="Q802" i="2"/>
  <c r="R802" i="2" s="1"/>
  <c r="Q817" i="2"/>
  <c r="R817" i="2" s="1"/>
  <c r="Q205" i="2"/>
  <c r="R205" i="2" s="1"/>
  <c r="Q359" i="2"/>
  <c r="R359" i="2" s="1"/>
  <c r="Q240" i="2"/>
  <c r="R240" i="2" s="1"/>
  <c r="Q950" i="2"/>
  <c r="R950" i="2" s="1"/>
  <c r="Q948" i="2"/>
  <c r="R948" i="2" s="1"/>
  <c r="Q808" i="2"/>
  <c r="R808" i="2" s="1"/>
  <c r="Q865" i="2"/>
  <c r="R865" i="2" s="1"/>
  <c r="Q565" i="2"/>
  <c r="R565" i="2" s="1"/>
  <c r="Q996" i="2"/>
  <c r="R996" i="2" s="1"/>
  <c r="Q307" i="2"/>
  <c r="R307" i="2" s="1"/>
  <c r="Q931" i="2"/>
  <c r="R931" i="2" s="1"/>
  <c r="Q588" i="2"/>
  <c r="R588" i="2" s="1"/>
  <c r="Q608" i="2"/>
  <c r="R608" i="2" s="1"/>
  <c r="Q439" i="2"/>
  <c r="R439" i="2" s="1"/>
  <c r="Q941" i="2"/>
  <c r="R941" i="2" s="1"/>
  <c r="Q128" i="2"/>
  <c r="R128" i="2" s="1"/>
  <c r="Q385" i="2"/>
  <c r="R385" i="2" s="1"/>
  <c r="Q167" i="2"/>
  <c r="R167" i="2" s="1"/>
  <c r="Q308" i="2"/>
  <c r="R308" i="2" s="1"/>
  <c r="Q859" i="2"/>
  <c r="R859" i="2" s="1"/>
  <c r="Q367" i="2"/>
  <c r="R367" i="2" s="1"/>
  <c r="Q305" i="2"/>
  <c r="R305" i="2" s="1"/>
  <c r="Q459" i="2"/>
  <c r="R459" i="2" s="1"/>
  <c r="Q457" i="2"/>
  <c r="R457" i="2" s="1"/>
  <c r="Q45" i="2"/>
  <c r="R45" i="2" s="1"/>
  <c r="Q271" i="2"/>
  <c r="R271" i="2" s="1"/>
  <c r="Q131" i="2"/>
  <c r="R131" i="2" s="1"/>
  <c r="Q720" i="2"/>
  <c r="R720" i="2" s="1"/>
  <c r="Q139" i="2"/>
  <c r="R139" i="2" s="1"/>
  <c r="Q301" i="2"/>
  <c r="R301" i="2" s="1"/>
  <c r="Q110" i="2"/>
  <c r="R110" i="2" s="1"/>
  <c r="Q549" i="2"/>
  <c r="R549" i="2" s="1"/>
  <c r="Q496" i="2"/>
  <c r="R496" i="2" s="1"/>
  <c r="Q97" i="2"/>
  <c r="R97" i="2" s="1"/>
  <c r="Q893" i="2"/>
  <c r="R893" i="2" s="1"/>
  <c r="Q336" i="2"/>
  <c r="R336" i="2" s="1"/>
  <c r="Q867" i="2"/>
  <c r="R867" i="2" s="1"/>
  <c r="Q249" i="2"/>
  <c r="R249" i="2" s="1"/>
  <c r="Q967" i="2"/>
  <c r="R967" i="2" s="1"/>
  <c r="Q613" i="2"/>
  <c r="R613" i="2" s="1"/>
  <c r="Q853" i="2"/>
  <c r="R853" i="2" s="1"/>
  <c r="Q264" i="2"/>
  <c r="R264" i="2" s="1"/>
  <c r="Q69" i="2"/>
  <c r="R69" i="2" s="1"/>
  <c r="Q2" i="2"/>
  <c r="R2" i="2" s="1"/>
  <c r="Q927" i="2"/>
  <c r="R927" i="2" s="1"/>
  <c r="Q881" i="2"/>
  <c r="R881" i="2" s="1"/>
  <c r="Q484" i="2"/>
  <c r="R484" i="2" s="1"/>
  <c r="Q796" i="2"/>
  <c r="R796" i="2" s="1"/>
  <c r="Q24" i="2"/>
  <c r="R24" i="2" s="1"/>
  <c r="Q325" i="2"/>
  <c r="R325" i="2" s="1"/>
  <c r="Q125" i="2"/>
  <c r="R125" i="2" s="1"/>
  <c r="Q189" i="2"/>
  <c r="R189" i="2" s="1"/>
  <c r="Q556" i="2"/>
  <c r="R556" i="2" s="1"/>
  <c r="Q877" i="2"/>
  <c r="R877" i="2" s="1"/>
  <c r="Q864" i="2"/>
  <c r="R864" i="2" s="1"/>
  <c r="Q876" i="2"/>
  <c r="R876" i="2" s="1"/>
  <c r="Q590" i="2"/>
  <c r="R590" i="2" s="1"/>
  <c r="Q159" i="2"/>
  <c r="R159" i="2" s="1"/>
  <c r="Q407" i="2"/>
  <c r="R407" i="2" s="1"/>
  <c r="Q294" i="2"/>
  <c r="R294" i="2" s="1"/>
  <c r="Q68" i="2"/>
  <c r="R68" i="2" s="1"/>
  <c r="Q47" i="2"/>
  <c r="R47" i="2" s="1"/>
  <c r="Q59" i="2"/>
  <c r="R59" i="2" s="1"/>
  <c r="Q130" i="2"/>
  <c r="R130" i="2" s="1"/>
  <c r="Q651" i="2"/>
  <c r="R651" i="2" s="1"/>
  <c r="Q202" i="2"/>
  <c r="R202" i="2" s="1"/>
  <c r="Q245" i="2"/>
  <c r="R245" i="2" s="1"/>
  <c r="Q13" i="2"/>
  <c r="R13" i="2" s="1"/>
  <c r="Q652" i="2"/>
  <c r="R652" i="2" s="1"/>
  <c r="Q46" i="2"/>
  <c r="R46" i="2" s="1"/>
  <c r="Q766" i="2"/>
  <c r="R766" i="2" s="1"/>
  <c r="Q508" i="2"/>
  <c r="R508" i="2" s="1"/>
  <c r="Q261" i="2"/>
  <c r="R261" i="2" s="1"/>
  <c r="Q695" i="2"/>
  <c r="R695" i="2" s="1"/>
  <c r="Q60" i="2"/>
  <c r="R60" i="2" s="1"/>
  <c r="Q709" i="2"/>
  <c r="R709" i="2" s="1"/>
  <c r="Q703" i="2"/>
  <c r="R703" i="2" s="1"/>
  <c r="Q591" i="2"/>
  <c r="R591" i="2" s="1"/>
  <c r="Q760" i="2"/>
  <c r="R760" i="2" s="1"/>
  <c r="Q768" i="2"/>
  <c r="R768" i="2" s="1"/>
  <c r="Q850" i="2"/>
  <c r="R850" i="2" s="1"/>
  <c r="Q228" i="2"/>
  <c r="R228" i="2" s="1"/>
  <c r="Q622" i="2"/>
  <c r="R622" i="2" s="1"/>
  <c r="Q364" i="2"/>
  <c r="R364" i="2" s="1"/>
  <c r="Q914" i="2"/>
  <c r="R914" i="2" s="1"/>
  <c r="Q177" i="2"/>
  <c r="R177" i="2" s="1"/>
  <c r="Q170" i="2"/>
  <c r="R170" i="2" s="1"/>
  <c r="Q467" i="2"/>
  <c r="R467" i="2" s="1"/>
  <c r="Q537" i="2"/>
  <c r="R537" i="2" s="1"/>
  <c r="Q354" i="2"/>
  <c r="R354" i="2" s="1"/>
  <c r="Q870" i="2"/>
  <c r="R870" i="2" s="1"/>
  <c r="Q991" i="2"/>
  <c r="R991" i="2" s="1"/>
  <c r="Q146" i="2"/>
  <c r="R146" i="2" s="1"/>
  <c r="Q531" i="2"/>
  <c r="R531" i="2" s="1"/>
  <c r="Q640" i="2"/>
  <c r="R640" i="2" s="1"/>
  <c r="Q604" i="2"/>
  <c r="R604" i="2" s="1"/>
  <c r="Q193" i="2"/>
  <c r="R193" i="2" s="1"/>
  <c r="Q610" i="2"/>
  <c r="R610" i="2" s="1"/>
  <c r="Q662" i="2"/>
  <c r="R662" i="2" s="1"/>
  <c r="Q825" i="2"/>
  <c r="R825" i="2" s="1"/>
  <c r="Q209" i="2"/>
  <c r="R209" i="2" s="1"/>
  <c r="Q761" i="2"/>
  <c r="R761" i="2" s="1"/>
  <c r="Q503" i="2"/>
  <c r="R503" i="2" s="1"/>
  <c r="Q630" i="2"/>
  <c r="R630" i="2" s="1"/>
  <c r="Q512" i="2"/>
  <c r="R512" i="2" s="1"/>
  <c r="Q620" i="2"/>
  <c r="R620" i="2" s="1"/>
  <c r="Q663" i="2"/>
  <c r="R663" i="2" s="1"/>
  <c r="Q542" i="2"/>
  <c r="R542" i="2" s="1"/>
  <c r="Q397" i="2"/>
  <c r="R397" i="2" s="1"/>
  <c r="Q986" i="2"/>
  <c r="R986" i="2" s="1"/>
  <c r="Q172" i="2"/>
  <c r="R172" i="2" s="1"/>
  <c r="Q726" i="2"/>
  <c r="R726" i="2" s="1"/>
  <c r="Q869" i="2"/>
  <c r="R869" i="2" s="1"/>
  <c r="Q685" i="2"/>
  <c r="R685" i="2" s="1"/>
  <c r="Q478" i="2"/>
  <c r="R478" i="2" s="1"/>
  <c r="Q799" i="2"/>
  <c r="R799" i="2" s="1"/>
  <c r="Q323" i="2"/>
  <c r="R323" i="2" s="1"/>
  <c r="Q324" i="2"/>
  <c r="R324" i="2" s="1"/>
  <c r="Q559" i="2"/>
  <c r="R559" i="2" s="1"/>
  <c r="Q816" i="2"/>
  <c r="R816" i="2" s="1"/>
  <c r="Q586" i="2"/>
  <c r="R586" i="2" s="1"/>
  <c r="Q52" i="2"/>
  <c r="R52" i="2" s="1"/>
  <c r="Q793" i="2"/>
  <c r="R793" i="2" s="1"/>
  <c r="Q930" i="2"/>
  <c r="R930" i="2" s="1"/>
  <c r="Q600" i="2"/>
  <c r="R600" i="2" s="1"/>
  <c r="Q710" i="2"/>
  <c r="R710" i="2" s="1"/>
  <c r="Q126" i="2"/>
  <c r="R126" i="2" s="1"/>
  <c r="Q502" i="2"/>
  <c r="R502" i="2" s="1"/>
  <c r="Q668" i="2"/>
  <c r="R668" i="2" s="1"/>
  <c r="Q601" i="2"/>
  <c r="R601" i="2" s="1"/>
  <c r="Q890" i="2"/>
  <c r="R890" i="2" s="1"/>
  <c r="Q862" i="2"/>
  <c r="R862" i="2" s="1"/>
  <c r="Q317" i="2"/>
  <c r="R317" i="2" s="1"/>
  <c r="Q692" i="2"/>
  <c r="R692" i="2" s="1"/>
  <c r="Q231" i="2"/>
  <c r="R231" i="2" s="1"/>
  <c r="Q795" i="2"/>
  <c r="R795" i="2" s="1"/>
  <c r="Q946" i="2"/>
  <c r="R946" i="2" s="1"/>
  <c r="Q391" i="2"/>
  <c r="R391" i="2" s="1"/>
  <c r="Q121" i="2"/>
  <c r="R121" i="2" s="1"/>
  <c r="Q182" i="2"/>
  <c r="R182" i="2" s="1"/>
  <c r="Q394" i="2"/>
  <c r="R394" i="2" s="1"/>
  <c r="Q138" i="2"/>
  <c r="R138" i="2" s="1"/>
  <c r="Q801" i="2"/>
  <c r="R801" i="2" s="1"/>
  <c r="Q380" i="2"/>
  <c r="R380" i="2" s="1"/>
  <c r="Q440" i="2"/>
  <c r="R440" i="2" s="1"/>
  <c r="Q405" i="2"/>
  <c r="R405" i="2" s="1"/>
  <c r="Q735" i="2"/>
  <c r="R735" i="2" s="1"/>
  <c r="Q358" i="2"/>
  <c r="R358" i="2" s="1"/>
  <c r="Q253" i="2"/>
  <c r="R253" i="2" s="1"/>
  <c r="Q740" i="2"/>
  <c r="R740" i="2" s="1"/>
  <c r="Q854" i="2"/>
  <c r="R854" i="2" s="1"/>
  <c r="Q71" i="2"/>
  <c r="R71" i="2" s="1"/>
  <c r="Q409" i="2"/>
  <c r="R409" i="2" s="1"/>
  <c r="Q297" i="2"/>
  <c r="R297" i="2" s="1"/>
  <c r="Q428" i="2"/>
  <c r="R428" i="2" s="1"/>
  <c r="Q638" i="2"/>
  <c r="R638" i="2" s="1"/>
  <c r="Q476" i="2"/>
  <c r="R476" i="2" s="1"/>
  <c r="Q321" i="2"/>
  <c r="R321" i="2" s="1"/>
  <c r="Q353" i="2"/>
  <c r="R353" i="2" s="1"/>
  <c r="Q572" i="2"/>
  <c r="R572" i="2" s="1"/>
  <c r="Q858" i="2"/>
  <c r="R858" i="2" s="1"/>
  <c r="Q400" i="2"/>
  <c r="R400" i="2" s="1"/>
  <c r="Q451" i="2"/>
  <c r="R451" i="2" s="1"/>
  <c r="Q520" i="2"/>
  <c r="R520" i="2" s="1"/>
  <c r="Q977" i="2"/>
  <c r="R977" i="2" s="1"/>
  <c r="Q129" i="2"/>
  <c r="R129" i="2" s="1"/>
  <c r="Q421" i="2"/>
  <c r="R421" i="2" s="1"/>
  <c r="Q274" i="2"/>
  <c r="R274" i="2" s="1"/>
  <c r="Q233" i="2"/>
  <c r="R233" i="2" s="1"/>
  <c r="Q203" i="2"/>
  <c r="R203" i="2" s="1"/>
  <c r="Q667" i="2"/>
  <c r="R667" i="2" s="1"/>
  <c r="Q992" i="2"/>
  <c r="R992" i="2" s="1"/>
  <c r="Q377" i="2"/>
  <c r="R377" i="2" s="1"/>
  <c r="Q513" i="2"/>
  <c r="R513" i="2" s="1"/>
  <c r="Q885" i="2"/>
  <c r="R885" i="2" s="1"/>
  <c r="Q641" i="2"/>
  <c r="R641" i="2" s="1"/>
  <c r="Q94" i="2"/>
  <c r="R94" i="2" s="1"/>
  <c r="Q340" i="2"/>
  <c r="R340" i="2" s="1"/>
  <c r="Q281" i="2"/>
  <c r="R281" i="2" s="1"/>
  <c r="Q462" i="2"/>
  <c r="R462" i="2" s="1"/>
  <c r="Q269" i="2"/>
  <c r="R269" i="2" s="1"/>
  <c r="Q908" i="2"/>
  <c r="R908" i="2" s="1"/>
  <c r="Q753" i="2"/>
  <c r="R753" i="2" s="1"/>
  <c r="Q538" i="2"/>
  <c r="R538" i="2" s="1"/>
  <c r="Q903" i="2"/>
  <c r="R903" i="2" s="1"/>
  <c r="Q800" i="2"/>
  <c r="R800" i="2" s="1"/>
  <c r="Q767" i="2"/>
  <c r="R767" i="2" s="1"/>
  <c r="Q178" i="2"/>
  <c r="R178" i="2" s="1"/>
  <c r="Q701" i="2"/>
  <c r="R701" i="2" s="1"/>
  <c r="Q558" i="2"/>
  <c r="R558" i="2" s="1"/>
  <c r="Q32" i="2"/>
  <c r="R32" i="2" s="1"/>
  <c r="Q569" i="2"/>
  <c r="R569" i="2" s="1"/>
  <c r="Q64" i="2"/>
  <c r="R64" i="2" s="1"/>
  <c r="Q248" i="2"/>
  <c r="R248" i="2" s="1"/>
  <c r="Q982" i="2"/>
  <c r="R982" i="2" s="1"/>
  <c r="Q35" i="2"/>
  <c r="R35" i="2" s="1"/>
  <c r="Q20" i="2"/>
  <c r="R20" i="2" s="1"/>
  <c r="Q58" i="2"/>
  <c r="R58" i="2" s="1"/>
  <c r="Q500" i="2"/>
  <c r="R500" i="2" s="1"/>
  <c r="Q259" i="2"/>
  <c r="R259" i="2" s="1"/>
  <c r="Q10" i="2"/>
  <c r="R10" i="2" s="1"/>
  <c r="Q188" i="2"/>
  <c r="R188" i="2" s="1"/>
  <c r="Q560" i="2"/>
  <c r="R560" i="2" s="1"/>
  <c r="Q56" i="2"/>
  <c r="R56" i="2" s="1"/>
  <c r="Q348" i="2"/>
  <c r="R348" i="2" s="1"/>
  <c r="Q806" i="2"/>
  <c r="R806" i="2" s="1"/>
  <c r="Q696" i="2"/>
  <c r="R696" i="2" s="1"/>
  <c r="Q894" i="2"/>
  <c r="R894" i="2" s="1"/>
  <c r="Q474" i="2"/>
  <c r="R474" i="2" s="1"/>
  <c r="Q554" i="2"/>
  <c r="R554" i="2" s="1"/>
  <c r="Q952" i="2"/>
  <c r="R952" i="2" s="1"/>
  <c r="Q230" i="2"/>
  <c r="R230" i="2" s="1"/>
  <c r="Q410" i="2"/>
  <c r="R410" i="2" s="1"/>
  <c r="Q834" i="2"/>
  <c r="R834" i="2" s="1"/>
  <c r="Q789" i="2"/>
  <c r="R789" i="2" s="1"/>
  <c r="Q103" i="2"/>
  <c r="R103" i="2" s="1"/>
  <c r="Q425" i="2"/>
  <c r="R425" i="2" s="1"/>
  <c r="Q678" i="2"/>
  <c r="R678" i="2" s="1"/>
  <c r="Q912" i="2"/>
  <c r="R912" i="2" s="1"/>
  <c r="Q300" i="2"/>
  <c r="R300" i="2" s="1"/>
  <c r="Q363" i="2"/>
  <c r="R363" i="2" s="1"/>
  <c r="Q587" i="2"/>
  <c r="R587" i="2" s="1"/>
  <c r="Q603" i="2"/>
  <c r="R603" i="2" s="1"/>
  <c r="Q578" i="2"/>
  <c r="R578" i="2" s="1"/>
  <c r="Q943" i="2"/>
  <c r="R943" i="2" s="1"/>
  <c r="Q745" i="2"/>
  <c r="R745" i="2" s="1"/>
  <c r="Q791" i="2"/>
  <c r="R791" i="2" s="1"/>
  <c r="Q424" i="2"/>
  <c r="R424" i="2" s="1"/>
  <c r="Q22" i="2"/>
  <c r="R22" i="2" s="1"/>
  <c r="Q940" i="2"/>
  <c r="R940" i="2" s="1"/>
  <c r="Q198" i="2"/>
  <c r="R198" i="2" s="1"/>
  <c r="Q165" i="2"/>
  <c r="R165" i="2" s="1"/>
  <c r="Q755" i="2"/>
  <c r="R755" i="2" s="1"/>
  <c r="Q786" i="2"/>
  <c r="R786" i="2" s="1"/>
  <c r="Q442" i="2"/>
  <c r="R442" i="2" s="1"/>
  <c r="Q175" i="2"/>
  <c r="R175" i="2" s="1"/>
  <c r="Q818" i="2"/>
  <c r="R818" i="2" s="1"/>
  <c r="Q445" i="2"/>
  <c r="R445" i="2" s="1"/>
  <c r="Q787" i="2"/>
  <c r="R787" i="2" s="1"/>
  <c r="Q499" i="2"/>
  <c r="R499" i="2" s="1"/>
  <c r="Q910" i="2"/>
  <c r="R910" i="2" s="1"/>
  <c r="Q220" i="2"/>
  <c r="R220" i="2" s="1"/>
  <c r="Q717" i="2"/>
  <c r="R717" i="2" s="1"/>
  <c r="Q939" i="2"/>
  <c r="R939" i="2" s="1"/>
  <c r="Q920" i="2"/>
  <c r="R920" i="2" s="1"/>
  <c r="Q347" i="2"/>
  <c r="R347" i="2" s="1"/>
  <c r="Q999" i="2"/>
  <c r="R999" i="2" s="1"/>
  <c r="Q727" i="2"/>
  <c r="R727" i="2" s="1"/>
  <c r="Q757" i="2"/>
  <c r="R757" i="2" s="1"/>
  <c r="Q631" i="2"/>
  <c r="R631" i="2" s="1"/>
  <c r="Q447" i="2"/>
  <c r="R447" i="2" s="1"/>
  <c r="Q196" i="2"/>
  <c r="R196" i="2" s="1"/>
  <c r="Q286" i="2"/>
  <c r="R286" i="2" s="1"/>
  <c r="Q980" i="2"/>
  <c r="R980" i="2" s="1"/>
  <c r="Q713" i="2"/>
  <c r="R713" i="2" s="1"/>
  <c r="Q804" i="2"/>
  <c r="R804" i="2" s="1"/>
  <c r="Q628" i="2"/>
  <c r="R628" i="2" s="1"/>
  <c r="Q635" i="2"/>
  <c r="R635" i="2" s="1"/>
  <c r="Q37" i="2"/>
  <c r="R37" i="2" s="1"/>
  <c r="Q201" i="2"/>
  <c r="R201" i="2" s="1"/>
  <c r="Q546" i="2"/>
  <c r="R546" i="2" s="1"/>
  <c r="Q453" i="2"/>
  <c r="R453" i="2" s="1"/>
  <c r="Q974" i="2"/>
  <c r="R974" i="2" s="1"/>
  <c r="Q369" i="2"/>
  <c r="R369" i="2" s="1"/>
  <c r="Q896" i="2"/>
  <c r="R896" i="2" s="1"/>
  <c r="Q783" i="2"/>
  <c r="R783" i="2" s="1"/>
  <c r="Q515" i="2"/>
  <c r="R515" i="2" s="1"/>
  <c r="Q730" i="2"/>
  <c r="R730" i="2" s="1"/>
  <c r="Q746" i="2"/>
  <c r="R746" i="2" s="1"/>
  <c r="Q127" i="2"/>
  <c r="R127" i="2" s="1"/>
  <c r="Q489" i="2"/>
  <c r="R489" i="2" s="1"/>
  <c r="Q393" i="2"/>
  <c r="R393" i="2" s="1"/>
  <c r="Q443" i="2"/>
  <c r="R443" i="2" s="1"/>
  <c r="Q350" i="2"/>
  <c r="R350" i="2" s="1"/>
  <c r="Q466" i="2"/>
  <c r="R466" i="2" s="1"/>
  <c r="Q836" i="2"/>
  <c r="R836" i="2" s="1"/>
  <c r="Q901" i="2"/>
  <c r="R901" i="2" s="1"/>
  <c r="Q742" i="2"/>
  <c r="R742" i="2" s="1"/>
  <c r="Q506" i="2"/>
  <c r="R506" i="2" s="1"/>
  <c r="Q875" i="2"/>
  <c r="R875" i="2" s="1"/>
  <c r="Q906" i="2"/>
  <c r="R906" i="2" s="1"/>
  <c r="Q114" i="2"/>
  <c r="R114" i="2" s="1"/>
  <c r="Q619" i="2"/>
  <c r="R619" i="2" s="1"/>
  <c r="Q386" i="2"/>
  <c r="R386" i="2" s="1"/>
  <c r="Q844" i="2"/>
  <c r="R844" i="2" s="1"/>
  <c r="Q84" i="2"/>
  <c r="R84" i="2" s="1"/>
  <c r="Q847" i="2"/>
  <c r="R847" i="2" s="1"/>
  <c r="Q33" i="2"/>
  <c r="R33" i="2" s="1"/>
  <c r="Q849" i="2"/>
  <c r="R849" i="2" s="1"/>
  <c r="Q376" i="2"/>
  <c r="R376" i="2" s="1"/>
  <c r="Q577" i="2"/>
  <c r="R577" i="2" s="1"/>
  <c r="Q276" i="2"/>
  <c r="R276" i="2" s="1"/>
  <c r="Q355" i="2"/>
  <c r="R355" i="2" s="1"/>
  <c r="Q487" i="2"/>
  <c r="R487" i="2" s="1"/>
  <c r="Q593" i="2"/>
  <c r="R593" i="2" s="1"/>
  <c r="Q41" i="2"/>
  <c r="R41" i="2" s="1"/>
  <c r="Q313" i="2"/>
  <c r="R313" i="2" s="1"/>
  <c r="Q571" i="2"/>
  <c r="R571" i="2" s="1"/>
  <c r="Q326" i="2"/>
  <c r="R326" i="2" s="1"/>
  <c r="Q945" i="2"/>
  <c r="R945" i="2" s="1"/>
  <c r="Q304" i="2"/>
  <c r="R304" i="2" s="1"/>
  <c r="Q964" i="2"/>
  <c r="R964" i="2" s="1"/>
  <c r="Q79" i="2"/>
  <c r="R79" i="2" s="1"/>
  <c r="Q330" i="2"/>
  <c r="R330" i="2" s="1"/>
  <c r="Q417" i="2"/>
  <c r="R417" i="2" s="1"/>
  <c r="Q987" i="2"/>
  <c r="R987" i="2" s="1"/>
  <c r="Q334" i="2"/>
  <c r="R334" i="2" s="1"/>
  <c r="Q548" i="2"/>
  <c r="R548" i="2" s="1"/>
  <c r="Q290" i="2"/>
  <c r="R290" i="2" s="1"/>
  <c r="Q602" i="2"/>
  <c r="R602" i="2" s="1"/>
  <c r="Q384" i="2"/>
  <c r="R384" i="2" s="1"/>
  <c r="Q592" i="2"/>
  <c r="R592" i="2" s="1"/>
  <c r="Q961" i="2"/>
  <c r="R961" i="2" s="1"/>
  <c r="Q756" i="2"/>
  <c r="R756" i="2" s="1"/>
  <c r="Q357" i="2"/>
  <c r="R357" i="2" s="1"/>
  <c r="Q677" i="2"/>
  <c r="R677" i="2" s="1"/>
  <c r="Q636" i="2"/>
  <c r="R636" i="2" s="1"/>
  <c r="Q40" i="2"/>
  <c r="R40" i="2" s="1"/>
  <c r="Q157" i="2"/>
  <c r="R157" i="2" s="1"/>
  <c r="Q225" i="2"/>
  <c r="R225" i="2" s="1"/>
  <c r="Q311" i="2"/>
  <c r="R311" i="2" s="1"/>
  <c r="Q897" i="2"/>
  <c r="R897" i="2" s="1"/>
  <c r="Q143" i="2"/>
  <c r="R143" i="2" s="1"/>
  <c r="Q34" i="2"/>
  <c r="R34" i="2" s="1"/>
  <c r="Q152" i="2"/>
  <c r="R152" i="2" s="1"/>
  <c r="Q935" i="2"/>
  <c r="R935" i="2" s="1"/>
  <c r="Q655" i="2"/>
  <c r="R655" i="2" s="1"/>
  <c r="Q481" i="2"/>
  <c r="R481" i="2" s="1"/>
  <c r="Q429" i="2"/>
  <c r="R429" i="2" s="1"/>
  <c r="Q664" i="2"/>
  <c r="R664" i="2" s="1"/>
  <c r="Q123" i="2"/>
  <c r="R123" i="2" s="1"/>
  <c r="Q909" i="2"/>
  <c r="R909" i="2" s="1"/>
  <c r="Q857" i="2"/>
  <c r="R857" i="2" s="1"/>
  <c r="Q942" i="2"/>
  <c r="R942" i="2" s="1"/>
  <c r="Q337" i="2"/>
  <c r="R337" i="2" s="1"/>
  <c r="Q404" i="2"/>
  <c r="R404" i="2" s="1"/>
  <c r="Q732" i="2"/>
  <c r="R732" i="2" s="1"/>
  <c r="Q183" i="2"/>
  <c r="R183" i="2" s="1"/>
  <c r="Q933" i="2"/>
  <c r="R933" i="2" s="1"/>
  <c r="Q262" i="2"/>
  <c r="R262" i="2" s="1"/>
  <c r="Q637" i="2"/>
  <c r="R637" i="2" s="1"/>
  <c r="Q283" i="2"/>
  <c r="R283" i="2" s="1"/>
  <c r="Q788" i="2"/>
  <c r="R788" i="2" s="1"/>
  <c r="Q959" i="2"/>
  <c r="R959" i="2" s="1"/>
  <c r="Q418" i="2"/>
  <c r="R418" i="2" s="1"/>
  <c r="Q92" i="2"/>
  <c r="R92" i="2" s="1"/>
  <c r="Q669" i="2"/>
  <c r="R669" i="2" s="1"/>
  <c r="Q488" i="2"/>
  <c r="R488" i="2" s="1"/>
  <c r="Q731" i="2"/>
  <c r="R731" i="2" s="1"/>
  <c r="Q626" i="2"/>
  <c r="R626" i="2" s="1"/>
  <c r="Q887" i="2"/>
  <c r="R887" i="2" s="1"/>
  <c r="O883" i="2"/>
  <c r="O418" i="2"/>
  <c r="O92" i="2"/>
  <c r="O669" i="2"/>
  <c r="O488" i="2"/>
  <c r="O731" i="2"/>
  <c r="O626" i="2"/>
  <c r="O887" i="2"/>
  <c r="O797" i="2"/>
  <c r="O657" i="2"/>
  <c r="O581" i="2"/>
  <c r="O316" i="2"/>
  <c r="O396" i="2"/>
  <c r="O698" i="2"/>
  <c r="O18" i="2"/>
  <c r="O629" i="2"/>
  <c r="O51" i="2"/>
  <c r="O873" i="2"/>
  <c r="O575" i="2"/>
  <c r="O774" i="2"/>
  <c r="O976" i="2"/>
  <c r="O891" i="2"/>
  <c r="O463" i="2"/>
  <c r="O116" i="2"/>
  <c r="O66" i="2"/>
  <c r="O705" i="2"/>
  <c r="O93" i="2"/>
  <c r="O275" i="2"/>
  <c r="O990" i="2"/>
  <c r="O243" i="2"/>
  <c r="O454" i="2"/>
  <c r="O214" i="2"/>
  <c r="O738" i="2"/>
  <c r="O208" i="2"/>
  <c r="O55" i="2"/>
  <c r="O567" i="2"/>
  <c r="O829" i="2"/>
  <c r="O252" i="2"/>
  <c r="O469" i="2"/>
  <c r="O900" i="2"/>
  <c r="O190" i="2"/>
  <c r="O510" i="2"/>
  <c r="O749" i="2"/>
  <c r="O147" i="2"/>
  <c r="O234" i="2"/>
  <c r="O773" i="2"/>
  <c r="O8" i="2"/>
  <c r="O913" i="2"/>
  <c r="O211" i="2"/>
  <c r="O475" i="2"/>
  <c r="O29" i="2"/>
  <c r="O4" i="2"/>
  <c r="O14" i="2"/>
  <c r="O679" i="2"/>
  <c r="O607" i="2"/>
  <c r="O815" i="2"/>
  <c r="O149" i="2"/>
  <c r="O39" i="2"/>
  <c r="O108" i="2"/>
  <c r="O310" i="2"/>
  <c r="O194" i="2"/>
  <c r="O102" i="2"/>
  <c r="O969" i="2"/>
  <c r="O570" i="2"/>
  <c r="O895" i="2"/>
  <c r="O401" i="2"/>
  <c r="O594" i="2"/>
  <c r="O446" i="2"/>
  <c r="O406" i="2"/>
  <c r="O412" i="2"/>
  <c r="O566" i="2"/>
  <c r="O155" i="2"/>
  <c r="O616" i="2"/>
  <c r="O303" i="2"/>
  <c r="O754" i="2"/>
  <c r="O497" i="2"/>
  <c r="O287" i="2"/>
  <c r="O87" i="2"/>
  <c r="O215" i="2"/>
  <c r="O492" i="2"/>
  <c r="O122" i="2"/>
  <c r="O764" i="2"/>
  <c r="O219" i="2"/>
  <c r="O265" i="2"/>
  <c r="O922" i="2"/>
  <c r="O166" i="2"/>
  <c r="O733" i="2"/>
  <c r="O260" i="2"/>
  <c r="O112" i="2"/>
  <c r="O693" i="2"/>
  <c r="O507" i="2"/>
  <c r="O688" i="2"/>
  <c r="O778" i="2"/>
  <c r="O11" i="2"/>
  <c r="O962" i="2"/>
  <c r="O700" i="2"/>
  <c r="O85" i="2"/>
  <c r="O798" i="2"/>
  <c r="O199" i="2"/>
  <c r="O344" i="2"/>
  <c r="O137" i="2"/>
  <c r="O135" i="2"/>
  <c r="O413" i="2"/>
  <c r="O156" i="2"/>
  <c r="O236" i="2"/>
  <c r="O419" i="2"/>
  <c r="O658" i="2"/>
  <c r="O526" i="2"/>
  <c r="O280" i="2"/>
  <c r="O88" i="2"/>
  <c r="O213" i="2"/>
  <c r="O936" i="2"/>
  <c r="O550" i="2"/>
  <c r="O111" i="2"/>
  <c r="O5" i="2"/>
  <c r="O255" i="2"/>
  <c r="O785" i="2"/>
  <c r="O186" i="2"/>
  <c r="O551" i="2"/>
  <c r="O851" i="2"/>
  <c r="O819" i="2"/>
  <c r="O633" i="2"/>
  <c r="O784" i="2"/>
  <c r="O706" i="2"/>
  <c r="O807" i="2"/>
  <c r="O718" i="2"/>
  <c r="O589" i="2"/>
  <c r="O947" i="2"/>
  <c r="O117" i="2"/>
  <c r="O765" i="2"/>
  <c r="O415" i="2"/>
  <c r="O361" i="2"/>
  <c r="O681" i="2"/>
  <c r="O250" i="2"/>
  <c r="O329" i="2"/>
  <c r="O972" i="2"/>
  <c r="O670" i="2"/>
  <c r="O314" i="2"/>
  <c r="O174" i="2"/>
  <c r="O333" i="2"/>
  <c r="O907" i="2"/>
  <c r="O699" i="2"/>
  <c r="O929" i="2"/>
  <c r="O752" i="2"/>
  <c r="O141" i="2"/>
  <c r="O544" i="2"/>
  <c r="O284" i="2"/>
  <c r="O960" i="2"/>
  <c r="O210" i="2"/>
  <c r="O926" i="2"/>
  <c r="O823" i="2"/>
  <c r="O298" i="2"/>
  <c r="O197" i="2"/>
  <c r="O832" i="2"/>
  <c r="O843" i="2"/>
  <c r="O232" i="2"/>
  <c r="O26" i="2"/>
  <c r="O3" i="2"/>
  <c r="O21" i="2"/>
  <c r="O879" i="2"/>
  <c r="O372" i="2"/>
  <c r="O923" i="2"/>
  <c r="O691" i="2"/>
  <c r="O315" i="2"/>
  <c r="O185" i="2"/>
  <c r="O533" i="2"/>
  <c r="O195" i="2"/>
  <c r="O452" i="2"/>
  <c r="O296" i="2"/>
  <c r="O338" i="2"/>
  <c r="O31" i="2"/>
  <c r="O563" i="2"/>
  <c r="O414" i="2"/>
  <c r="O973" i="2"/>
  <c r="O505" i="2"/>
  <c r="O888" i="2"/>
  <c r="O848" i="2"/>
  <c r="O151" i="2"/>
  <c r="O719" i="2"/>
  <c r="O568" i="2"/>
  <c r="O729" i="2"/>
  <c r="O140" i="2"/>
  <c r="O458" i="2"/>
  <c r="O826" i="2"/>
  <c r="O6" i="2"/>
  <c r="O978" i="2"/>
  <c r="O435" i="2"/>
  <c r="O769" i="2"/>
  <c r="O624" i="2"/>
  <c r="O988" i="2"/>
  <c r="O762" i="2"/>
  <c r="O545" i="2"/>
  <c r="O937" i="2"/>
  <c r="O821" i="2"/>
  <c r="O272" i="2"/>
  <c r="O62" i="2"/>
  <c r="O979" i="2"/>
  <c r="O118" i="2"/>
  <c r="O216" i="2"/>
  <c r="O322" i="2"/>
  <c r="O229" i="2"/>
  <c r="O989" i="2"/>
  <c r="O884" i="2"/>
  <c r="O328" i="2"/>
  <c r="O958" i="2"/>
  <c r="O383" i="2"/>
  <c r="O724" i="2"/>
  <c r="O694" i="2"/>
  <c r="O432" i="2"/>
  <c r="O781" i="2"/>
  <c r="O892" i="2"/>
  <c r="O293" i="2"/>
  <c r="O171" i="2"/>
  <c r="O124" i="2"/>
  <c r="O491" i="2"/>
  <c r="O758" i="2"/>
  <c r="O983" i="2"/>
  <c r="O956" i="2"/>
  <c r="O398" i="2"/>
  <c r="O971" i="2"/>
  <c r="O101" i="2"/>
  <c r="O649" i="2"/>
  <c r="O268" i="2"/>
  <c r="O722" i="2"/>
  <c r="O86" i="2"/>
  <c r="O479" i="2"/>
  <c r="O501" i="2"/>
  <c r="O238" i="2"/>
  <c r="O1000" i="2"/>
  <c r="O643" i="2"/>
  <c r="O158" i="2"/>
  <c r="O650" i="2"/>
  <c r="O221" i="2"/>
  <c r="O483" i="2"/>
  <c r="O562" i="2"/>
  <c r="O437" i="2"/>
  <c r="O621" i="2"/>
  <c r="O444" i="2"/>
  <c r="O113" i="2"/>
  <c r="O792" i="2"/>
  <c r="O191" i="2"/>
  <c r="O918" i="2"/>
  <c r="O517" i="2"/>
  <c r="O217" i="2"/>
  <c r="O707" i="2"/>
  <c r="O256" i="2"/>
  <c r="O493" i="2"/>
  <c r="O179" i="2"/>
  <c r="O852" i="2"/>
  <c r="O524" i="2"/>
  <c r="O67" i="2"/>
  <c r="O521" i="2"/>
  <c r="O585" i="2"/>
  <c r="O842" i="2"/>
  <c r="O599" i="2"/>
  <c r="O99" i="2"/>
  <c r="O441" i="2"/>
  <c r="O365" i="2"/>
  <c r="O455" i="2"/>
  <c r="O371" i="2"/>
  <c r="O683" i="2"/>
  <c r="O162" i="2"/>
  <c r="O449" i="2"/>
  <c r="O530" i="2"/>
  <c r="O251" i="2"/>
  <c r="O23" i="2"/>
  <c r="O661" i="2"/>
  <c r="O617" i="2"/>
  <c r="O48" i="2"/>
  <c r="O673" i="2"/>
  <c r="O504" i="2"/>
  <c r="O642" i="2"/>
  <c r="O327" i="2"/>
  <c r="O318" i="2"/>
  <c r="O739" i="2"/>
  <c r="O81" i="2"/>
  <c r="O19" i="2"/>
  <c r="O17" i="2"/>
  <c r="O995" i="2"/>
  <c r="O609" i="2"/>
  <c r="O95" i="2"/>
  <c r="O878" i="2"/>
  <c r="O436" i="2"/>
  <c r="O370" i="2"/>
  <c r="O381" i="2"/>
  <c r="O83" i="2"/>
  <c r="O915" i="2"/>
  <c r="O299" i="2"/>
  <c r="O916" i="2"/>
  <c r="O772" i="2"/>
  <c r="O775" i="2"/>
  <c r="O734" i="2"/>
  <c r="O115" i="2"/>
  <c r="O360" i="2"/>
  <c r="O473" i="2"/>
  <c r="O654" i="2"/>
  <c r="O519" i="2"/>
  <c r="O555" i="2"/>
  <c r="O872" i="2"/>
  <c r="O680" i="2"/>
  <c r="O634" i="2"/>
  <c r="O332" i="2"/>
  <c r="O279" i="2"/>
  <c r="O747" i="2"/>
  <c r="O438" i="2"/>
  <c r="O490" i="2"/>
  <c r="O776" i="2"/>
  <c r="O965" i="2"/>
  <c r="O100" i="2"/>
  <c r="O218" i="2"/>
  <c r="O411" i="2"/>
  <c r="O70" i="2"/>
  <c r="O576" i="2"/>
  <c r="O9" i="2"/>
  <c r="O339" i="2"/>
  <c r="O748" i="2"/>
  <c r="O833" i="2"/>
  <c r="O623" i="2"/>
  <c r="O612" i="2"/>
  <c r="O448" i="2"/>
  <c r="O312" i="2"/>
  <c r="O970" i="2"/>
  <c r="O98" i="2"/>
  <c r="O89" i="2"/>
  <c r="O509" i="2"/>
  <c r="O932" i="2"/>
  <c r="O144" i="2"/>
  <c r="O356" i="2"/>
  <c r="O49" i="2"/>
  <c r="O184" i="2"/>
  <c r="O921" i="2"/>
  <c r="O824" i="2"/>
  <c r="O809" i="2"/>
  <c r="O553" i="2"/>
  <c r="O306" i="2"/>
  <c r="O464" i="2"/>
  <c r="O388" i="2"/>
  <c r="O997" i="2"/>
  <c r="O382" i="2"/>
  <c r="O535" i="2"/>
  <c r="O246" i="2"/>
  <c r="O953" i="2"/>
  <c r="O263" i="2"/>
  <c r="O373" i="2"/>
  <c r="O28" i="2"/>
  <c r="O402" i="2"/>
  <c r="O595" i="2"/>
  <c r="O270" i="2"/>
  <c r="O427" i="2"/>
  <c r="O828" i="2"/>
  <c r="O860" i="2"/>
  <c r="O511" i="2"/>
  <c r="O374" i="2"/>
  <c r="O150" i="2"/>
  <c r="O899" i="2"/>
  <c r="O109" i="2"/>
  <c r="O771" i="2"/>
  <c r="O689" i="2"/>
  <c r="O615" i="2"/>
  <c r="O226" i="2"/>
  <c r="O686" i="2"/>
  <c r="O675" i="2"/>
  <c r="O665" i="2"/>
  <c r="O163" i="2"/>
  <c r="O518" i="2"/>
  <c r="O266" i="2"/>
  <c r="O331" i="2"/>
  <c r="O480" i="2"/>
  <c r="O855" i="2"/>
  <c r="O257" i="2"/>
  <c r="O136" i="2"/>
  <c r="O295" i="2"/>
  <c r="O76" i="2"/>
  <c r="O596" i="2"/>
  <c r="O702" i="2"/>
  <c r="O529" i="2"/>
  <c r="O614" i="2"/>
  <c r="O72" i="2"/>
  <c r="O968" i="2"/>
  <c r="O42" i="2"/>
  <c r="O63" i="2"/>
  <c r="O928" i="2"/>
  <c r="O164" i="2"/>
  <c r="O351" i="2"/>
  <c r="O672" i="2"/>
  <c r="O949" i="2"/>
  <c r="O790" i="2"/>
  <c r="O759" i="2"/>
  <c r="O750" i="2"/>
  <c r="O96" i="2"/>
  <c r="O919" i="2"/>
  <c r="O309" i="2"/>
  <c r="O687" i="2"/>
  <c r="O434" i="2"/>
  <c r="O905" i="2"/>
  <c r="O598" i="2"/>
  <c r="O12" i="2"/>
  <c r="O646" i="2"/>
  <c r="O15" i="2"/>
  <c r="O207" i="2"/>
  <c r="O861" i="2"/>
  <c r="O482" i="2"/>
  <c r="O984" i="2"/>
  <c r="O168" i="2"/>
  <c r="O811" i="2"/>
  <c r="O660" i="2"/>
  <c r="O368" i="2"/>
  <c r="O244" i="2"/>
  <c r="O50" i="2"/>
  <c r="O547" i="2"/>
  <c r="O814" i="2"/>
  <c r="O579" i="2"/>
  <c r="O648" i="2"/>
  <c r="O541" i="2"/>
  <c r="O993" i="2"/>
  <c r="O532" i="2"/>
  <c r="O886" i="2"/>
  <c r="O106" i="2"/>
  <c r="O644" i="2"/>
  <c r="O107" i="2"/>
  <c r="O552" i="2"/>
  <c r="O154" i="2"/>
  <c r="O342" i="2"/>
  <c r="O433" i="2"/>
  <c r="O267" i="2"/>
  <c r="O44" i="2"/>
  <c r="O597" i="2"/>
  <c r="O523" i="2"/>
  <c r="O954" i="2"/>
  <c r="O169" i="2"/>
  <c r="O564" i="2"/>
  <c r="O426" i="2"/>
  <c r="O981" i="2"/>
  <c r="O522" i="2"/>
  <c r="O395" i="2"/>
  <c r="O580" i="2"/>
  <c r="O408" i="2"/>
  <c r="O54" i="2"/>
  <c r="O794" i="2"/>
  <c r="O822" i="2"/>
  <c r="O516" i="2"/>
  <c r="O827" i="2"/>
  <c r="O846" i="2"/>
  <c r="O904" i="2"/>
  <c r="O543" i="2"/>
  <c r="O514" i="2"/>
  <c r="O871" i="2"/>
  <c r="O708" i="2"/>
  <c r="O653" i="2"/>
  <c r="O75" i="2"/>
  <c r="O889" i="2"/>
  <c r="O187" i="2"/>
  <c r="O704" i="2"/>
  <c r="O27" i="2"/>
  <c r="O911" i="2"/>
  <c r="O985" i="2"/>
  <c r="O212" i="2"/>
  <c r="O390" i="2"/>
  <c r="O90" i="2"/>
  <c r="O777" i="2"/>
  <c r="O714" i="2"/>
  <c r="O379" i="2"/>
  <c r="O132" i="2"/>
  <c r="O841" i="2"/>
  <c r="O868" i="2"/>
  <c r="O176" i="2"/>
  <c r="O73" i="2"/>
  <c r="O273" i="2"/>
  <c r="O403" i="2"/>
  <c r="O486" i="2"/>
  <c r="O711" i="2"/>
  <c r="O994" i="2"/>
  <c r="O966" i="2"/>
  <c r="O882" i="2"/>
  <c r="O898" i="2"/>
  <c r="O656" i="2"/>
  <c r="O666" i="2"/>
  <c r="O247" i="2"/>
  <c r="O863" i="2"/>
  <c r="O200" i="2"/>
  <c r="O812" i="2"/>
  <c r="O583" i="2"/>
  <c r="O902" i="2"/>
  <c r="O917" i="2"/>
  <c r="O288" i="2"/>
  <c r="O763" i="2"/>
  <c r="O498" i="2"/>
  <c r="O741" i="2"/>
  <c r="O810" i="2"/>
  <c r="O495" i="2"/>
  <c r="O955" i="2"/>
  <c r="O160" i="2"/>
  <c r="O423" i="2"/>
  <c r="O618" i="2"/>
  <c r="O120" i="2"/>
  <c r="O716" i="2"/>
  <c r="O925" i="2"/>
  <c r="O74" i="2"/>
  <c r="O399" i="2"/>
  <c r="O525" i="2"/>
  <c r="O690" i="2"/>
  <c r="O779" i="2"/>
  <c r="O465" i="2"/>
  <c r="O222" i="2"/>
  <c r="O835" i="2"/>
  <c r="O36" i="2"/>
  <c r="O352" i="2"/>
  <c r="O345" i="2"/>
  <c r="O119" i="2"/>
  <c r="O782" i="2"/>
  <c r="O938" i="2"/>
  <c r="O721" i="2"/>
  <c r="O173" i="2"/>
  <c r="O362" i="2"/>
  <c r="O485" i="2"/>
  <c r="O204" i="2"/>
  <c r="O77" i="2"/>
  <c r="O924" i="2"/>
  <c r="O302" i="2"/>
  <c r="O743" i="2"/>
  <c r="O645" i="2"/>
  <c r="O856" i="2"/>
  <c r="O627" i="2"/>
  <c r="O242" i="2"/>
  <c r="O277" i="2"/>
  <c r="O53" i="2"/>
  <c r="O422" i="2"/>
  <c r="O319" i="2"/>
  <c r="O813" i="2"/>
  <c r="O91" i="2"/>
  <c r="O944" i="2"/>
  <c r="O880" i="2"/>
  <c r="O224" i="2"/>
  <c r="O957" i="2"/>
  <c r="O831" i="2"/>
  <c r="O289" i="2"/>
  <c r="O639" i="2"/>
  <c r="O133" i="2"/>
  <c r="O346" i="2"/>
  <c r="O192" i="2"/>
  <c r="O450" i="2"/>
  <c r="O61" i="2"/>
  <c r="O582" i="2"/>
  <c r="O389" i="2"/>
  <c r="O573" i="2"/>
  <c r="O751" i="2"/>
  <c r="O153" i="2"/>
  <c r="O282" i="2"/>
  <c r="O343" i="2"/>
  <c r="O235" i="2"/>
  <c r="O254" i="2"/>
  <c r="O181" i="2"/>
  <c r="O416" i="2"/>
  <c r="O291" i="2"/>
  <c r="O584" i="2"/>
  <c r="O145" i="2"/>
  <c r="O684" i="2"/>
  <c r="O611" i="2"/>
  <c r="O605" i="2"/>
  <c r="O712" i="2"/>
  <c r="O349" i="2"/>
  <c r="O934" i="2"/>
  <c r="O223" i="2"/>
  <c r="O574" i="2"/>
  <c r="O975" i="2"/>
  <c r="O378" i="2"/>
  <c r="O838" i="2"/>
  <c r="O671" i="2"/>
  <c r="O80" i="2"/>
  <c r="O770" i="2"/>
  <c r="O104" i="2"/>
  <c r="O38" i="2"/>
  <c r="O805" i="2"/>
  <c r="O134" i="2"/>
  <c r="O420" i="2"/>
  <c r="O534" i="2"/>
  <c r="O820" i="2"/>
  <c r="O674" i="2"/>
  <c r="O539" i="2"/>
  <c r="O527" i="2"/>
  <c r="O335" i="2"/>
  <c r="O471" i="2"/>
  <c r="O682" i="2"/>
  <c r="O43" i="2"/>
  <c r="O528" i="2"/>
  <c r="O728" i="2"/>
  <c r="O180" i="2"/>
  <c r="O697" i="2"/>
  <c r="O78" i="2"/>
  <c r="O659" i="2"/>
  <c r="O142" i="2"/>
  <c r="O206" i="2"/>
  <c r="O25" i="2"/>
  <c r="O839" i="2"/>
  <c r="O239" i="2"/>
  <c r="O16" i="2"/>
  <c r="O477" i="2"/>
  <c r="O461" i="2"/>
  <c r="O998" i="2"/>
  <c r="O866" i="2"/>
  <c r="O715" i="2"/>
  <c r="O65" i="2"/>
  <c r="O375" i="2"/>
  <c r="O7" i="2"/>
  <c r="O951" i="2"/>
  <c r="O625" i="2"/>
  <c r="O237" i="2"/>
  <c r="O647" i="2"/>
  <c r="O470" i="2"/>
  <c r="O845" i="2"/>
  <c r="O57" i="2"/>
  <c r="O837" i="2"/>
  <c r="O460" i="2"/>
  <c r="O431" i="2"/>
  <c r="O725" i="2"/>
  <c r="O456" i="2"/>
  <c r="O341" i="2"/>
  <c r="O963" i="2"/>
  <c r="O830" i="2"/>
  <c r="O366" i="2"/>
  <c r="O744" i="2"/>
  <c r="O676" i="2"/>
  <c r="O803" i="2"/>
  <c r="O606" i="2"/>
  <c r="O430" i="2"/>
  <c r="O494" i="2"/>
  <c r="O387" i="2"/>
  <c r="O874" i="2"/>
  <c r="O320" i="2"/>
  <c r="O392" i="2"/>
  <c r="O723" i="2"/>
  <c r="O536" i="2"/>
  <c r="O285" i="2"/>
  <c r="O105" i="2"/>
  <c r="O540" i="2"/>
  <c r="O30" i="2"/>
  <c r="O780" i="2"/>
  <c r="O557" i="2"/>
  <c r="O632" i="2"/>
  <c r="O736" i="2"/>
  <c r="O278" i="2"/>
  <c r="O472" i="2"/>
  <c r="O258" i="2"/>
  <c r="O561" i="2"/>
  <c r="O227" i="2"/>
  <c r="O840" i="2"/>
  <c r="O737" i="2"/>
  <c r="O241" i="2"/>
  <c r="O161" i="2"/>
  <c r="O148" i="2"/>
  <c r="O468" i="2"/>
  <c r="O82" i="2"/>
  <c r="O292" i="2"/>
  <c r="O802" i="2"/>
  <c r="O817" i="2"/>
  <c r="O205" i="2"/>
  <c r="O359" i="2"/>
  <c r="O240" i="2"/>
  <c r="O950" i="2"/>
  <c r="O948" i="2"/>
  <c r="O808" i="2"/>
  <c r="O865" i="2"/>
  <c r="O565" i="2"/>
  <c r="O996" i="2"/>
  <c r="O307" i="2"/>
  <c r="O931" i="2"/>
  <c r="O588" i="2"/>
  <c r="O608" i="2"/>
  <c r="O439" i="2"/>
  <c r="O941" i="2"/>
  <c r="O128" i="2"/>
  <c r="O385" i="2"/>
  <c r="O167" i="2"/>
  <c r="O308" i="2"/>
  <c r="O859" i="2"/>
  <c r="O367" i="2"/>
  <c r="O305" i="2"/>
  <c r="O459" i="2"/>
  <c r="O457" i="2"/>
  <c r="O45" i="2"/>
  <c r="O271" i="2"/>
  <c r="O131" i="2"/>
  <c r="O720" i="2"/>
  <c r="O139" i="2"/>
  <c r="O301" i="2"/>
  <c r="O110" i="2"/>
  <c r="O549" i="2"/>
  <c r="O496" i="2"/>
  <c r="O97" i="2"/>
  <c r="O893" i="2"/>
  <c r="O336" i="2"/>
  <c r="O867" i="2"/>
  <c r="O249" i="2"/>
  <c r="O967" i="2"/>
  <c r="O613" i="2"/>
  <c r="O853" i="2"/>
  <c r="O264" i="2"/>
  <c r="O69" i="2"/>
  <c r="O2" i="2"/>
  <c r="O927" i="2"/>
  <c r="O881" i="2"/>
  <c r="O484" i="2"/>
  <c r="O796" i="2"/>
  <c r="O24" i="2"/>
  <c r="O325" i="2"/>
  <c r="O125" i="2"/>
  <c r="O189" i="2"/>
  <c r="O556" i="2"/>
  <c r="O877" i="2"/>
  <c r="O864" i="2"/>
  <c r="O876" i="2"/>
  <c r="O590" i="2"/>
  <c r="O159" i="2"/>
  <c r="O407" i="2"/>
  <c r="O294" i="2"/>
  <c r="O68" i="2"/>
  <c r="O47" i="2"/>
  <c r="O59" i="2"/>
  <c r="O130" i="2"/>
  <c r="O651" i="2"/>
  <c r="O202" i="2"/>
  <c r="O245" i="2"/>
  <c r="O13" i="2"/>
  <c r="O652" i="2"/>
  <c r="O46" i="2"/>
  <c r="O766" i="2"/>
  <c r="O508" i="2"/>
  <c r="O261" i="2"/>
  <c r="O695" i="2"/>
  <c r="O60" i="2"/>
  <c r="O709" i="2"/>
  <c r="O703" i="2"/>
  <c r="O591" i="2"/>
  <c r="O760" i="2"/>
  <c r="O768" i="2"/>
  <c r="O850" i="2"/>
  <c r="O228" i="2"/>
  <c r="O622" i="2"/>
  <c r="O364" i="2"/>
  <c r="O914" i="2"/>
  <c r="O177" i="2"/>
  <c r="O170" i="2"/>
  <c r="O467" i="2"/>
  <c r="O537" i="2"/>
  <c r="O354" i="2"/>
  <c r="O870" i="2"/>
  <c r="O991" i="2"/>
  <c r="O146" i="2"/>
  <c r="O531" i="2"/>
  <c r="O640" i="2"/>
  <c r="O604" i="2"/>
  <c r="O193" i="2"/>
  <c r="O610" i="2"/>
  <c r="O662" i="2"/>
  <c r="O825" i="2"/>
  <c r="O209" i="2"/>
  <c r="O761" i="2"/>
  <c r="O503" i="2"/>
  <c r="O630" i="2"/>
  <c r="O512" i="2"/>
  <c r="O620" i="2"/>
  <c r="O663" i="2"/>
  <c r="O542" i="2"/>
  <c r="O397" i="2"/>
  <c r="O986" i="2"/>
  <c r="O172" i="2"/>
  <c r="O726" i="2"/>
  <c r="O869" i="2"/>
  <c r="O685" i="2"/>
  <c r="O478" i="2"/>
  <c r="O799" i="2"/>
  <c r="O323" i="2"/>
  <c r="O324" i="2"/>
  <c r="O559" i="2"/>
  <c r="O816" i="2"/>
  <c r="O586" i="2"/>
  <c r="O52" i="2"/>
  <c r="O793" i="2"/>
  <c r="O930" i="2"/>
  <c r="O600" i="2"/>
  <c r="O710" i="2"/>
  <c r="O126" i="2"/>
  <c r="O502" i="2"/>
  <c r="O668" i="2"/>
  <c r="O601" i="2"/>
  <c r="O890" i="2"/>
  <c r="O862" i="2"/>
  <c r="O317" i="2"/>
  <c r="O692" i="2"/>
  <c r="O231" i="2"/>
  <c r="O795" i="2"/>
  <c r="O946" i="2"/>
  <c r="O391" i="2"/>
  <c r="O121" i="2"/>
  <c r="O182" i="2"/>
  <c r="O394" i="2"/>
  <c r="O138" i="2"/>
  <c r="O801" i="2"/>
  <c r="O380" i="2"/>
  <c r="O440" i="2"/>
  <c r="O405" i="2"/>
  <c r="O735" i="2"/>
  <c r="O358" i="2"/>
  <c r="O253" i="2"/>
  <c r="O740" i="2"/>
  <c r="O854" i="2"/>
  <c r="O71" i="2"/>
  <c r="O409" i="2"/>
  <c r="O297" i="2"/>
  <c r="O428" i="2"/>
  <c r="O638" i="2"/>
  <c r="O476" i="2"/>
  <c r="O321" i="2"/>
  <c r="O353" i="2"/>
  <c r="O572" i="2"/>
  <c r="O858" i="2"/>
  <c r="O400" i="2"/>
  <c r="O451" i="2"/>
  <c r="O520" i="2"/>
  <c r="O977" i="2"/>
  <c r="O129" i="2"/>
  <c r="O421" i="2"/>
  <c r="O274" i="2"/>
  <c r="O233" i="2"/>
  <c r="O203" i="2"/>
  <c r="O667" i="2"/>
  <c r="O992" i="2"/>
  <c r="O377" i="2"/>
  <c r="O513" i="2"/>
  <c r="O885" i="2"/>
  <c r="O641" i="2"/>
  <c r="O94" i="2"/>
  <c r="O340" i="2"/>
  <c r="O281" i="2"/>
  <c r="O462" i="2"/>
  <c r="O269" i="2"/>
  <c r="O908" i="2"/>
  <c r="O753" i="2"/>
  <c r="O538" i="2"/>
  <c r="O903" i="2"/>
  <c r="O800" i="2"/>
  <c r="O767" i="2"/>
  <c r="O178" i="2"/>
  <c r="O701" i="2"/>
  <c r="O558" i="2"/>
  <c r="O32" i="2"/>
  <c r="O569" i="2"/>
  <c r="O64" i="2"/>
  <c r="O248" i="2"/>
  <c r="O982" i="2"/>
  <c r="O35" i="2"/>
  <c r="O20" i="2"/>
  <c r="O58" i="2"/>
  <c r="O500" i="2"/>
  <c r="O259" i="2"/>
  <c r="O10" i="2"/>
  <c r="O188" i="2"/>
  <c r="O560" i="2"/>
  <c r="O56" i="2"/>
  <c r="O348" i="2"/>
  <c r="O806" i="2"/>
  <c r="O696" i="2"/>
  <c r="O894" i="2"/>
  <c r="O474" i="2"/>
  <c r="O554" i="2"/>
  <c r="O952" i="2"/>
  <c r="O230" i="2"/>
  <c r="O410" i="2"/>
  <c r="O834" i="2"/>
  <c r="O789" i="2"/>
  <c r="O103" i="2"/>
  <c r="O425" i="2"/>
  <c r="O678" i="2"/>
  <c r="O912" i="2"/>
  <c r="O300" i="2"/>
  <c r="O363" i="2"/>
  <c r="O587" i="2"/>
  <c r="O603" i="2"/>
  <c r="O578" i="2"/>
  <c r="O943" i="2"/>
  <c r="O745" i="2"/>
  <c r="O791" i="2"/>
  <c r="O424" i="2"/>
  <c r="O22" i="2"/>
  <c r="O940" i="2"/>
  <c r="O198" i="2"/>
  <c r="O165" i="2"/>
  <c r="O755" i="2"/>
  <c r="O786" i="2"/>
  <c r="O442" i="2"/>
  <c r="O175" i="2"/>
  <c r="O818" i="2"/>
  <c r="O445" i="2"/>
  <c r="O787" i="2"/>
  <c r="O499" i="2"/>
  <c r="O910" i="2"/>
  <c r="O220" i="2"/>
  <c r="O717" i="2"/>
  <c r="O939" i="2"/>
  <c r="O920" i="2"/>
  <c r="O347" i="2"/>
  <c r="O999" i="2"/>
  <c r="O727" i="2"/>
  <c r="O757" i="2"/>
  <c r="O631" i="2"/>
  <c r="O447" i="2"/>
  <c r="O196" i="2"/>
  <c r="O286" i="2"/>
  <c r="O980" i="2"/>
  <c r="O713" i="2"/>
  <c r="O804" i="2"/>
  <c r="O628" i="2"/>
  <c r="O635" i="2"/>
  <c r="O37" i="2"/>
  <c r="O201" i="2"/>
  <c r="O546" i="2"/>
  <c r="O453" i="2"/>
  <c r="O974" i="2"/>
  <c r="O369" i="2"/>
  <c r="O896" i="2"/>
  <c r="O783" i="2"/>
  <c r="O515" i="2"/>
  <c r="O730" i="2"/>
  <c r="O746" i="2"/>
  <c r="O127" i="2"/>
  <c r="O489" i="2"/>
  <c r="O393" i="2"/>
  <c r="O443" i="2"/>
  <c r="O350" i="2"/>
  <c r="O466" i="2"/>
  <c r="O836" i="2"/>
  <c r="O901" i="2"/>
  <c r="O742" i="2"/>
  <c r="O506" i="2"/>
  <c r="O875" i="2"/>
  <c r="O906" i="2"/>
  <c r="O114" i="2"/>
  <c r="O619" i="2"/>
  <c r="O386" i="2"/>
  <c r="O844" i="2"/>
  <c r="O84" i="2"/>
  <c r="O847" i="2"/>
  <c r="O33" i="2"/>
  <c r="O849" i="2"/>
  <c r="O376" i="2"/>
  <c r="O577" i="2"/>
  <c r="O276" i="2"/>
  <c r="O355" i="2"/>
  <c r="O487" i="2"/>
  <c r="O593" i="2"/>
  <c r="O41" i="2"/>
  <c r="O313" i="2"/>
  <c r="O571" i="2"/>
  <c r="O326" i="2"/>
  <c r="O945" i="2"/>
  <c r="O304" i="2"/>
  <c r="O964" i="2"/>
  <c r="O79" i="2"/>
  <c r="O330" i="2"/>
  <c r="O417" i="2"/>
  <c r="O987" i="2"/>
  <c r="O334" i="2"/>
  <c r="O548" i="2"/>
  <c r="O290" i="2"/>
  <c r="O602" i="2"/>
  <c r="O384" i="2"/>
  <c r="O592" i="2"/>
  <c r="O961" i="2"/>
  <c r="O756" i="2"/>
  <c r="O357" i="2"/>
  <c r="O677" i="2"/>
  <c r="O636" i="2"/>
  <c r="O40" i="2"/>
  <c r="O157" i="2"/>
  <c r="O225" i="2"/>
  <c r="O311" i="2"/>
  <c r="O897" i="2"/>
  <c r="O143" i="2"/>
  <c r="O34" i="2"/>
  <c r="O152" i="2"/>
  <c r="O935" i="2"/>
  <c r="O655" i="2"/>
  <c r="O481" i="2"/>
  <c r="O429" i="2"/>
  <c r="O664" i="2"/>
  <c r="O123" i="2"/>
  <c r="O909" i="2"/>
  <c r="O857" i="2"/>
  <c r="O942" i="2"/>
  <c r="O337" i="2"/>
  <c r="O404" i="2"/>
  <c r="O732" i="2"/>
  <c r="O183" i="2"/>
  <c r="O933" i="2"/>
  <c r="O262" i="2"/>
  <c r="O637" i="2"/>
  <c r="O283" i="2"/>
  <c r="O788" i="2"/>
  <c r="O959" i="2"/>
  <c r="P883" i="2"/>
  <c r="P418" i="2"/>
  <c r="P92" i="2"/>
  <c r="P669" i="2"/>
  <c r="P488" i="2"/>
  <c r="P731" i="2"/>
  <c r="P626" i="2"/>
  <c r="P887" i="2"/>
  <c r="P797" i="2"/>
  <c r="P657" i="2"/>
  <c r="P581" i="2"/>
  <c r="P316" i="2"/>
  <c r="P396" i="2"/>
  <c r="P698" i="2"/>
  <c r="P18" i="2"/>
  <c r="P629" i="2"/>
  <c r="P51" i="2"/>
  <c r="P873" i="2"/>
  <c r="P575" i="2"/>
  <c r="P774" i="2"/>
  <c r="P976" i="2"/>
  <c r="P891" i="2"/>
  <c r="P463" i="2"/>
  <c r="P116" i="2"/>
  <c r="P66" i="2"/>
  <c r="P705" i="2"/>
  <c r="P93" i="2"/>
  <c r="P275" i="2"/>
  <c r="P990" i="2"/>
  <c r="P243" i="2"/>
  <c r="P454" i="2"/>
  <c r="P214" i="2"/>
  <c r="P738" i="2"/>
  <c r="P208" i="2"/>
  <c r="P55" i="2"/>
  <c r="P567" i="2"/>
  <c r="P829" i="2"/>
  <c r="P252" i="2"/>
  <c r="P469" i="2"/>
  <c r="P900" i="2"/>
  <c r="P190" i="2"/>
  <c r="P510" i="2"/>
  <c r="P749" i="2"/>
  <c r="P147" i="2"/>
  <c r="P234" i="2"/>
  <c r="P773" i="2"/>
  <c r="P8" i="2"/>
  <c r="P913" i="2"/>
  <c r="P211" i="2"/>
  <c r="P475" i="2"/>
  <c r="P29" i="2"/>
  <c r="P4" i="2"/>
  <c r="P14" i="2"/>
  <c r="P679" i="2"/>
  <c r="P607" i="2"/>
  <c r="P815" i="2"/>
  <c r="P149" i="2"/>
  <c r="P39" i="2"/>
  <c r="P108" i="2"/>
  <c r="P310" i="2"/>
  <c r="P194" i="2"/>
  <c r="P102" i="2"/>
  <c r="P969" i="2"/>
  <c r="P570" i="2"/>
  <c r="P895" i="2"/>
  <c r="P401" i="2"/>
  <c r="P594" i="2"/>
  <c r="P446" i="2"/>
  <c r="P406" i="2"/>
  <c r="P412" i="2"/>
  <c r="P566" i="2"/>
  <c r="P155" i="2"/>
  <c r="P616" i="2"/>
  <c r="P303" i="2"/>
  <c r="P754" i="2"/>
  <c r="P497" i="2"/>
  <c r="P287" i="2"/>
  <c r="P87" i="2"/>
  <c r="P215" i="2"/>
  <c r="P492" i="2"/>
  <c r="P122" i="2"/>
  <c r="P764" i="2"/>
  <c r="P219" i="2"/>
  <c r="P265" i="2"/>
  <c r="P922" i="2"/>
  <c r="P166" i="2"/>
  <c r="P733" i="2"/>
  <c r="P260" i="2"/>
  <c r="P112" i="2"/>
  <c r="P693" i="2"/>
  <c r="P507" i="2"/>
  <c r="P688" i="2"/>
  <c r="P778" i="2"/>
  <c r="P11" i="2"/>
  <c r="P962" i="2"/>
  <c r="P700" i="2"/>
  <c r="P85" i="2"/>
  <c r="P798" i="2"/>
  <c r="P199" i="2"/>
  <c r="P344" i="2"/>
  <c r="P137" i="2"/>
  <c r="P135" i="2"/>
  <c r="P413" i="2"/>
  <c r="P156" i="2"/>
  <c r="P236" i="2"/>
  <c r="P419" i="2"/>
  <c r="P658" i="2"/>
  <c r="P526" i="2"/>
  <c r="P280" i="2"/>
  <c r="P88" i="2"/>
  <c r="P213" i="2"/>
  <c r="P936" i="2"/>
  <c r="P550" i="2"/>
  <c r="P111" i="2"/>
  <c r="P5" i="2"/>
  <c r="P255" i="2"/>
  <c r="P785" i="2"/>
  <c r="P186" i="2"/>
  <c r="P551" i="2"/>
  <c r="P851" i="2"/>
  <c r="P819" i="2"/>
  <c r="P633" i="2"/>
  <c r="P784" i="2"/>
  <c r="P706" i="2"/>
  <c r="P807" i="2"/>
  <c r="P718" i="2"/>
  <c r="P589" i="2"/>
  <c r="P947" i="2"/>
  <c r="P117" i="2"/>
  <c r="P765" i="2"/>
  <c r="P415" i="2"/>
  <c r="P361" i="2"/>
  <c r="P681" i="2"/>
  <c r="P250" i="2"/>
  <c r="P329" i="2"/>
  <c r="P972" i="2"/>
  <c r="P670" i="2"/>
  <c r="P314" i="2"/>
  <c r="P174" i="2"/>
  <c r="P333" i="2"/>
  <c r="P907" i="2"/>
  <c r="P699" i="2"/>
  <c r="P929" i="2"/>
  <c r="P752" i="2"/>
  <c r="P141" i="2"/>
  <c r="P544" i="2"/>
  <c r="P284" i="2"/>
  <c r="P960" i="2"/>
  <c r="P210" i="2"/>
  <c r="P926" i="2"/>
  <c r="P823" i="2"/>
  <c r="P298" i="2"/>
  <c r="P197" i="2"/>
  <c r="P832" i="2"/>
  <c r="P843" i="2"/>
  <c r="P232" i="2"/>
  <c r="P26" i="2"/>
  <c r="P3" i="2"/>
  <c r="P21" i="2"/>
  <c r="P879" i="2"/>
  <c r="P372" i="2"/>
  <c r="P923" i="2"/>
  <c r="P691" i="2"/>
  <c r="P315" i="2"/>
  <c r="P185" i="2"/>
  <c r="P533" i="2"/>
  <c r="P195" i="2"/>
  <c r="P452" i="2"/>
  <c r="P296" i="2"/>
  <c r="P338" i="2"/>
  <c r="P31" i="2"/>
  <c r="P563" i="2"/>
  <c r="P414" i="2"/>
  <c r="P973" i="2"/>
  <c r="P505" i="2"/>
  <c r="P888" i="2"/>
  <c r="P848" i="2"/>
  <c r="P151" i="2"/>
  <c r="P719" i="2"/>
  <c r="P568" i="2"/>
  <c r="P729" i="2"/>
  <c r="P140" i="2"/>
  <c r="P458" i="2"/>
  <c r="P826" i="2"/>
  <c r="P6" i="2"/>
  <c r="P978" i="2"/>
  <c r="P435" i="2"/>
  <c r="P769" i="2"/>
  <c r="P624" i="2"/>
  <c r="P988" i="2"/>
  <c r="P762" i="2"/>
  <c r="P545" i="2"/>
  <c r="P937" i="2"/>
  <c r="P821" i="2"/>
  <c r="P272" i="2"/>
  <c r="P62" i="2"/>
  <c r="P979" i="2"/>
  <c r="P118" i="2"/>
  <c r="P216" i="2"/>
  <c r="P322" i="2"/>
  <c r="P229" i="2"/>
  <c r="P989" i="2"/>
  <c r="P884" i="2"/>
  <c r="P328" i="2"/>
  <c r="P958" i="2"/>
  <c r="P383" i="2"/>
  <c r="P724" i="2"/>
  <c r="P694" i="2"/>
  <c r="P432" i="2"/>
  <c r="P781" i="2"/>
  <c r="P892" i="2"/>
  <c r="P293" i="2"/>
  <c r="P171" i="2"/>
  <c r="P124" i="2"/>
  <c r="P491" i="2"/>
  <c r="P758" i="2"/>
  <c r="P983" i="2"/>
  <c r="P956" i="2"/>
  <c r="P398" i="2"/>
  <c r="P971" i="2"/>
  <c r="P101" i="2"/>
  <c r="P649" i="2"/>
  <c r="P268" i="2"/>
  <c r="P722" i="2"/>
  <c r="P86" i="2"/>
  <c r="P479" i="2"/>
  <c r="P501" i="2"/>
  <c r="P238" i="2"/>
  <c r="P1000" i="2"/>
  <c r="P643" i="2"/>
  <c r="P158" i="2"/>
  <c r="P650" i="2"/>
  <c r="P221" i="2"/>
  <c r="P483" i="2"/>
  <c r="P562" i="2"/>
  <c r="P437" i="2"/>
  <c r="P621" i="2"/>
  <c r="P444" i="2"/>
  <c r="P113" i="2"/>
  <c r="P792" i="2"/>
  <c r="P191" i="2"/>
  <c r="P918" i="2"/>
  <c r="P517" i="2"/>
  <c r="P217" i="2"/>
  <c r="P707" i="2"/>
  <c r="P256" i="2"/>
  <c r="P493" i="2"/>
  <c r="P179" i="2"/>
  <c r="P852" i="2"/>
  <c r="P524" i="2"/>
  <c r="P67" i="2"/>
  <c r="P521" i="2"/>
  <c r="P585" i="2"/>
  <c r="P842" i="2"/>
  <c r="P599" i="2"/>
  <c r="P99" i="2"/>
  <c r="P441" i="2"/>
  <c r="P365" i="2"/>
  <c r="P455" i="2"/>
  <c r="P371" i="2"/>
  <c r="P683" i="2"/>
  <c r="P162" i="2"/>
  <c r="P449" i="2"/>
  <c r="P530" i="2"/>
  <c r="P251" i="2"/>
  <c r="P23" i="2"/>
  <c r="P661" i="2"/>
  <c r="P617" i="2"/>
  <c r="P48" i="2"/>
  <c r="P673" i="2"/>
  <c r="P504" i="2"/>
  <c r="P642" i="2"/>
  <c r="P327" i="2"/>
  <c r="P318" i="2"/>
  <c r="P739" i="2"/>
  <c r="P81" i="2"/>
  <c r="P19" i="2"/>
  <c r="P17" i="2"/>
  <c r="P995" i="2"/>
  <c r="P609" i="2"/>
  <c r="P95" i="2"/>
  <c r="P878" i="2"/>
  <c r="P436" i="2"/>
  <c r="P370" i="2"/>
  <c r="P381" i="2"/>
  <c r="P83" i="2"/>
  <c r="P915" i="2"/>
  <c r="P299" i="2"/>
  <c r="P916" i="2"/>
  <c r="P772" i="2"/>
  <c r="P775" i="2"/>
  <c r="P734" i="2"/>
  <c r="P115" i="2"/>
  <c r="P360" i="2"/>
  <c r="P473" i="2"/>
  <c r="P654" i="2"/>
  <c r="P519" i="2"/>
  <c r="P555" i="2"/>
  <c r="P872" i="2"/>
  <c r="P680" i="2"/>
  <c r="P634" i="2"/>
  <c r="P332" i="2"/>
  <c r="P279" i="2"/>
  <c r="P747" i="2"/>
  <c r="P438" i="2"/>
  <c r="P490" i="2"/>
  <c r="P776" i="2"/>
  <c r="P965" i="2"/>
  <c r="P100" i="2"/>
  <c r="P218" i="2"/>
  <c r="P411" i="2"/>
  <c r="P70" i="2"/>
  <c r="P576" i="2"/>
  <c r="P9" i="2"/>
  <c r="P339" i="2"/>
  <c r="P748" i="2"/>
  <c r="P833" i="2"/>
  <c r="P623" i="2"/>
  <c r="P612" i="2"/>
  <c r="P448" i="2"/>
  <c r="P312" i="2"/>
  <c r="P970" i="2"/>
  <c r="P98" i="2"/>
  <c r="P89" i="2"/>
  <c r="P509" i="2"/>
  <c r="P932" i="2"/>
  <c r="P144" i="2"/>
  <c r="P356" i="2"/>
  <c r="P49" i="2"/>
  <c r="P184" i="2"/>
  <c r="P921" i="2"/>
  <c r="P824" i="2"/>
  <c r="P809" i="2"/>
  <c r="P553" i="2"/>
  <c r="P306" i="2"/>
  <c r="P464" i="2"/>
  <c r="P388" i="2"/>
  <c r="P997" i="2"/>
  <c r="P382" i="2"/>
  <c r="P535" i="2"/>
  <c r="P246" i="2"/>
  <c r="P953" i="2"/>
  <c r="P263" i="2"/>
  <c r="P373" i="2"/>
  <c r="P28" i="2"/>
  <c r="P402" i="2"/>
  <c r="P595" i="2"/>
  <c r="P270" i="2"/>
  <c r="P427" i="2"/>
  <c r="P828" i="2"/>
  <c r="P860" i="2"/>
  <c r="P511" i="2"/>
  <c r="P374" i="2"/>
  <c r="P150" i="2"/>
  <c r="P899" i="2"/>
  <c r="P109" i="2"/>
  <c r="P771" i="2"/>
  <c r="P689" i="2"/>
  <c r="P615" i="2"/>
  <c r="P226" i="2"/>
  <c r="P686" i="2"/>
  <c r="P675" i="2"/>
  <c r="P665" i="2"/>
  <c r="P163" i="2"/>
  <c r="P518" i="2"/>
  <c r="P266" i="2"/>
  <c r="P331" i="2"/>
  <c r="P480" i="2"/>
  <c r="P855" i="2"/>
  <c r="P257" i="2"/>
  <c r="P136" i="2"/>
  <c r="P295" i="2"/>
  <c r="P76" i="2"/>
  <c r="P596" i="2"/>
  <c r="P702" i="2"/>
  <c r="P529" i="2"/>
  <c r="P614" i="2"/>
  <c r="P72" i="2"/>
  <c r="P968" i="2"/>
  <c r="P42" i="2"/>
  <c r="P63" i="2"/>
  <c r="P928" i="2"/>
  <c r="P164" i="2"/>
  <c r="P351" i="2"/>
  <c r="P672" i="2"/>
  <c r="P949" i="2"/>
  <c r="P790" i="2"/>
  <c r="P759" i="2"/>
  <c r="P750" i="2"/>
  <c r="P96" i="2"/>
  <c r="P919" i="2"/>
  <c r="P309" i="2"/>
  <c r="P687" i="2"/>
  <c r="P434" i="2"/>
  <c r="P905" i="2"/>
  <c r="P598" i="2"/>
  <c r="P12" i="2"/>
  <c r="P646" i="2"/>
  <c r="P15" i="2"/>
  <c r="P207" i="2"/>
  <c r="P861" i="2"/>
  <c r="P482" i="2"/>
  <c r="P984" i="2"/>
  <c r="P168" i="2"/>
  <c r="P811" i="2"/>
  <c r="P660" i="2"/>
  <c r="P368" i="2"/>
  <c r="P244" i="2"/>
  <c r="P50" i="2"/>
  <c r="P547" i="2"/>
  <c r="P814" i="2"/>
  <c r="P579" i="2"/>
  <c r="P648" i="2"/>
  <c r="P541" i="2"/>
  <c r="P993" i="2"/>
  <c r="P532" i="2"/>
  <c r="P886" i="2"/>
  <c r="P106" i="2"/>
  <c r="P644" i="2"/>
  <c r="P107" i="2"/>
  <c r="P552" i="2"/>
  <c r="P154" i="2"/>
  <c r="P342" i="2"/>
  <c r="P433" i="2"/>
  <c r="P267" i="2"/>
  <c r="P44" i="2"/>
  <c r="P597" i="2"/>
  <c r="P523" i="2"/>
  <c r="P954" i="2"/>
  <c r="P169" i="2"/>
  <c r="P564" i="2"/>
  <c r="P426" i="2"/>
  <c r="P981" i="2"/>
  <c r="P522" i="2"/>
  <c r="P395" i="2"/>
  <c r="P580" i="2"/>
  <c r="P408" i="2"/>
  <c r="P54" i="2"/>
  <c r="P794" i="2"/>
  <c r="P822" i="2"/>
  <c r="P516" i="2"/>
  <c r="P827" i="2"/>
  <c r="P846" i="2"/>
  <c r="P904" i="2"/>
  <c r="P543" i="2"/>
  <c r="P514" i="2"/>
  <c r="P871" i="2"/>
  <c r="P708" i="2"/>
  <c r="P653" i="2"/>
  <c r="P75" i="2"/>
  <c r="P889" i="2"/>
  <c r="P187" i="2"/>
  <c r="P704" i="2"/>
  <c r="P27" i="2"/>
  <c r="P911" i="2"/>
  <c r="P985" i="2"/>
  <c r="P212" i="2"/>
  <c r="P390" i="2"/>
  <c r="P90" i="2"/>
  <c r="P777" i="2"/>
  <c r="P714" i="2"/>
  <c r="P379" i="2"/>
  <c r="P132" i="2"/>
  <c r="P841" i="2"/>
  <c r="P868" i="2"/>
  <c r="P176" i="2"/>
  <c r="P73" i="2"/>
  <c r="P273" i="2"/>
  <c r="P403" i="2"/>
  <c r="P486" i="2"/>
  <c r="P711" i="2"/>
  <c r="P994" i="2"/>
  <c r="P966" i="2"/>
  <c r="P882" i="2"/>
  <c r="P898" i="2"/>
  <c r="P656" i="2"/>
  <c r="P666" i="2"/>
  <c r="P247" i="2"/>
  <c r="P863" i="2"/>
  <c r="P200" i="2"/>
  <c r="P812" i="2"/>
  <c r="P583" i="2"/>
  <c r="P902" i="2"/>
  <c r="P917" i="2"/>
  <c r="P288" i="2"/>
  <c r="P763" i="2"/>
  <c r="P498" i="2"/>
  <c r="P741" i="2"/>
  <c r="P810" i="2"/>
  <c r="P495" i="2"/>
  <c r="P955" i="2"/>
  <c r="P160" i="2"/>
  <c r="P423" i="2"/>
  <c r="P618" i="2"/>
  <c r="P120" i="2"/>
  <c r="P716" i="2"/>
  <c r="P925" i="2"/>
  <c r="P74" i="2"/>
  <c r="P399" i="2"/>
  <c r="P525" i="2"/>
  <c r="P690" i="2"/>
  <c r="P779" i="2"/>
  <c r="P465" i="2"/>
  <c r="P222" i="2"/>
  <c r="P835" i="2"/>
  <c r="P36" i="2"/>
  <c r="P352" i="2"/>
  <c r="P345" i="2"/>
  <c r="P119" i="2"/>
  <c r="P782" i="2"/>
  <c r="P938" i="2"/>
  <c r="P721" i="2"/>
  <c r="P173" i="2"/>
  <c r="P362" i="2"/>
  <c r="P485" i="2"/>
  <c r="P204" i="2"/>
  <c r="P77" i="2"/>
  <c r="P924" i="2"/>
  <c r="P302" i="2"/>
  <c r="P743" i="2"/>
  <c r="P645" i="2"/>
  <c r="P856" i="2"/>
  <c r="P627" i="2"/>
  <c r="P242" i="2"/>
  <c r="P277" i="2"/>
  <c r="P53" i="2"/>
  <c r="P422" i="2"/>
  <c r="P319" i="2"/>
  <c r="P813" i="2"/>
  <c r="P91" i="2"/>
  <c r="P944" i="2"/>
  <c r="P880" i="2"/>
  <c r="P224" i="2"/>
  <c r="P957" i="2"/>
  <c r="P831" i="2"/>
  <c r="P289" i="2"/>
  <c r="P639" i="2"/>
  <c r="P133" i="2"/>
  <c r="P346" i="2"/>
  <c r="P192" i="2"/>
  <c r="P450" i="2"/>
  <c r="P61" i="2"/>
  <c r="P582" i="2"/>
  <c r="P389" i="2"/>
  <c r="P573" i="2"/>
  <c r="P751" i="2"/>
  <c r="P153" i="2"/>
  <c r="P282" i="2"/>
  <c r="P343" i="2"/>
  <c r="P235" i="2"/>
  <c r="P254" i="2"/>
  <c r="P181" i="2"/>
  <c r="P416" i="2"/>
  <c r="P291" i="2"/>
  <c r="P584" i="2"/>
  <c r="P145" i="2"/>
  <c r="P684" i="2"/>
  <c r="P611" i="2"/>
  <c r="P605" i="2"/>
  <c r="P712" i="2"/>
  <c r="P349" i="2"/>
  <c r="P934" i="2"/>
  <c r="P223" i="2"/>
  <c r="P574" i="2"/>
  <c r="P975" i="2"/>
  <c r="P378" i="2"/>
  <c r="P838" i="2"/>
  <c r="P671" i="2"/>
  <c r="P80" i="2"/>
  <c r="P770" i="2"/>
  <c r="P104" i="2"/>
  <c r="P38" i="2"/>
  <c r="P805" i="2"/>
  <c r="P134" i="2"/>
  <c r="P420" i="2"/>
  <c r="P534" i="2"/>
  <c r="P820" i="2"/>
  <c r="P674" i="2"/>
  <c r="P539" i="2"/>
  <c r="P527" i="2"/>
  <c r="P335" i="2"/>
  <c r="P471" i="2"/>
  <c r="P682" i="2"/>
  <c r="P43" i="2"/>
  <c r="P528" i="2"/>
  <c r="P728" i="2"/>
  <c r="P180" i="2"/>
  <c r="P697" i="2"/>
  <c r="P78" i="2"/>
  <c r="P659" i="2"/>
  <c r="P142" i="2"/>
  <c r="P206" i="2"/>
  <c r="P25" i="2"/>
  <c r="P839" i="2"/>
  <c r="P239" i="2"/>
  <c r="P16" i="2"/>
  <c r="P477" i="2"/>
  <c r="P461" i="2"/>
  <c r="P998" i="2"/>
  <c r="P866" i="2"/>
  <c r="P715" i="2"/>
  <c r="P65" i="2"/>
  <c r="P375" i="2"/>
  <c r="P7" i="2"/>
  <c r="P951" i="2"/>
  <c r="P625" i="2"/>
  <c r="P237" i="2"/>
  <c r="P647" i="2"/>
  <c r="P470" i="2"/>
  <c r="P845" i="2"/>
  <c r="P57" i="2"/>
  <c r="P837" i="2"/>
  <c r="P460" i="2"/>
  <c r="P431" i="2"/>
  <c r="P725" i="2"/>
  <c r="P456" i="2"/>
  <c r="P341" i="2"/>
  <c r="P963" i="2"/>
  <c r="P830" i="2"/>
  <c r="P366" i="2"/>
  <c r="P744" i="2"/>
  <c r="P676" i="2"/>
  <c r="P803" i="2"/>
  <c r="P606" i="2"/>
  <c r="P430" i="2"/>
  <c r="P494" i="2"/>
  <c r="P387" i="2"/>
  <c r="P874" i="2"/>
  <c r="P320" i="2"/>
  <c r="P392" i="2"/>
  <c r="P723" i="2"/>
  <c r="P536" i="2"/>
  <c r="P285" i="2"/>
  <c r="P105" i="2"/>
  <c r="P540" i="2"/>
  <c r="P30" i="2"/>
  <c r="P780" i="2"/>
  <c r="P557" i="2"/>
  <c r="P632" i="2"/>
  <c r="P736" i="2"/>
  <c r="P278" i="2"/>
  <c r="P472" i="2"/>
  <c r="P258" i="2"/>
  <c r="P561" i="2"/>
  <c r="P227" i="2"/>
  <c r="P840" i="2"/>
  <c r="P737" i="2"/>
  <c r="P241" i="2"/>
  <c r="P161" i="2"/>
  <c r="P148" i="2"/>
  <c r="P468" i="2"/>
  <c r="P82" i="2"/>
  <c r="P292" i="2"/>
  <c r="P802" i="2"/>
  <c r="P817" i="2"/>
  <c r="P205" i="2"/>
  <c r="P359" i="2"/>
  <c r="P240" i="2"/>
  <c r="P950" i="2"/>
  <c r="P948" i="2"/>
  <c r="P808" i="2"/>
  <c r="P865" i="2"/>
  <c r="P565" i="2"/>
  <c r="P996" i="2"/>
  <c r="P307" i="2"/>
  <c r="P931" i="2"/>
  <c r="P588" i="2"/>
  <c r="P608" i="2"/>
  <c r="P439" i="2"/>
  <c r="P941" i="2"/>
  <c r="P128" i="2"/>
  <c r="P385" i="2"/>
  <c r="P167" i="2"/>
  <c r="P308" i="2"/>
  <c r="P859" i="2"/>
  <c r="P367" i="2"/>
  <c r="P305" i="2"/>
  <c r="P459" i="2"/>
  <c r="P457" i="2"/>
  <c r="P45" i="2"/>
  <c r="P271" i="2"/>
  <c r="P131" i="2"/>
  <c r="P720" i="2"/>
  <c r="P139" i="2"/>
  <c r="P301" i="2"/>
  <c r="P110" i="2"/>
  <c r="P549" i="2"/>
  <c r="P496" i="2"/>
  <c r="P97" i="2"/>
  <c r="P893" i="2"/>
  <c r="P336" i="2"/>
  <c r="P867" i="2"/>
  <c r="P249" i="2"/>
  <c r="P967" i="2"/>
  <c r="P613" i="2"/>
  <c r="P853" i="2"/>
  <c r="P264" i="2"/>
  <c r="P69" i="2"/>
  <c r="P2" i="2"/>
  <c r="P927" i="2"/>
  <c r="P881" i="2"/>
  <c r="P484" i="2"/>
  <c r="P796" i="2"/>
  <c r="P24" i="2"/>
  <c r="P325" i="2"/>
  <c r="P125" i="2"/>
  <c r="P189" i="2"/>
  <c r="P556" i="2"/>
  <c r="P877" i="2"/>
  <c r="P864" i="2"/>
  <c r="P876" i="2"/>
  <c r="P590" i="2"/>
  <c r="P159" i="2"/>
  <c r="P407" i="2"/>
  <c r="P294" i="2"/>
  <c r="P68" i="2"/>
  <c r="P47" i="2"/>
  <c r="P59" i="2"/>
  <c r="P130" i="2"/>
  <c r="P651" i="2"/>
  <c r="P202" i="2"/>
  <c r="P245" i="2"/>
  <c r="P13" i="2"/>
  <c r="P652" i="2"/>
  <c r="P46" i="2"/>
  <c r="P766" i="2"/>
  <c r="P508" i="2"/>
  <c r="P261" i="2"/>
  <c r="P695" i="2"/>
  <c r="P60" i="2"/>
  <c r="P709" i="2"/>
  <c r="P703" i="2"/>
  <c r="P591" i="2"/>
  <c r="P760" i="2"/>
  <c r="P768" i="2"/>
  <c r="P850" i="2"/>
  <c r="P228" i="2"/>
  <c r="P622" i="2"/>
  <c r="P364" i="2"/>
  <c r="P914" i="2"/>
  <c r="P177" i="2"/>
  <c r="P170" i="2"/>
  <c r="P467" i="2"/>
  <c r="P537" i="2"/>
  <c r="P354" i="2"/>
  <c r="P870" i="2"/>
  <c r="P991" i="2"/>
  <c r="P146" i="2"/>
  <c r="P531" i="2"/>
  <c r="P640" i="2"/>
  <c r="P604" i="2"/>
  <c r="P193" i="2"/>
  <c r="P610" i="2"/>
  <c r="P662" i="2"/>
  <c r="P825" i="2"/>
  <c r="P209" i="2"/>
  <c r="P761" i="2"/>
  <c r="P503" i="2"/>
  <c r="P630" i="2"/>
  <c r="P512" i="2"/>
  <c r="P620" i="2"/>
  <c r="P663" i="2"/>
  <c r="P542" i="2"/>
  <c r="P397" i="2"/>
  <c r="P986" i="2"/>
  <c r="P172" i="2"/>
  <c r="P726" i="2"/>
  <c r="P869" i="2"/>
  <c r="P685" i="2"/>
  <c r="P478" i="2"/>
  <c r="P799" i="2"/>
  <c r="P323" i="2"/>
  <c r="P324" i="2"/>
  <c r="P559" i="2"/>
  <c r="P816" i="2"/>
  <c r="P586" i="2"/>
  <c r="P52" i="2"/>
  <c r="P793" i="2"/>
  <c r="P930" i="2"/>
  <c r="P600" i="2"/>
  <c r="P710" i="2"/>
  <c r="P126" i="2"/>
  <c r="P502" i="2"/>
  <c r="P668" i="2"/>
  <c r="P601" i="2"/>
  <c r="P890" i="2"/>
  <c r="P862" i="2"/>
  <c r="P317" i="2"/>
  <c r="P692" i="2"/>
  <c r="P231" i="2"/>
  <c r="P795" i="2"/>
  <c r="P946" i="2"/>
  <c r="P391" i="2"/>
  <c r="P121" i="2"/>
  <c r="P182" i="2"/>
  <c r="P394" i="2"/>
  <c r="P138" i="2"/>
  <c r="P801" i="2"/>
  <c r="P380" i="2"/>
  <c r="P440" i="2"/>
  <c r="P405" i="2"/>
  <c r="P735" i="2"/>
  <c r="P358" i="2"/>
  <c r="P253" i="2"/>
  <c r="P740" i="2"/>
  <c r="P854" i="2"/>
  <c r="P71" i="2"/>
  <c r="P409" i="2"/>
  <c r="P297" i="2"/>
  <c r="P428" i="2"/>
  <c r="P638" i="2"/>
  <c r="P476" i="2"/>
  <c r="P321" i="2"/>
  <c r="P353" i="2"/>
  <c r="P572" i="2"/>
  <c r="P858" i="2"/>
  <c r="P400" i="2"/>
  <c r="P451" i="2"/>
  <c r="P520" i="2"/>
  <c r="P977" i="2"/>
  <c r="P129" i="2"/>
  <c r="P421" i="2"/>
  <c r="P274" i="2"/>
  <c r="P233" i="2"/>
  <c r="P203" i="2"/>
  <c r="P667" i="2"/>
  <c r="P992" i="2"/>
  <c r="P377" i="2"/>
  <c r="P513" i="2"/>
  <c r="P885" i="2"/>
  <c r="P641" i="2"/>
  <c r="P94" i="2"/>
  <c r="P340" i="2"/>
  <c r="P281" i="2"/>
  <c r="P462" i="2"/>
  <c r="P269" i="2"/>
  <c r="P908" i="2"/>
  <c r="P753" i="2"/>
  <c r="P538" i="2"/>
  <c r="P903" i="2"/>
  <c r="P800" i="2"/>
  <c r="P767" i="2"/>
  <c r="P178" i="2"/>
  <c r="P701" i="2"/>
  <c r="P558" i="2"/>
  <c r="P32" i="2"/>
  <c r="P569" i="2"/>
  <c r="P64" i="2"/>
  <c r="P248" i="2"/>
  <c r="P982" i="2"/>
  <c r="P35" i="2"/>
  <c r="P20" i="2"/>
  <c r="P58" i="2"/>
  <c r="P500" i="2"/>
  <c r="P259" i="2"/>
  <c r="P10" i="2"/>
  <c r="P188" i="2"/>
  <c r="P560" i="2"/>
  <c r="P56" i="2"/>
  <c r="P348" i="2"/>
  <c r="P806" i="2"/>
  <c r="P696" i="2"/>
  <c r="P894" i="2"/>
  <c r="P474" i="2"/>
  <c r="P554" i="2"/>
  <c r="P952" i="2"/>
  <c r="P230" i="2"/>
  <c r="P410" i="2"/>
  <c r="P834" i="2"/>
  <c r="P789" i="2"/>
  <c r="P103" i="2"/>
  <c r="P425" i="2"/>
  <c r="P678" i="2"/>
  <c r="P912" i="2"/>
  <c r="P300" i="2"/>
  <c r="P363" i="2"/>
  <c r="P587" i="2"/>
  <c r="P603" i="2"/>
  <c r="P578" i="2"/>
  <c r="P943" i="2"/>
  <c r="P745" i="2"/>
  <c r="P791" i="2"/>
  <c r="P424" i="2"/>
  <c r="P22" i="2"/>
  <c r="P940" i="2"/>
  <c r="P198" i="2"/>
  <c r="P165" i="2"/>
  <c r="P755" i="2"/>
  <c r="P786" i="2"/>
  <c r="P442" i="2"/>
  <c r="P175" i="2"/>
  <c r="P818" i="2"/>
  <c r="P445" i="2"/>
  <c r="P787" i="2"/>
  <c r="P499" i="2"/>
  <c r="P910" i="2"/>
  <c r="P220" i="2"/>
  <c r="P717" i="2"/>
  <c r="P939" i="2"/>
  <c r="P920" i="2"/>
  <c r="P347" i="2"/>
  <c r="P999" i="2"/>
  <c r="P727" i="2"/>
  <c r="P757" i="2"/>
  <c r="P631" i="2"/>
  <c r="P447" i="2"/>
  <c r="P196" i="2"/>
  <c r="P286" i="2"/>
  <c r="P980" i="2"/>
  <c r="P713" i="2"/>
  <c r="P804" i="2"/>
  <c r="P628" i="2"/>
  <c r="P635" i="2"/>
  <c r="P37" i="2"/>
  <c r="P201" i="2"/>
  <c r="P546" i="2"/>
  <c r="P453" i="2"/>
  <c r="P974" i="2"/>
  <c r="P369" i="2"/>
  <c r="P896" i="2"/>
  <c r="P783" i="2"/>
  <c r="P515" i="2"/>
  <c r="P730" i="2"/>
  <c r="P746" i="2"/>
  <c r="P127" i="2"/>
  <c r="P489" i="2"/>
  <c r="P393" i="2"/>
  <c r="P443" i="2"/>
  <c r="P350" i="2"/>
  <c r="P466" i="2"/>
  <c r="P836" i="2"/>
  <c r="P901" i="2"/>
  <c r="P742" i="2"/>
  <c r="P506" i="2"/>
  <c r="P875" i="2"/>
  <c r="P906" i="2"/>
  <c r="P114" i="2"/>
  <c r="P619" i="2"/>
  <c r="P386" i="2"/>
  <c r="P844" i="2"/>
  <c r="P84" i="2"/>
  <c r="P847" i="2"/>
  <c r="P33" i="2"/>
  <c r="P849" i="2"/>
  <c r="P376" i="2"/>
  <c r="P577" i="2"/>
  <c r="P276" i="2"/>
  <c r="P355" i="2"/>
  <c r="P487" i="2"/>
  <c r="P593" i="2"/>
  <c r="P41" i="2"/>
  <c r="P313" i="2"/>
  <c r="P571" i="2"/>
  <c r="P326" i="2"/>
  <c r="P945" i="2"/>
  <c r="P304" i="2"/>
  <c r="P964" i="2"/>
  <c r="P79" i="2"/>
  <c r="P330" i="2"/>
  <c r="P417" i="2"/>
  <c r="P987" i="2"/>
  <c r="P334" i="2"/>
  <c r="P548" i="2"/>
  <c r="P290" i="2"/>
  <c r="P602" i="2"/>
  <c r="P384" i="2"/>
  <c r="P592" i="2"/>
  <c r="P961" i="2"/>
  <c r="P756" i="2"/>
  <c r="P357" i="2"/>
  <c r="P677" i="2"/>
  <c r="P636" i="2"/>
  <c r="P40" i="2"/>
  <c r="P157" i="2"/>
  <c r="P225" i="2"/>
  <c r="P311" i="2"/>
  <c r="P897" i="2"/>
  <c r="P143" i="2"/>
  <c r="P34" i="2"/>
  <c r="P152" i="2"/>
  <c r="P935" i="2"/>
  <c r="P655" i="2"/>
  <c r="P481" i="2"/>
  <c r="P429" i="2"/>
  <c r="P664" i="2"/>
  <c r="P123" i="2"/>
  <c r="P909" i="2"/>
  <c r="P857" i="2"/>
  <c r="P942" i="2"/>
  <c r="P337" i="2"/>
  <c r="P404" i="2"/>
  <c r="P732" i="2"/>
  <c r="P183" i="2"/>
  <c r="P933" i="2"/>
  <c r="P262" i="2"/>
  <c r="P637" i="2"/>
  <c r="P283" i="2"/>
  <c r="P788" i="2"/>
  <c r="P959" i="2"/>
  <c r="Q883" i="2"/>
  <c r="R883" i="2" s="1"/>
  <c r="I883" i="2"/>
  <c r="I418" i="2"/>
  <c r="I92" i="2"/>
  <c r="I669" i="2"/>
  <c r="I488" i="2"/>
  <c r="I731" i="2"/>
  <c r="I626" i="2"/>
  <c r="I887" i="2"/>
  <c r="I797" i="2"/>
  <c r="I657" i="2"/>
  <c r="I581" i="2"/>
  <c r="I316" i="2"/>
  <c r="I396" i="2"/>
  <c r="I698" i="2"/>
  <c r="I18" i="2"/>
  <c r="I629" i="2"/>
  <c r="I51" i="2"/>
  <c r="I873" i="2"/>
  <c r="I575" i="2"/>
  <c r="I774" i="2"/>
  <c r="I976" i="2"/>
  <c r="I891" i="2"/>
  <c r="I463" i="2"/>
  <c r="I116" i="2"/>
  <c r="I66" i="2"/>
  <c r="I705" i="2"/>
  <c r="I93" i="2"/>
  <c r="I275" i="2"/>
  <c r="I990" i="2"/>
  <c r="I243" i="2"/>
  <c r="I454" i="2"/>
  <c r="I214" i="2"/>
  <c r="I738" i="2"/>
  <c r="I208" i="2"/>
  <c r="I55" i="2"/>
  <c r="I567" i="2"/>
  <c r="I829" i="2"/>
  <c r="I252" i="2"/>
  <c r="I469" i="2"/>
  <c r="I900" i="2"/>
  <c r="I190" i="2"/>
  <c r="I510" i="2"/>
  <c r="I749" i="2"/>
  <c r="I147" i="2"/>
  <c r="I234" i="2"/>
  <c r="I773" i="2"/>
  <c r="I8" i="2"/>
  <c r="I913" i="2"/>
  <c r="I211" i="2"/>
  <c r="I475" i="2"/>
  <c r="I29" i="2"/>
  <c r="I4" i="2"/>
  <c r="I14" i="2"/>
  <c r="I679" i="2"/>
  <c r="I607" i="2"/>
  <c r="I815" i="2"/>
  <c r="I149" i="2"/>
  <c r="I39" i="2"/>
  <c r="I108" i="2"/>
  <c r="I310" i="2"/>
  <c r="I194" i="2"/>
  <c r="I102" i="2"/>
  <c r="I969" i="2"/>
  <c r="I570" i="2"/>
  <c r="I895" i="2"/>
  <c r="I401" i="2"/>
  <c r="I594" i="2"/>
  <c r="I446" i="2"/>
  <c r="I406" i="2"/>
  <c r="I412" i="2"/>
  <c r="I566" i="2"/>
  <c r="I155" i="2"/>
  <c r="I616" i="2"/>
  <c r="I303" i="2"/>
  <c r="I754" i="2"/>
  <c r="I497" i="2"/>
  <c r="I287" i="2"/>
  <c r="I87" i="2"/>
  <c r="I215" i="2"/>
  <c r="I492" i="2"/>
  <c r="I122" i="2"/>
  <c r="I764" i="2"/>
  <c r="I219" i="2"/>
  <c r="I265" i="2"/>
  <c r="I922" i="2"/>
  <c r="I166" i="2"/>
  <c r="I733" i="2"/>
  <c r="I260" i="2"/>
  <c r="I112" i="2"/>
  <c r="I693" i="2"/>
  <c r="I507" i="2"/>
  <c r="I688" i="2"/>
  <c r="I778" i="2"/>
  <c r="I11" i="2"/>
  <c r="I962" i="2"/>
  <c r="I700" i="2"/>
  <c r="I85" i="2"/>
  <c r="I798" i="2"/>
  <c r="I199" i="2"/>
  <c r="I344" i="2"/>
  <c r="I137" i="2"/>
  <c r="I135" i="2"/>
  <c r="I413" i="2"/>
  <c r="I156" i="2"/>
  <c r="I236" i="2"/>
  <c r="I419" i="2"/>
  <c r="I658" i="2"/>
  <c r="I526" i="2"/>
  <c r="I280" i="2"/>
  <c r="I88" i="2"/>
  <c r="I213" i="2"/>
  <c r="I936" i="2"/>
  <c r="I550" i="2"/>
  <c r="I111" i="2"/>
  <c r="I5" i="2"/>
  <c r="I255" i="2"/>
  <c r="I785" i="2"/>
  <c r="I186" i="2"/>
  <c r="I551" i="2"/>
  <c r="I851" i="2"/>
  <c r="I819" i="2"/>
  <c r="I633" i="2"/>
  <c r="I784" i="2"/>
  <c r="I706" i="2"/>
  <c r="I807" i="2"/>
  <c r="I718" i="2"/>
  <c r="I589" i="2"/>
  <c r="I947" i="2"/>
  <c r="I117" i="2"/>
  <c r="I765" i="2"/>
  <c r="I415" i="2"/>
  <c r="I361" i="2"/>
  <c r="I681" i="2"/>
  <c r="I250" i="2"/>
  <c r="I329" i="2"/>
  <c r="I972" i="2"/>
  <c r="I670" i="2"/>
  <c r="I314" i="2"/>
  <c r="I174" i="2"/>
  <c r="I333" i="2"/>
  <c r="I907" i="2"/>
  <c r="I699" i="2"/>
  <c r="I929" i="2"/>
  <c r="I752" i="2"/>
  <c r="I141" i="2"/>
  <c r="I544" i="2"/>
  <c r="I284" i="2"/>
  <c r="I960" i="2"/>
  <c r="I210" i="2"/>
  <c r="I926" i="2"/>
  <c r="I823" i="2"/>
  <c r="I298" i="2"/>
  <c r="I197" i="2"/>
  <c r="I832" i="2"/>
  <c r="I843" i="2"/>
  <c r="I232" i="2"/>
  <c r="I26" i="2"/>
  <c r="I3" i="2"/>
  <c r="I21" i="2"/>
  <c r="I879" i="2"/>
  <c r="I372" i="2"/>
  <c r="I923" i="2"/>
  <c r="I691" i="2"/>
  <c r="I315" i="2"/>
  <c r="I185" i="2"/>
  <c r="I533" i="2"/>
  <c r="I195" i="2"/>
  <c r="I452" i="2"/>
  <c r="I296" i="2"/>
  <c r="I338" i="2"/>
  <c r="I31" i="2"/>
  <c r="I563" i="2"/>
  <c r="I414" i="2"/>
  <c r="I973" i="2"/>
  <c r="I505" i="2"/>
  <c r="I888" i="2"/>
  <c r="I848" i="2"/>
  <c r="I151" i="2"/>
  <c r="I719" i="2"/>
  <c r="I568" i="2"/>
  <c r="I729" i="2"/>
  <c r="I140" i="2"/>
  <c r="I458" i="2"/>
  <c r="I826" i="2"/>
  <c r="I6" i="2"/>
  <c r="I978" i="2"/>
  <c r="I435" i="2"/>
  <c r="I769" i="2"/>
  <c r="I624" i="2"/>
  <c r="I988" i="2"/>
  <c r="I762" i="2"/>
  <c r="I545" i="2"/>
  <c r="I937" i="2"/>
  <c r="I821" i="2"/>
  <c r="I272" i="2"/>
  <c r="I62" i="2"/>
  <c r="I979" i="2"/>
  <c r="I118" i="2"/>
  <c r="I216" i="2"/>
  <c r="I322" i="2"/>
  <c r="I229" i="2"/>
  <c r="I989" i="2"/>
  <c r="I884" i="2"/>
  <c r="I328" i="2"/>
  <c r="I958" i="2"/>
  <c r="I383" i="2"/>
  <c r="I724" i="2"/>
  <c r="I694" i="2"/>
  <c r="I432" i="2"/>
  <c r="I781" i="2"/>
  <c r="I892" i="2"/>
  <c r="I293" i="2"/>
  <c r="I171" i="2"/>
  <c r="I124" i="2"/>
  <c r="I491" i="2"/>
  <c r="I758" i="2"/>
  <c r="I983" i="2"/>
  <c r="I956" i="2"/>
  <c r="I398" i="2"/>
  <c r="I971" i="2"/>
  <c r="I101" i="2"/>
  <c r="I649" i="2"/>
  <c r="I268" i="2"/>
  <c r="I722" i="2"/>
  <c r="I86" i="2"/>
  <c r="I479" i="2"/>
  <c r="I501" i="2"/>
  <c r="I238" i="2"/>
  <c r="I1000" i="2"/>
  <c r="I643" i="2"/>
  <c r="I158" i="2"/>
  <c r="I650" i="2"/>
  <c r="I221" i="2"/>
  <c r="I483" i="2"/>
  <c r="I562" i="2"/>
  <c r="I437" i="2"/>
  <c r="I621" i="2"/>
  <c r="I444" i="2"/>
  <c r="I113" i="2"/>
  <c r="I792" i="2"/>
  <c r="I191" i="2"/>
  <c r="I918" i="2"/>
  <c r="I517" i="2"/>
  <c r="I217" i="2"/>
  <c r="I707" i="2"/>
  <c r="I256" i="2"/>
  <c r="I493" i="2"/>
  <c r="I179" i="2"/>
  <c r="I852" i="2"/>
  <c r="I524" i="2"/>
  <c r="I67" i="2"/>
  <c r="I521" i="2"/>
  <c r="I585" i="2"/>
  <c r="I842" i="2"/>
  <c r="I599" i="2"/>
  <c r="I99" i="2"/>
  <c r="I441" i="2"/>
  <c r="I365" i="2"/>
  <c r="I455" i="2"/>
  <c r="I371" i="2"/>
  <c r="I683" i="2"/>
  <c r="I162" i="2"/>
  <c r="I449" i="2"/>
  <c r="I530" i="2"/>
  <c r="I251" i="2"/>
  <c r="I23" i="2"/>
  <c r="I661" i="2"/>
  <c r="I617" i="2"/>
  <c r="I48" i="2"/>
  <c r="I673" i="2"/>
  <c r="I504" i="2"/>
  <c r="I642" i="2"/>
  <c r="I327" i="2"/>
  <c r="I318" i="2"/>
  <c r="I739" i="2"/>
  <c r="I81" i="2"/>
  <c r="I19" i="2"/>
  <c r="I17" i="2"/>
  <c r="I995" i="2"/>
  <c r="I609" i="2"/>
  <c r="I95" i="2"/>
  <c r="I878" i="2"/>
  <c r="I436" i="2"/>
  <c r="I370" i="2"/>
  <c r="I381" i="2"/>
  <c r="I83" i="2"/>
  <c r="I915" i="2"/>
  <c r="I299" i="2"/>
  <c r="I916" i="2"/>
  <c r="I772" i="2"/>
  <c r="I775" i="2"/>
  <c r="I734" i="2"/>
  <c r="I115" i="2"/>
  <c r="I360" i="2"/>
  <c r="I473" i="2"/>
  <c r="I654" i="2"/>
  <c r="I519" i="2"/>
  <c r="I555" i="2"/>
  <c r="I872" i="2"/>
  <c r="I680" i="2"/>
  <c r="I634" i="2"/>
  <c r="I332" i="2"/>
  <c r="I279" i="2"/>
  <c r="I747" i="2"/>
  <c r="I438" i="2"/>
  <c r="I490" i="2"/>
  <c r="I776" i="2"/>
  <c r="I965" i="2"/>
  <c r="I100" i="2"/>
  <c r="I218" i="2"/>
  <c r="I411" i="2"/>
  <c r="I70" i="2"/>
  <c r="I576" i="2"/>
  <c r="I9" i="2"/>
  <c r="I339" i="2"/>
  <c r="I748" i="2"/>
  <c r="I833" i="2"/>
  <c r="I623" i="2"/>
  <c r="I612" i="2"/>
  <c r="I448" i="2"/>
  <c r="I312" i="2"/>
  <c r="I970" i="2"/>
  <c r="I98" i="2"/>
  <c r="I89" i="2"/>
  <c r="I509" i="2"/>
  <c r="I932" i="2"/>
  <c r="I144" i="2"/>
  <c r="I356" i="2"/>
  <c r="I49" i="2"/>
  <c r="I184" i="2"/>
  <c r="I921" i="2"/>
  <c r="I824" i="2"/>
  <c r="I809" i="2"/>
  <c r="I553" i="2"/>
  <c r="I306" i="2"/>
  <c r="I464" i="2"/>
  <c r="I388" i="2"/>
  <c r="I997" i="2"/>
  <c r="I382" i="2"/>
  <c r="I535" i="2"/>
  <c r="I246" i="2"/>
  <c r="I953" i="2"/>
  <c r="I263" i="2"/>
  <c r="I373" i="2"/>
  <c r="I28" i="2"/>
  <c r="I402" i="2"/>
  <c r="I595" i="2"/>
  <c r="I270" i="2"/>
  <c r="I427" i="2"/>
  <c r="I828" i="2"/>
  <c r="I860" i="2"/>
  <c r="I511" i="2"/>
  <c r="I374" i="2"/>
  <c r="I150" i="2"/>
  <c r="I899" i="2"/>
  <c r="I109" i="2"/>
  <c r="I771" i="2"/>
  <c r="I689" i="2"/>
  <c r="I615" i="2"/>
  <c r="I226" i="2"/>
  <c r="I686" i="2"/>
  <c r="I675" i="2"/>
  <c r="I665" i="2"/>
  <c r="I163" i="2"/>
  <c r="I518" i="2"/>
  <c r="I266" i="2"/>
  <c r="I331" i="2"/>
  <c r="I480" i="2"/>
  <c r="I855" i="2"/>
  <c r="I257" i="2"/>
  <c r="I136" i="2"/>
  <c r="I295" i="2"/>
  <c r="I76" i="2"/>
  <c r="I596" i="2"/>
  <c r="I702" i="2"/>
  <c r="I529" i="2"/>
  <c r="I614" i="2"/>
  <c r="I72" i="2"/>
  <c r="I968" i="2"/>
  <c r="I42" i="2"/>
  <c r="I63" i="2"/>
  <c r="I928" i="2"/>
  <c r="I164" i="2"/>
  <c r="I351" i="2"/>
  <c r="I672" i="2"/>
  <c r="I949" i="2"/>
  <c r="I790" i="2"/>
  <c r="I759" i="2"/>
  <c r="I750" i="2"/>
  <c r="I96" i="2"/>
  <c r="I919" i="2"/>
  <c r="I309" i="2"/>
  <c r="I687" i="2"/>
  <c r="I434" i="2"/>
  <c r="I905" i="2"/>
  <c r="I598" i="2"/>
  <c r="I12" i="2"/>
  <c r="I646" i="2"/>
  <c r="I15" i="2"/>
  <c r="I207" i="2"/>
  <c r="I861" i="2"/>
  <c r="I482" i="2"/>
  <c r="I984" i="2"/>
  <c r="I168" i="2"/>
  <c r="I811" i="2"/>
  <c r="I660" i="2"/>
  <c r="I368" i="2"/>
  <c r="I244" i="2"/>
  <c r="I50" i="2"/>
  <c r="I547" i="2"/>
  <c r="I814" i="2"/>
  <c r="I579" i="2"/>
  <c r="I648" i="2"/>
  <c r="I541" i="2"/>
  <c r="I993" i="2"/>
  <c r="I532" i="2"/>
  <c r="I886" i="2"/>
  <c r="I106" i="2"/>
  <c r="I644" i="2"/>
  <c r="I107" i="2"/>
  <c r="I552" i="2"/>
  <c r="I154" i="2"/>
  <c r="I342" i="2"/>
  <c r="I433" i="2"/>
  <c r="I267" i="2"/>
  <c r="I44" i="2"/>
  <c r="I597" i="2"/>
  <c r="I523" i="2"/>
  <c r="I954" i="2"/>
  <c r="I169" i="2"/>
  <c r="I564" i="2"/>
  <c r="I426" i="2"/>
  <c r="I981" i="2"/>
  <c r="I522" i="2"/>
  <c r="I395" i="2"/>
  <c r="I580" i="2"/>
  <c r="I408" i="2"/>
  <c r="I54" i="2"/>
  <c r="I794" i="2"/>
  <c r="I822" i="2"/>
  <c r="I516" i="2"/>
  <c r="I827" i="2"/>
  <c r="I846" i="2"/>
  <c r="I904" i="2"/>
  <c r="I543" i="2"/>
  <c r="I514" i="2"/>
  <c r="I871" i="2"/>
  <c r="I708" i="2"/>
  <c r="I653" i="2"/>
  <c r="I75" i="2"/>
  <c r="I889" i="2"/>
  <c r="I187" i="2"/>
  <c r="I704" i="2"/>
  <c r="I27" i="2"/>
  <c r="I911" i="2"/>
  <c r="I985" i="2"/>
  <c r="I212" i="2"/>
  <c r="I390" i="2"/>
  <c r="I90" i="2"/>
  <c r="I777" i="2"/>
  <c r="I714" i="2"/>
  <c r="I379" i="2"/>
  <c r="I132" i="2"/>
  <c r="I841" i="2"/>
  <c r="I868" i="2"/>
  <c r="I176" i="2"/>
  <c r="I73" i="2"/>
  <c r="I273" i="2"/>
  <c r="I403" i="2"/>
  <c r="I486" i="2"/>
  <c r="I711" i="2"/>
  <c r="I994" i="2"/>
  <c r="I966" i="2"/>
  <c r="I882" i="2"/>
  <c r="I898" i="2"/>
  <c r="I656" i="2"/>
  <c r="I666" i="2"/>
  <c r="I247" i="2"/>
  <c r="I863" i="2"/>
  <c r="I200" i="2"/>
  <c r="I812" i="2"/>
  <c r="I583" i="2"/>
  <c r="I902" i="2"/>
  <c r="I917" i="2"/>
  <c r="I288" i="2"/>
  <c r="I763" i="2"/>
  <c r="I498" i="2"/>
  <c r="I741" i="2"/>
  <c r="I810" i="2"/>
  <c r="I495" i="2"/>
  <c r="I955" i="2"/>
  <c r="I160" i="2"/>
  <c r="I423" i="2"/>
  <c r="I618" i="2"/>
  <c r="I120" i="2"/>
  <c r="I716" i="2"/>
  <c r="I925" i="2"/>
  <c r="I74" i="2"/>
  <c r="I399" i="2"/>
  <c r="I525" i="2"/>
  <c r="I690" i="2"/>
  <c r="I779" i="2"/>
  <c r="I465" i="2"/>
  <c r="I222" i="2"/>
  <c r="I835" i="2"/>
  <c r="I36" i="2"/>
  <c r="I352" i="2"/>
  <c r="I345" i="2"/>
  <c r="I119" i="2"/>
  <c r="I782" i="2"/>
  <c r="I938" i="2"/>
  <c r="I721" i="2"/>
  <c r="I173" i="2"/>
  <c r="I362" i="2"/>
  <c r="I485" i="2"/>
  <c r="I204" i="2"/>
  <c r="I77" i="2"/>
  <c r="I924" i="2"/>
  <c r="I302" i="2"/>
  <c r="I743" i="2"/>
  <c r="I645" i="2"/>
  <c r="I856" i="2"/>
  <c r="I627" i="2"/>
  <c r="I242" i="2"/>
  <c r="I277" i="2"/>
  <c r="I53" i="2"/>
  <c r="I422" i="2"/>
  <c r="I319" i="2"/>
  <c r="I813" i="2"/>
  <c r="I91" i="2"/>
  <c r="I944" i="2"/>
  <c r="I880" i="2"/>
  <c r="I224" i="2"/>
  <c r="I957" i="2"/>
  <c r="I831" i="2"/>
  <c r="I289" i="2"/>
  <c r="I639" i="2"/>
  <c r="I133" i="2"/>
  <c r="I346" i="2"/>
  <c r="I192" i="2"/>
  <c r="I450" i="2"/>
  <c r="I61" i="2"/>
  <c r="I582" i="2"/>
  <c r="I389" i="2"/>
  <c r="I573" i="2"/>
  <c r="I751" i="2"/>
  <c r="I153" i="2"/>
  <c r="I282" i="2"/>
  <c r="I343" i="2"/>
  <c r="I235" i="2"/>
  <c r="I254" i="2"/>
  <c r="I181" i="2"/>
  <c r="I416" i="2"/>
  <c r="I291" i="2"/>
  <c r="I584" i="2"/>
  <c r="I145" i="2"/>
  <c r="I684" i="2"/>
  <c r="I611" i="2"/>
  <c r="I605" i="2"/>
  <c r="I712" i="2"/>
  <c r="I349" i="2"/>
  <c r="I934" i="2"/>
  <c r="I223" i="2"/>
  <c r="I574" i="2"/>
  <c r="I975" i="2"/>
  <c r="I378" i="2"/>
  <c r="I838" i="2"/>
  <c r="I671" i="2"/>
  <c r="I80" i="2"/>
  <c r="I770" i="2"/>
  <c r="I104" i="2"/>
  <c r="I38" i="2"/>
  <c r="I805" i="2"/>
  <c r="I134" i="2"/>
  <c r="I420" i="2"/>
  <c r="I534" i="2"/>
  <c r="I820" i="2"/>
  <c r="I674" i="2"/>
  <c r="I539" i="2"/>
  <c r="I527" i="2"/>
  <c r="I335" i="2"/>
  <c r="I471" i="2"/>
  <c r="I682" i="2"/>
  <c r="I43" i="2"/>
  <c r="I528" i="2"/>
  <c r="I728" i="2"/>
  <c r="I180" i="2"/>
  <c r="I697" i="2"/>
  <c r="I78" i="2"/>
  <c r="I659" i="2"/>
  <c r="I142" i="2"/>
  <c r="I206" i="2"/>
  <c r="I25" i="2"/>
  <c r="I839" i="2"/>
  <c r="I239" i="2"/>
  <c r="I16" i="2"/>
  <c r="I477" i="2"/>
  <c r="I461" i="2"/>
  <c r="I998" i="2"/>
  <c r="I866" i="2"/>
  <c r="I715" i="2"/>
  <c r="I65" i="2"/>
  <c r="I375" i="2"/>
  <c r="I7" i="2"/>
  <c r="I951" i="2"/>
  <c r="I625" i="2"/>
  <c r="I237" i="2"/>
  <c r="I647" i="2"/>
  <c r="I470" i="2"/>
  <c r="I845" i="2"/>
  <c r="I57" i="2"/>
  <c r="I837" i="2"/>
  <c r="I460" i="2"/>
  <c r="I431" i="2"/>
  <c r="I725" i="2"/>
  <c r="I456" i="2"/>
  <c r="I341" i="2"/>
  <c r="I963" i="2"/>
  <c r="I830" i="2"/>
  <c r="I366" i="2"/>
  <c r="I744" i="2"/>
  <c r="I676" i="2"/>
  <c r="I803" i="2"/>
  <c r="I606" i="2"/>
  <c r="I430" i="2"/>
  <c r="I494" i="2"/>
  <c r="I387" i="2"/>
  <c r="I874" i="2"/>
  <c r="I320" i="2"/>
  <c r="I392" i="2"/>
  <c r="I723" i="2"/>
  <c r="I536" i="2"/>
  <c r="I285" i="2"/>
  <c r="I105" i="2"/>
  <c r="I540" i="2"/>
  <c r="I30" i="2"/>
  <c r="I780" i="2"/>
  <c r="I557" i="2"/>
  <c r="I632" i="2"/>
  <c r="I736" i="2"/>
  <c r="I278" i="2"/>
  <c r="I472" i="2"/>
  <c r="I258" i="2"/>
  <c r="I561" i="2"/>
  <c r="I227" i="2"/>
  <c r="I840" i="2"/>
  <c r="I737" i="2"/>
  <c r="I241" i="2"/>
  <c r="I161" i="2"/>
  <c r="I148" i="2"/>
  <c r="I468" i="2"/>
  <c r="I82" i="2"/>
  <c r="I292" i="2"/>
  <c r="I802" i="2"/>
  <c r="I817" i="2"/>
  <c r="I205" i="2"/>
  <c r="I359" i="2"/>
  <c r="I240" i="2"/>
  <c r="I950" i="2"/>
  <c r="I948" i="2"/>
  <c r="I808" i="2"/>
  <c r="I865" i="2"/>
  <c r="I565" i="2"/>
  <c r="I996" i="2"/>
  <c r="I307" i="2"/>
  <c r="I931" i="2"/>
  <c r="I588" i="2"/>
  <c r="I608" i="2"/>
  <c r="I439" i="2"/>
  <c r="I941" i="2"/>
  <c r="I128" i="2"/>
  <c r="I385" i="2"/>
  <c r="I167" i="2"/>
  <c r="I308" i="2"/>
  <c r="I859" i="2"/>
  <c r="I367" i="2"/>
  <c r="I305" i="2"/>
  <c r="I459" i="2"/>
  <c r="I457" i="2"/>
  <c r="I45" i="2"/>
  <c r="I271" i="2"/>
  <c r="I131" i="2"/>
  <c r="I720" i="2"/>
  <c r="I139" i="2"/>
  <c r="I301" i="2"/>
  <c r="I110" i="2"/>
  <c r="I549" i="2"/>
  <c r="I496" i="2"/>
  <c r="I97" i="2"/>
  <c r="I893" i="2"/>
  <c r="I336" i="2"/>
  <c r="I867" i="2"/>
  <c r="I249" i="2"/>
  <c r="I967" i="2"/>
  <c r="I613" i="2"/>
  <c r="I853" i="2"/>
  <c r="I264" i="2"/>
  <c r="I69" i="2"/>
  <c r="I2" i="2"/>
  <c r="I927" i="2"/>
  <c r="I881" i="2"/>
  <c r="I484" i="2"/>
  <c r="I796" i="2"/>
  <c r="I24" i="2"/>
  <c r="I325" i="2"/>
  <c r="I125" i="2"/>
  <c r="I189" i="2"/>
  <c r="I556" i="2"/>
  <c r="I877" i="2"/>
  <c r="I864" i="2"/>
  <c r="I876" i="2"/>
  <c r="I590" i="2"/>
  <c r="I159" i="2"/>
  <c r="I407" i="2"/>
  <c r="I294" i="2"/>
  <c r="I68" i="2"/>
  <c r="I47" i="2"/>
  <c r="I59" i="2"/>
  <c r="I130" i="2"/>
  <c r="I651" i="2"/>
  <c r="I202" i="2"/>
  <c r="I245" i="2"/>
  <c r="I13" i="2"/>
  <c r="I652" i="2"/>
  <c r="I46" i="2"/>
  <c r="I766" i="2"/>
  <c r="I508" i="2"/>
  <c r="I261" i="2"/>
  <c r="I695" i="2"/>
  <c r="I60" i="2"/>
  <c r="I709" i="2"/>
  <c r="I703" i="2"/>
  <c r="I591" i="2"/>
  <c r="I760" i="2"/>
  <c r="I768" i="2"/>
  <c r="I850" i="2"/>
  <c r="I228" i="2"/>
  <c r="I622" i="2"/>
  <c r="I364" i="2"/>
  <c r="I914" i="2"/>
  <c r="I177" i="2"/>
  <c r="I170" i="2"/>
  <c r="I467" i="2"/>
  <c r="I537" i="2"/>
  <c r="I354" i="2"/>
  <c r="I870" i="2"/>
  <c r="I991" i="2"/>
  <c r="I146" i="2"/>
  <c r="I531" i="2"/>
  <c r="I640" i="2"/>
  <c r="I604" i="2"/>
  <c r="I193" i="2"/>
  <c r="I610" i="2"/>
  <c r="I662" i="2"/>
  <c r="I825" i="2"/>
  <c r="I209" i="2"/>
  <c r="I761" i="2"/>
  <c r="I503" i="2"/>
  <c r="I630" i="2"/>
  <c r="I512" i="2"/>
  <c r="I620" i="2"/>
  <c r="I663" i="2"/>
  <c r="I542" i="2"/>
  <c r="I397" i="2"/>
  <c r="I986" i="2"/>
  <c r="I172" i="2"/>
  <c r="I726" i="2"/>
  <c r="I869" i="2"/>
  <c r="I685" i="2"/>
  <c r="I478" i="2"/>
  <c r="I799" i="2"/>
  <c r="I323" i="2"/>
  <c r="I324" i="2"/>
  <c r="I559" i="2"/>
  <c r="I816" i="2"/>
  <c r="I586" i="2"/>
  <c r="I52" i="2"/>
  <c r="I793" i="2"/>
  <c r="I930" i="2"/>
  <c r="I600" i="2"/>
  <c r="I710" i="2"/>
  <c r="I126" i="2"/>
  <c r="I502" i="2"/>
  <c r="I668" i="2"/>
  <c r="I601" i="2"/>
  <c r="I890" i="2"/>
  <c r="I862" i="2"/>
  <c r="I317" i="2"/>
  <c r="I692" i="2"/>
  <c r="I231" i="2"/>
  <c r="I795" i="2"/>
  <c r="I946" i="2"/>
  <c r="I391" i="2"/>
  <c r="I121" i="2"/>
  <c r="I182" i="2"/>
  <c r="I394" i="2"/>
  <c r="I138" i="2"/>
  <c r="I801" i="2"/>
  <c r="I380" i="2"/>
  <c r="I440" i="2"/>
  <c r="I405" i="2"/>
  <c r="I735" i="2"/>
  <c r="I358" i="2"/>
  <c r="I253" i="2"/>
  <c r="I740" i="2"/>
  <c r="I854" i="2"/>
  <c r="I71" i="2"/>
  <c r="I409" i="2"/>
  <c r="I297" i="2"/>
  <c r="I428" i="2"/>
  <c r="I638" i="2"/>
  <c r="I476" i="2"/>
  <c r="I321" i="2"/>
  <c r="I353" i="2"/>
  <c r="I572" i="2"/>
  <c r="I858" i="2"/>
  <c r="I400" i="2"/>
  <c r="I451" i="2"/>
  <c r="I520" i="2"/>
  <c r="I977" i="2"/>
  <c r="I129" i="2"/>
  <c r="I421" i="2"/>
  <c r="I274" i="2"/>
  <c r="I233" i="2"/>
  <c r="I203" i="2"/>
  <c r="I667" i="2"/>
  <c r="I992" i="2"/>
  <c r="I377" i="2"/>
  <c r="I513" i="2"/>
  <c r="I885" i="2"/>
  <c r="I641" i="2"/>
  <c r="I94" i="2"/>
  <c r="I340" i="2"/>
  <c r="I281" i="2"/>
  <c r="I462" i="2"/>
  <c r="I269" i="2"/>
  <c r="I908" i="2"/>
  <c r="I753" i="2"/>
  <c r="I538" i="2"/>
  <c r="I903" i="2"/>
  <c r="I800" i="2"/>
  <c r="I767" i="2"/>
  <c r="I178" i="2"/>
  <c r="I701" i="2"/>
  <c r="I558" i="2"/>
  <c r="I32" i="2"/>
  <c r="I569" i="2"/>
  <c r="I64" i="2"/>
  <c r="I248" i="2"/>
  <c r="I982" i="2"/>
  <c r="I35" i="2"/>
  <c r="I20" i="2"/>
  <c r="I58" i="2"/>
  <c r="I500" i="2"/>
  <c r="I259" i="2"/>
  <c r="I10" i="2"/>
  <c r="I188" i="2"/>
  <c r="I560" i="2"/>
  <c r="I56" i="2"/>
  <c r="I348" i="2"/>
  <c r="I806" i="2"/>
  <c r="I696" i="2"/>
  <c r="I894" i="2"/>
  <c r="I474" i="2"/>
  <c r="I554" i="2"/>
  <c r="I952" i="2"/>
  <c r="I230" i="2"/>
  <c r="I410" i="2"/>
  <c r="I834" i="2"/>
  <c r="I789" i="2"/>
  <c r="I103" i="2"/>
  <c r="I425" i="2"/>
  <c r="I678" i="2"/>
  <c r="I912" i="2"/>
  <c r="I300" i="2"/>
  <c r="I363" i="2"/>
  <c r="I587" i="2"/>
  <c r="I603" i="2"/>
  <c r="I578" i="2"/>
  <c r="I943" i="2"/>
  <c r="I745" i="2"/>
  <c r="I791" i="2"/>
  <c r="I424" i="2"/>
  <c r="I22" i="2"/>
  <c r="I940" i="2"/>
  <c r="I198" i="2"/>
  <c r="I165" i="2"/>
  <c r="I755" i="2"/>
  <c r="I786" i="2"/>
  <c r="I442" i="2"/>
  <c r="I175" i="2"/>
  <c r="I818" i="2"/>
  <c r="I445" i="2"/>
  <c r="I787" i="2"/>
  <c r="I499" i="2"/>
  <c r="I910" i="2"/>
  <c r="I220" i="2"/>
  <c r="I717" i="2"/>
  <c r="I939" i="2"/>
  <c r="I920" i="2"/>
  <c r="I347" i="2"/>
  <c r="I999" i="2"/>
  <c r="I727" i="2"/>
  <c r="I757" i="2"/>
  <c r="I631" i="2"/>
  <c r="I447" i="2"/>
  <c r="I196" i="2"/>
  <c r="I286" i="2"/>
  <c r="I980" i="2"/>
  <c r="I713" i="2"/>
  <c r="I804" i="2"/>
  <c r="I628" i="2"/>
  <c r="I635" i="2"/>
  <c r="I37" i="2"/>
  <c r="I201" i="2"/>
  <c r="I546" i="2"/>
  <c r="I453" i="2"/>
  <c r="I974" i="2"/>
  <c r="I369" i="2"/>
  <c r="I896" i="2"/>
  <c r="I783" i="2"/>
  <c r="I515" i="2"/>
  <c r="I730" i="2"/>
  <c r="I746" i="2"/>
  <c r="I127" i="2"/>
  <c r="I489" i="2"/>
  <c r="I393" i="2"/>
  <c r="I443" i="2"/>
  <c r="I350" i="2"/>
  <c r="I466" i="2"/>
  <c r="I836" i="2"/>
  <c r="I901" i="2"/>
  <c r="I742" i="2"/>
  <c r="I506" i="2"/>
  <c r="I875" i="2"/>
  <c r="I906" i="2"/>
  <c r="I114" i="2"/>
  <c r="I619" i="2"/>
  <c r="I386" i="2"/>
  <c r="I844" i="2"/>
  <c r="I84" i="2"/>
  <c r="I847" i="2"/>
  <c r="I33" i="2"/>
  <c r="I849" i="2"/>
  <c r="I376" i="2"/>
  <c r="I577" i="2"/>
  <c r="I276" i="2"/>
  <c r="I355" i="2"/>
  <c r="I487" i="2"/>
  <c r="I593" i="2"/>
  <c r="I41" i="2"/>
  <c r="I313" i="2"/>
  <c r="I571" i="2"/>
  <c r="I326" i="2"/>
  <c r="I945" i="2"/>
  <c r="I304" i="2"/>
  <c r="I964" i="2"/>
  <c r="I79" i="2"/>
  <c r="I330" i="2"/>
  <c r="I417" i="2"/>
  <c r="I987" i="2"/>
  <c r="I334" i="2"/>
  <c r="I548" i="2"/>
  <c r="I290" i="2"/>
  <c r="I602" i="2"/>
  <c r="I384" i="2"/>
  <c r="I592" i="2"/>
  <c r="I961" i="2"/>
  <c r="I756" i="2"/>
  <c r="I357" i="2"/>
  <c r="I677" i="2"/>
  <c r="I636" i="2"/>
  <c r="I40" i="2"/>
  <c r="I157" i="2"/>
  <c r="I225" i="2"/>
  <c r="I311" i="2"/>
  <c r="I897" i="2"/>
  <c r="I143" i="2"/>
  <c r="I34" i="2"/>
  <c r="I152" i="2"/>
  <c r="I935" i="2"/>
  <c r="I655" i="2"/>
  <c r="I481" i="2"/>
  <c r="I429" i="2"/>
  <c r="I664" i="2"/>
  <c r="I123" i="2"/>
  <c r="I909" i="2"/>
  <c r="I857" i="2"/>
  <c r="I942" i="2"/>
  <c r="I337" i="2"/>
  <c r="I404" i="2"/>
  <c r="I732" i="2"/>
  <c r="I183" i="2"/>
  <c r="I933" i="2"/>
  <c r="I262" i="2"/>
  <c r="I637" i="2"/>
  <c r="I283" i="2"/>
  <c r="I788" i="2"/>
  <c r="I959" i="2"/>
  <c r="B883" i="2"/>
  <c r="D688" i="2"/>
  <c r="H688" i="2" s="1"/>
  <c r="D883" i="2"/>
  <c r="H883" i="2" s="1"/>
  <c r="D418" i="2"/>
  <c r="H418" i="2" s="1"/>
  <c r="D92" i="2"/>
  <c r="H92" i="2" s="1"/>
  <c r="D669" i="2"/>
  <c r="H669" i="2" s="1"/>
  <c r="D488" i="2"/>
  <c r="H488" i="2" s="1"/>
  <c r="D731" i="2"/>
  <c r="H731" i="2" s="1"/>
  <c r="D626" i="2"/>
  <c r="H626" i="2" s="1"/>
  <c r="D887" i="2"/>
  <c r="H887" i="2" s="1"/>
  <c r="D797" i="2"/>
  <c r="H797" i="2" s="1"/>
  <c r="D657" i="2"/>
  <c r="H657" i="2" s="1"/>
  <c r="D581" i="2"/>
  <c r="H581" i="2" s="1"/>
  <c r="D316" i="2"/>
  <c r="H316" i="2" s="1"/>
  <c r="D396" i="2"/>
  <c r="H396" i="2" s="1"/>
  <c r="D698" i="2"/>
  <c r="H698" i="2" s="1"/>
  <c r="D18" i="2"/>
  <c r="H18" i="2" s="1"/>
  <c r="D629" i="2"/>
  <c r="D51" i="2"/>
  <c r="H51" i="2" s="1"/>
  <c r="D873" i="2"/>
  <c r="H873" i="2" s="1"/>
  <c r="D575" i="2"/>
  <c r="H575" i="2" s="1"/>
  <c r="D774" i="2"/>
  <c r="H774" i="2" s="1"/>
  <c r="D976" i="2"/>
  <c r="D891" i="2"/>
  <c r="H891" i="2" s="1"/>
  <c r="D463" i="2"/>
  <c r="H463" i="2" s="1"/>
  <c r="D116" i="2"/>
  <c r="H116" i="2" s="1"/>
  <c r="D66" i="2"/>
  <c r="H66" i="2" s="1"/>
  <c r="D705" i="2"/>
  <c r="H705" i="2" s="1"/>
  <c r="D93" i="2"/>
  <c r="H93" i="2" s="1"/>
  <c r="D275" i="2"/>
  <c r="H275" i="2" s="1"/>
  <c r="D990" i="2"/>
  <c r="H990" i="2" s="1"/>
  <c r="D243" i="2"/>
  <c r="H243" i="2" s="1"/>
  <c r="D454" i="2"/>
  <c r="H454" i="2" s="1"/>
  <c r="D214" i="2"/>
  <c r="H214" i="2" s="1"/>
  <c r="D738" i="2"/>
  <c r="H738" i="2" s="1"/>
  <c r="D208" i="2"/>
  <c r="H208" i="2" s="1"/>
  <c r="D55" i="2"/>
  <c r="H55" i="2" s="1"/>
  <c r="D567" i="2"/>
  <c r="H567" i="2" s="1"/>
  <c r="D829" i="2"/>
  <c r="H829" i="2" s="1"/>
  <c r="D252" i="2"/>
  <c r="H252" i="2" s="1"/>
  <c r="D469" i="2"/>
  <c r="H469" i="2" s="1"/>
  <c r="D900" i="2"/>
  <c r="H900" i="2" s="1"/>
  <c r="D190" i="2"/>
  <c r="H190" i="2" s="1"/>
  <c r="D510" i="2"/>
  <c r="H510" i="2" s="1"/>
  <c r="D749" i="2"/>
  <c r="H749" i="2" s="1"/>
  <c r="D147" i="2"/>
  <c r="H147" i="2" s="1"/>
  <c r="D234" i="2"/>
  <c r="H234" i="2" s="1"/>
  <c r="D773" i="2"/>
  <c r="H773" i="2" s="1"/>
  <c r="D8" i="2"/>
  <c r="D913" i="2"/>
  <c r="D211" i="2"/>
  <c r="H211" i="2" s="1"/>
  <c r="D475" i="2"/>
  <c r="H475" i="2" s="1"/>
  <c r="D29" i="2"/>
  <c r="H29" i="2" s="1"/>
  <c r="D4" i="2"/>
  <c r="H4" i="2" s="1"/>
  <c r="D14" i="2"/>
  <c r="H14" i="2" s="1"/>
  <c r="D679" i="2"/>
  <c r="H679" i="2" s="1"/>
  <c r="D607" i="2"/>
  <c r="H607" i="2" s="1"/>
  <c r="D815" i="2"/>
  <c r="H815" i="2" s="1"/>
  <c r="D149" i="2"/>
  <c r="H149" i="2" s="1"/>
  <c r="D39" i="2"/>
  <c r="H39" i="2" s="1"/>
  <c r="D108" i="2"/>
  <c r="H108" i="2" s="1"/>
  <c r="D310" i="2"/>
  <c r="H310" i="2" s="1"/>
  <c r="D194" i="2"/>
  <c r="H194" i="2" s="1"/>
  <c r="D102" i="2"/>
  <c r="H102" i="2" s="1"/>
  <c r="D969" i="2"/>
  <c r="H969" i="2" s="1"/>
  <c r="D570" i="2"/>
  <c r="H570" i="2" s="1"/>
  <c r="D895" i="2"/>
  <c r="H895" i="2" s="1"/>
  <c r="D401" i="2"/>
  <c r="H401" i="2" s="1"/>
  <c r="D594" i="2"/>
  <c r="H594" i="2" s="1"/>
  <c r="D446" i="2"/>
  <c r="D406" i="2"/>
  <c r="D412" i="2"/>
  <c r="H412" i="2" s="1"/>
  <c r="D566" i="2"/>
  <c r="H566" i="2" s="1"/>
  <c r="D155" i="2"/>
  <c r="H155" i="2" s="1"/>
  <c r="D616" i="2"/>
  <c r="H616" i="2" s="1"/>
  <c r="D303" i="2"/>
  <c r="H303" i="2" s="1"/>
  <c r="D754" i="2"/>
  <c r="H754" i="2" s="1"/>
  <c r="D497" i="2"/>
  <c r="H497" i="2" s="1"/>
  <c r="D287" i="2"/>
  <c r="H287" i="2" s="1"/>
  <c r="D87" i="2"/>
  <c r="H87" i="2" s="1"/>
  <c r="D215" i="2"/>
  <c r="H215" i="2" s="1"/>
  <c r="D492" i="2"/>
  <c r="D122" i="2"/>
  <c r="H122" i="2" s="1"/>
  <c r="D764" i="2"/>
  <c r="H764" i="2" s="1"/>
  <c r="D219" i="2"/>
  <c r="H219" i="2" s="1"/>
  <c r="D265" i="2"/>
  <c r="D922" i="2"/>
  <c r="D166" i="2"/>
  <c r="H166" i="2" s="1"/>
  <c r="D733" i="2"/>
  <c r="H733" i="2" s="1"/>
  <c r="D260" i="2"/>
  <c r="H260" i="2" s="1"/>
  <c r="D112" i="2"/>
  <c r="H112" i="2" s="1"/>
  <c r="D693" i="2"/>
  <c r="H693" i="2" s="1"/>
  <c r="D507" i="2"/>
  <c r="H507" i="2" s="1"/>
  <c r="D778" i="2"/>
  <c r="H778" i="2" s="1"/>
  <c r="D11" i="2"/>
  <c r="H11" i="2" s="1"/>
  <c r="D962" i="2"/>
  <c r="H962" i="2" s="1"/>
  <c r="D700" i="2"/>
  <c r="H700" i="2" s="1"/>
  <c r="D85" i="2"/>
  <c r="H85" i="2" s="1"/>
  <c r="D798" i="2"/>
  <c r="H798" i="2" s="1"/>
  <c r="D199" i="2"/>
  <c r="H199" i="2" s="1"/>
  <c r="D344" i="2"/>
  <c r="H344" i="2" s="1"/>
  <c r="D137" i="2"/>
  <c r="H137" i="2" s="1"/>
  <c r="D135" i="2"/>
  <c r="H135" i="2" s="1"/>
  <c r="D413" i="2"/>
  <c r="H413" i="2" s="1"/>
  <c r="D156" i="2"/>
  <c r="H156" i="2" s="1"/>
  <c r="D236" i="2"/>
  <c r="H236" i="2" s="1"/>
  <c r="D419" i="2"/>
  <c r="H419" i="2" s="1"/>
  <c r="D658" i="2"/>
  <c r="H658" i="2" s="1"/>
  <c r="D526" i="2"/>
  <c r="H526" i="2" s="1"/>
  <c r="D280" i="2"/>
  <c r="H280" i="2" s="1"/>
  <c r="D88" i="2"/>
  <c r="H88" i="2" s="1"/>
  <c r="D213" i="2"/>
  <c r="H213" i="2" s="1"/>
  <c r="D936" i="2"/>
  <c r="D550" i="2"/>
  <c r="H550" i="2" s="1"/>
  <c r="D111" i="2"/>
  <c r="H111" i="2" s="1"/>
  <c r="D5" i="2"/>
  <c r="H5" i="2" s="1"/>
  <c r="D255" i="2"/>
  <c r="H255" i="2" s="1"/>
  <c r="D785" i="2"/>
  <c r="H785" i="2" s="1"/>
  <c r="D186" i="2"/>
  <c r="D551" i="2"/>
  <c r="D851" i="2"/>
  <c r="H851" i="2" s="1"/>
  <c r="D819" i="2"/>
  <c r="H819" i="2" s="1"/>
  <c r="D633" i="2"/>
  <c r="H633" i="2" s="1"/>
  <c r="D784" i="2"/>
  <c r="H784" i="2" s="1"/>
  <c r="D706" i="2"/>
  <c r="H706" i="2" s="1"/>
  <c r="D807" i="2"/>
  <c r="H807" i="2" s="1"/>
  <c r="D718" i="2"/>
  <c r="H718" i="2" s="1"/>
  <c r="D589" i="2"/>
  <c r="H589" i="2" s="1"/>
  <c r="D947" i="2"/>
  <c r="H947" i="2" s="1"/>
  <c r="D117" i="2"/>
  <c r="H117" i="2" s="1"/>
  <c r="D765" i="2"/>
  <c r="H765" i="2" s="1"/>
  <c r="D415" i="2"/>
  <c r="H415" i="2" s="1"/>
  <c r="D361" i="2"/>
  <c r="H361" i="2" s="1"/>
  <c r="D681" i="2"/>
  <c r="H681" i="2" s="1"/>
  <c r="D250" i="2"/>
  <c r="D329" i="2"/>
  <c r="D972" i="2"/>
  <c r="H972" i="2" s="1"/>
  <c r="D670" i="2"/>
  <c r="H670" i="2" s="1"/>
  <c r="D314" i="2"/>
  <c r="H314" i="2" s="1"/>
  <c r="D174" i="2"/>
  <c r="H174" i="2" s="1"/>
  <c r="D333" i="2"/>
  <c r="H333" i="2" s="1"/>
  <c r="D907" i="2"/>
  <c r="H907" i="2" s="1"/>
  <c r="D699" i="2"/>
  <c r="H699" i="2" s="1"/>
  <c r="D929" i="2"/>
  <c r="H929" i="2" s="1"/>
  <c r="D752" i="2"/>
  <c r="D141" i="2"/>
  <c r="H141" i="2" s="1"/>
  <c r="D544" i="2"/>
  <c r="H544" i="2" s="1"/>
  <c r="D284" i="2"/>
  <c r="H284" i="2" s="1"/>
  <c r="D960" i="2"/>
  <c r="H960" i="2" s="1"/>
  <c r="D210" i="2"/>
  <c r="H210" i="2" s="1"/>
  <c r="D926" i="2"/>
  <c r="D823" i="2"/>
  <c r="D298" i="2"/>
  <c r="H298" i="2" s="1"/>
  <c r="D197" i="2"/>
  <c r="H197" i="2" s="1"/>
  <c r="D832" i="2"/>
  <c r="H832" i="2" s="1"/>
  <c r="D843" i="2"/>
  <c r="H843" i="2" s="1"/>
  <c r="D232" i="2"/>
  <c r="H232" i="2" s="1"/>
  <c r="D26" i="2"/>
  <c r="H26" i="2" s="1"/>
  <c r="D3" i="2"/>
  <c r="H3" i="2" s="1"/>
  <c r="D21" i="2"/>
  <c r="H21" i="2" s="1"/>
  <c r="D879" i="2"/>
  <c r="H879" i="2" s="1"/>
  <c r="D372" i="2"/>
  <c r="H372" i="2" s="1"/>
  <c r="D923" i="2"/>
  <c r="H923" i="2" s="1"/>
  <c r="D691" i="2"/>
  <c r="H691" i="2" s="1"/>
  <c r="D315" i="2"/>
  <c r="H315" i="2" s="1"/>
  <c r="D185" i="2"/>
  <c r="H185" i="2" s="1"/>
  <c r="D533" i="2"/>
  <c r="H533" i="2" s="1"/>
  <c r="D195" i="2"/>
  <c r="H195" i="2" s="1"/>
  <c r="D452" i="2"/>
  <c r="H452" i="2" s="1"/>
  <c r="D296" i="2"/>
  <c r="H296" i="2" s="1"/>
  <c r="D338" i="2"/>
  <c r="H338" i="2" s="1"/>
  <c r="D31" i="2"/>
  <c r="H31" i="2" s="1"/>
  <c r="D563" i="2"/>
  <c r="H563" i="2" s="1"/>
  <c r="D414" i="2"/>
  <c r="H414" i="2" s="1"/>
  <c r="D973" i="2"/>
  <c r="H973" i="2" s="1"/>
  <c r="D505" i="2"/>
  <c r="H505" i="2" s="1"/>
  <c r="D888" i="2"/>
  <c r="D848" i="2"/>
  <c r="H848" i="2" s="1"/>
  <c r="D151" i="2"/>
  <c r="H151" i="2" s="1"/>
  <c r="D719" i="2"/>
  <c r="H719" i="2" s="1"/>
  <c r="D568" i="2"/>
  <c r="H568" i="2" s="1"/>
  <c r="D729" i="2"/>
  <c r="H729" i="2" s="1"/>
  <c r="D140" i="2"/>
  <c r="H140" i="2" s="1"/>
  <c r="D458" i="2"/>
  <c r="H458" i="2" s="1"/>
  <c r="D826" i="2"/>
  <c r="D6" i="2"/>
  <c r="H6" i="2" s="1"/>
  <c r="D978" i="2"/>
  <c r="H978" i="2" s="1"/>
  <c r="D435" i="2"/>
  <c r="H435" i="2" s="1"/>
  <c r="D769" i="2"/>
  <c r="D624" i="2"/>
  <c r="H624" i="2" s="1"/>
  <c r="D988" i="2"/>
  <c r="H988" i="2" s="1"/>
  <c r="D762" i="2"/>
  <c r="H762" i="2" s="1"/>
  <c r="D545" i="2"/>
  <c r="H545" i="2" s="1"/>
  <c r="D937" i="2"/>
  <c r="H937" i="2" s="1"/>
  <c r="D821" i="2"/>
  <c r="H821" i="2" s="1"/>
  <c r="D272" i="2"/>
  <c r="H272" i="2" s="1"/>
  <c r="D62" i="2"/>
  <c r="H62" i="2" s="1"/>
  <c r="D979" i="2"/>
  <c r="H979" i="2" s="1"/>
  <c r="D118" i="2"/>
  <c r="H118" i="2" s="1"/>
  <c r="D216" i="2"/>
  <c r="H216" i="2" s="1"/>
  <c r="D322" i="2"/>
  <c r="D229" i="2"/>
  <c r="H229" i="2" s="1"/>
  <c r="D989" i="2"/>
  <c r="H989" i="2" s="1"/>
  <c r="D884" i="2"/>
  <c r="H884" i="2" s="1"/>
  <c r="D328" i="2"/>
  <c r="D958" i="2"/>
  <c r="H958" i="2" s="1"/>
  <c r="D383" i="2"/>
  <c r="H383" i="2" s="1"/>
  <c r="D724" i="2"/>
  <c r="H724" i="2" s="1"/>
  <c r="D694" i="2"/>
  <c r="D432" i="2"/>
  <c r="H432" i="2" s="1"/>
  <c r="D781" i="2"/>
  <c r="H781" i="2" s="1"/>
  <c r="D892" i="2"/>
  <c r="H892" i="2" s="1"/>
  <c r="D293" i="2"/>
  <c r="H293" i="2" s="1"/>
  <c r="D171" i="2"/>
  <c r="H171" i="2" s="1"/>
  <c r="D124" i="2"/>
  <c r="H124" i="2" s="1"/>
  <c r="D491" i="2"/>
  <c r="H491" i="2" s="1"/>
  <c r="D758" i="2"/>
  <c r="H758" i="2" s="1"/>
  <c r="D983" i="2"/>
  <c r="H983" i="2" s="1"/>
  <c r="D956" i="2"/>
  <c r="H956" i="2" s="1"/>
  <c r="D398" i="2"/>
  <c r="H398" i="2" s="1"/>
  <c r="D971" i="2"/>
  <c r="H971" i="2" s="1"/>
  <c r="D101" i="2"/>
  <c r="D649" i="2"/>
  <c r="D268" i="2"/>
  <c r="H268" i="2" s="1"/>
  <c r="D722" i="2"/>
  <c r="H722" i="2" s="1"/>
  <c r="D86" i="2"/>
  <c r="H86" i="2" s="1"/>
  <c r="D479" i="2"/>
  <c r="H479" i="2" s="1"/>
  <c r="D501" i="2"/>
  <c r="H501" i="2" s="1"/>
  <c r="D238" i="2"/>
  <c r="H238" i="2" s="1"/>
  <c r="D1000" i="2"/>
  <c r="H1000" i="2" s="1"/>
  <c r="D643" i="2"/>
  <c r="H643" i="2" s="1"/>
  <c r="D158" i="2"/>
  <c r="H158" i="2" s="1"/>
  <c r="D650" i="2"/>
  <c r="H650" i="2" s="1"/>
  <c r="D221" i="2"/>
  <c r="H221" i="2" s="1"/>
  <c r="D483" i="2"/>
  <c r="H483" i="2" s="1"/>
  <c r="D562" i="2"/>
  <c r="H562" i="2" s="1"/>
  <c r="D437" i="2"/>
  <c r="H437" i="2" s="1"/>
  <c r="D621" i="2"/>
  <c r="H621" i="2" s="1"/>
  <c r="D444" i="2"/>
  <c r="H444" i="2" s="1"/>
  <c r="D113" i="2"/>
  <c r="H113" i="2" s="1"/>
  <c r="D792" i="2"/>
  <c r="D191" i="2"/>
  <c r="H191" i="2" s="1"/>
  <c r="D918" i="2"/>
  <c r="H918" i="2" s="1"/>
  <c r="D517" i="2"/>
  <c r="H517" i="2" s="1"/>
  <c r="D217" i="2"/>
  <c r="H217" i="2" s="1"/>
  <c r="D707" i="2"/>
  <c r="H707" i="2" s="1"/>
  <c r="D256" i="2"/>
  <c r="H256" i="2" s="1"/>
  <c r="D493" i="2"/>
  <c r="H493" i="2" s="1"/>
  <c r="D179" i="2"/>
  <c r="H179" i="2" s="1"/>
  <c r="D852" i="2"/>
  <c r="H852" i="2" s="1"/>
  <c r="D524" i="2"/>
  <c r="H524" i="2" s="1"/>
  <c r="D67" i="2"/>
  <c r="H67" i="2" s="1"/>
  <c r="D521" i="2"/>
  <c r="H521" i="2" s="1"/>
  <c r="D585" i="2"/>
  <c r="D842" i="2"/>
  <c r="D599" i="2"/>
  <c r="H599" i="2" s="1"/>
  <c r="D99" i="2"/>
  <c r="H99" i="2" s="1"/>
  <c r="D441" i="2"/>
  <c r="H441" i="2" s="1"/>
  <c r="D365" i="2"/>
  <c r="H365" i="2" s="1"/>
  <c r="D455" i="2"/>
  <c r="H455" i="2" s="1"/>
  <c r="D371" i="2"/>
  <c r="H371" i="2" s="1"/>
  <c r="D683" i="2"/>
  <c r="H683" i="2" s="1"/>
  <c r="D162" i="2"/>
  <c r="H162" i="2" s="1"/>
  <c r="D449" i="2"/>
  <c r="H449" i="2" s="1"/>
  <c r="D530" i="2"/>
  <c r="H530" i="2" s="1"/>
  <c r="D251" i="2"/>
  <c r="H251" i="2" s="1"/>
  <c r="D23" i="2"/>
  <c r="H23" i="2" s="1"/>
  <c r="D661" i="2"/>
  <c r="H661" i="2" s="1"/>
  <c r="D617" i="2"/>
  <c r="H617" i="2" s="1"/>
  <c r="D48" i="2"/>
  <c r="H48" i="2" s="1"/>
  <c r="D673" i="2"/>
  <c r="H673" i="2" s="1"/>
  <c r="D504" i="2"/>
  <c r="D642" i="2"/>
  <c r="D327" i="2"/>
  <c r="H327" i="2" s="1"/>
  <c r="D318" i="2"/>
  <c r="H318" i="2" s="1"/>
  <c r="D739" i="2"/>
  <c r="H739" i="2" s="1"/>
  <c r="D81" i="2"/>
  <c r="H81" i="2" s="1"/>
  <c r="D19" i="2"/>
  <c r="H19" i="2" s="1"/>
  <c r="D17" i="2"/>
  <c r="H17" i="2" s="1"/>
  <c r="D995" i="2"/>
  <c r="H995" i="2" s="1"/>
  <c r="D609" i="2"/>
  <c r="H609" i="2" s="1"/>
  <c r="D95" i="2"/>
  <c r="H95" i="2" s="1"/>
  <c r="D878" i="2"/>
  <c r="H878" i="2" s="1"/>
  <c r="D436" i="2"/>
  <c r="H436" i="2" s="1"/>
  <c r="D370" i="2"/>
  <c r="H370" i="2" s="1"/>
  <c r="D381" i="2"/>
  <c r="H381" i="2" s="1"/>
  <c r="D83" i="2"/>
  <c r="H83" i="2" s="1"/>
  <c r="D915" i="2"/>
  <c r="D299" i="2"/>
  <c r="D916" i="2"/>
  <c r="H916" i="2" s="1"/>
  <c r="D772" i="2"/>
  <c r="H772" i="2" s="1"/>
  <c r="D775" i="2"/>
  <c r="H775" i="2" s="1"/>
  <c r="D734" i="2"/>
  <c r="H734" i="2" s="1"/>
  <c r="D115" i="2"/>
  <c r="H115" i="2" s="1"/>
  <c r="D360" i="2"/>
  <c r="H360" i="2" s="1"/>
  <c r="D473" i="2"/>
  <c r="H473" i="2" s="1"/>
  <c r="D654" i="2"/>
  <c r="H654" i="2" s="1"/>
  <c r="D519" i="2"/>
  <c r="H519" i="2" s="1"/>
  <c r="D555" i="2"/>
  <c r="H555" i="2" s="1"/>
  <c r="D872" i="2"/>
  <c r="H872" i="2" s="1"/>
  <c r="D680" i="2"/>
  <c r="H680" i="2" s="1"/>
  <c r="D634" i="2"/>
  <c r="H634" i="2" s="1"/>
  <c r="D332" i="2"/>
  <c r="H332" i="2" s="1"/>
  <c r="D279" i="2"/>
  <c r="H279" i="2" s="1"/>
  <c r="D747" i="2"/>
  <c r="D438" i="2"/>
  <c r="H438" i="2" s="1"/>
  <c r="D490" i="2"/>
  <c r="H490" i="2" s="1"/>
  <c r="D776" i="2"/>
  <c r="H776" i="2" s="1"/>
  <c r="D965" i="2"/>
  <c r="H965" i="2" s="1"/>
  <c r="D100" i="2"/>
  <c r="H100" i="2" s="1"/>
  <c r="D218" i="2"/>
  <c r="H218" i="2" s="1"/>
  <c r="D411" i="2"/>
  <c r="H411" i="2" s="1"/>
  <c r="D70" i="2"/>
  <c r="H70" i="2" s="1"/>
  <c r="D576" i="2"/>
  <c r="H576" i="2" s="1"/>
  <c r="D9" i="2"/>
  <c r="H9" i="2" s="1"/>
  <c r="D339" i="2"/>
  <c r="H339" i="2" s="1"/>
  <c r="D748" i="2"/>
  <c r="H748" i="2" s="1"/>
  <c r="D833" i="2"/>
  <c r="H833" i="2" s="1"/>
  <c r="D623" i="2"/>
  <c r="H623" i="2" s="1"/>
  <c r="D612" i="2"/>
  <c r="H612" i="2" s="1"/>
  <c r="D448" i="2"/>
  <c r="H448" i="2" s="1"/>
  <c r="D312" i="2"/>
  <c r="H312" i="2" s="1"/>
  <c r="D970" i="2"/>
  <c r="H970" i="2" s="1"/>
  <c r="D98" i="2"/>
  <c r="H98" i="2" s="1"/>
  <c r="D89" i="2"/>
  <c r="D509" i="2"/>
  <c r="D932" i="2"/>
  <c r="H932" i="2" s="1"/>
  <c r="D144" i="2"/>
  <c r="H144" i="2" s="1"/>
  <c r="D356" i="2"/>
  <c r="H356" i="2" s="1"/>
  <c r="D49" i="2"/>
  <c r="H49" i="2" s="1"/>
  <c r="D184" i="2"/>
  <c r="H184" i="2" s="1"/>
  <c r="D921" i="2"/>
  <c r="H921" i="2" s="1"/>
  <c r="D824" i="2"/>
  <c r="H824" i="2" s="1"/>
  <c r="D809" i="2"/>
  <c r="H809" i="2" s="1"/>
  <c r="D553" i="2"/>
  <c r="H553" i="2" s="1"/>
  <c r="D306" i="2"/>
  <c r="H306" i="2" s="1"/>
  <c r="D464" i="2"/>
  <c r="D388" i="2"/>
  <c r="H388" i="2" s="1"/>
  <c r="D997" i="2"/>
  <c r="H997" i="2" s="1"/>
  <c r="D382" i="2"/>
  <c r="H382" i="2" s="1"/>
  <c r="D535" i="2"/>
  <c r="D246" i="2"/>
  <c r="D953" i="2"/>
  <c r="H953" i="2" s="1"/>
  <c r="D263" i="2"/>
  <c r="H263" i="2" s="1"/>
  <c r="D373" i="2"/>
  <c r="H373" i="2" s="1"/>
  <c r="D28" i="2"/>
  <c r="H28" i="2" s="1"/>
  <c r="D402" i="2"/>
  <c r="H402" i="2" s="1"/>
  <c r="D595" i="2"/>
  <c r="H595" i="2" s="1"/>
  <c r="D270" i="2"/>
  <c r="H270" i="2" s="1"/>
  <c r="D427" i="2"/>
  <c r="H427" i="2" s="1"/>
  <c r="D828" i="2"/>
  <c r="H828" i="2" s="1"/>
  <c r="D860" i="2"/>
  <c r="H860" i="2" s="1"/>
  <c r="D511" i="2"/>
  <c r="H511" i="2" s="1"/>
  <c r="D374" i="2"/>
  <c r="H374" i="2" s="1"/>
  <c r="D150" i="2"/>
  <c r="H150" i="2" s="1"/>
  <c r="D899" i="2"/>
  <c r="H899" i="2" s="1"/>
  <c r="D109" i="2"/>
  <c r="D771" i="2"/>
  <c r="D689" i="2"/>
  <c r="H689" i="2" s="1"/>
  <c r="D615" i="2"/>
  <c r="H615" i="2" s="1"/>
  <c r="D226" i="2"/>
  <c r="H226" i="2" s="1"/>
  <c r="D686" i="2"/>
  <c r="H686" i="2" s="1"/>
  <c r="D675" i="2"/>
  <c r="H675" i="2" s="1"/>
  <c r="D665" i="2"/>
  <c r="H665" i="2" s="1"/>
  <c r="D163" i="2"/>
  <c r="H163" i="2" s="1"/>
  <c r="D518" i="2"/>
  <c r="H518" i="2" s="1"/>
  <c r="D266" i="2"/>
  <c r="H266" i="2" s="1"/>
  <c r="D331" i="2"/>
  <c r="H331" i="2" s="1"/>
  <c r="D480" i="2"/>
  <c r="H480" i="2" s="1"/>
  <c r="D855" i="2"/>
  <c r="H855" i="2" s="1"/>
  <c r="D257" i="2"/>
  <c r="H257" i="2" s="1"/>
  <c r="D136" i="2"/>
  <c r="H136" i="2" s="1"/>
  <c r="D295" i="2"/>
  <c r="H295" i="2" s="1"/>
  <c r="D76" i="2"/>
  <c r="H76" i="2" s="1"/>
  <c r="D596" i="2"/>
  <c r="H596" i="2" s="1"/>
  <c r="D702" i="2"/>
  <c r="H702" i="2" s="1"/>
  <c r="D529" i="2"/>
  <c r="H529" i="2" s="1"/>
  <c r="D614" i="2"/>
  <c r="H614" i="2" s="1"/>
  <c r="D72" i="2"/>
  <c r="H72" i="2" s="1"/>
  <c r="D968" i="2"/>
  <c r="H968" i="2" s="1"/>
  <c r="D42" i="2"/>
  <c r="H42" i="2" s="1"/>
  <c r="D63" i="2"/>
  <c r="H63" i="2" s="1"/>
  <c r="D928" i="2"/>
  <c r="H928" i="2" s="1"/>
  <c r="D164" i="2"/>
  <c r="H164" i="2" s="1"/>
  <c r="D351" i="2"/>
  <c r="H351" i="2" s="1"/>
  <c r="D672" i="2"/>
  <c r="H672" i="2" s="1"/>
  <c r="D949" i="2"/>
  <c r="H949" i="2" s="1"/>
  <c r="D790" i="2"/>
  <c r="H790" i="2" s="1"/>
  <c r="D759" i="2"/>
  <c r="H759" i="2" s="1"/>
  <c r="D750" i="2"/>
  <c r="H750" i="2" s="1"/>
  <c r="D96" i="2"/>
  <c r="D919" i="2"/>
  <c r="H919" i="2" s="1"/>
  <c r="D309" i="2"/>
  <c r="H309" i="2" s="1"/>
  <c r="D687" i="2"/>
  <c r="H687" i="2" s="1"/>
  <c r="D434" i="2"/>
  <c r="H434" i="2" s="1"/>
  <c r="D905" i="2"/>
  <c r="H905" i="2" s="1"/>
  <c r="D598" i="2"/>
  <c r="H598" i="2" s="1"/>
  <c r="D12" i="2"/>
  <c r="H12" i="2" s="1"/>
  <c r="D646" i="2"/>
  <c r="H646" i="2" s="1"/>
  <c r="D15" i="2"/>
  <c r="H15" i="2" s="1"/>
  <c r="D207" i="2"/>
  <c r="H207" i="2" s="1"/>
  <c r="D861" i="2"/>
  <c r="H861" i="2" s="1"/>
  <c r="D482" i="2"/>
  <c r="H482" i="2" s="1"/>
  <c r="D984" i="2"/>
  <c r="H984" i="2" s="1"/>
  <c r="D168" i="2"/>
  <c r="H168" i="2" s="1"/>
  <c r="D811" i="2"/>
  <c r="H811" i="2" s="1"/>
  <c r="D660" i="2"/>
  <c r="D368" i="2"/>
  <c r="H368" i="2" s="1"/>
  <c r="D244" i="2"/>
  <c r="H244" i="2" s="1"/>
  <c r="D50" i="2"/>
  <c r="H50" i="2" s="1"/>
  <c r="D547" i="2"/>
  <c r="H547" i="2" s="1"/>
  <c r="D814" i="2"/>
  <c r="H814" i="2" s="1"/>
  <c r="D579" i="2"/>
  <c r="H579" i="2" s="1"/>
  <c r="D648" i="2"/>
  <c r="H648" i="2" s="1"/>
  <c r="D541" i="2"/>
  <c r="H541" i="2" s="1"/>
  <c r="D993" i="2"/>
  <c r="H993" i="2" s="1"/>
  <c r="D532" i="2"/>
  <c r="H532" i="2" s="1"/>
  <c r="D886" i="2"/>
  <c r="H886" i="2" s="1"/>
  <c r="D106" i="2"/>
  <c r="H106" i="2" s="1"/>
  <c r="D644" i="2"/>
  <c r="H644" i="2" s="1"/>
  <c r="D107" i="2"/>
  <c r="H107" i="2" s="1"/>
  <c r="D552" i="2"/>
  <c r="H552" i="2" s="1"/>
  <c r="D154" i="2"/>
  <c r="H154" i="2" s="1"/>
  <c r="D342" i="2"/>
  <c r="H342" i="2" s="1"/>
  <c r="D433" i="2"/>
  <c r="H433" i="2" s="1"/>
  <c r="D267" i="2"/>
  <c r="H267" i="2" s="1"/>
  <c r="D44" i="2"/>
  <c r="H44" i="2" s="1"/>
  <c r="D597" i="2"/>
  <c r="H597" i="2" s="1"/>
  <c r="D523" i="2"/>
  <c r="H523" i="2" s="1"/>
  <c r="D954" i="2"/>
  <c r="H954" i="2" s="1"/>
  <c r="D169" i="2"/>
  <c r="H169" i="2" s="1"/>
  <c r="D564" i="2"/>
  <c r="H564" i="2" s="1"/>
  <c r="D426" i="2"/>
  <c r="D981" i="2"/>
  <c r="H981" i="2" s="1"/>
  <c r="D522" i="2"/>
  <c r="H522" i="2" s="1"/>
  <c r="D395" i="2"/>
  <c r="H395" i="2" s="1"/>
  <c r="D580" i="2"/>
  <c r="H580" i="2" s="1"/>
  <c r="D408" i="2"/>
  <c r="H408" i="2" s="1"/>
  <c r="D54" i="2"/>
  <c r="H54" i="2" s="1"/>
  <c r="D794" i="2"/>
  <c r="H794" i="2" s="1"/>
  <c r="D822" i="2"/>
  <c r="H822" i="2" s="1"/>
  <c r="D516" i="2"/>
  <c r="H516" i="2" s="1"/>
  <c r="D827" i="2"/>
  <c r="H827" i="2" s="1"/>
  <c r="D846" i="2"/>
  <c r="H846" i="2" s="1"/>
  <c r="D904" i="2"/>
  <c r="H904" i="2" s="1"/>
  <c r="D543" i="2"/>
  <c r="H543" i="2" s="1"/>
  <c r="D514" i="2"/>
  <c r="H514" i="2" s="1"/>
  <c r="D871" i="2"/>
  <c r="H871" i="2" s="1"/>
  <c r="D708" i="2"/>
  <c r="H708" i="2" s="1"/>
  <c r="D653" i="2"/>
  <c r="H653" i="2" s="1"/>
  <c r="D75" i="2"/>
  <c r="H75" i="2" s="1"/>
  <c r="D889" i="2"/>
  <c r="H889" i="2" s="1"/>
  <c r="D187" i="2"/>
  <c r="H187" i="2" s="1"/>
  <c r="D704" i="2"/>
  <c r="H704" i="2" s="1"/>
  <c r="D27" i="2"/>
  <c r="H27" i="2" s="1"/>
  <c r="D911" i="2"/>
  <c r="H911" i="2" s="1"/>
  <c r="D985" i="2"/>
  <c r="H985" i="2" s="1"/>
  <c r="D212" i="2"/>
  <c r="H212" i="2" s="1"/>
  <c r="D390" i="2"/>
  <c r="H390" i="2" s="1"/>
  <c r="D90" i="2"/>
  <c r="H90" i="2" s="1"/>
  <c r="D777" i="2"/>
  <c r="H777" i="2" s="1"/>
  <c r="D714" i="2"/>
  <c r="H714" i="2" s="1"/>
  <c r="D379" i="2"/>
  <c r="H379" i="2" s="1"/>
  <c r="D132" i="2"/>
  <c r="H132" i="2" s="1"/>
  <c r="D841" i="2"/>
  <c r="H841" i="2" s="1"/>
  <c r="D868" i="2"/>
  <c r="H868" i="2" s="1"/>
  <c r="D176" i="2"/>
  <c r="H176" i="2" s="1"/>
  <c r="D73" i="2"/>
  <c r="H73" i="2" s="1"/>
  <c r="D273" i="2"/>
  <c r="H273" i="2" s="1"/>
  <c r="D403" i="2"/>
  <c r="H403" i="2" s="1"/>
  <c r="D486" i="2"/>
  <c r="H486" i="2" s="1"/>
  <c r="D711" i="2"/>
  <c r="H711" i="2" s="1"/>
  <c r="D994" i="2"/>
  <c r="H994" i="2" s="1"/>
  <c r="D966" i="2"/>
  <c r="H966" i="2" s="1"/>
  <c r="D882" i="2"/>
  <c r="H882" i="2" s="1"/>
  <c r="D898" i="2"/>
  <c r="H898" i="2" s="1"/>
  <c r="D656" i="2"/>
  <c r="H656" i="2" s="1"/>
  <c r="D666" i="2"/>
  <c r="D247" i="2"/>
  <c r="D863" i="2"/>
  <c r="H863" i="2" s="1"/>
  <c r="D200" i="2"/>
  <c r="H200" i="2" s="1"/>
  <c r="D812" i="2"/>
  <c r="H812" i="2" s="1"/>
  <c r="D583" i="2"/>
  <c r="H583" i="2" s="1"/>
  <c r="D902" i="2"/>
  <c r="H902" i="2" s="1"/>
  <c r="D917" i="2"/>
  <c r="H917" i="2" s="1"/>
  <c r="D288" i="2"/>
  <c r="H288" i="2" s="1"/>
  <c r="D763" i="2"/>
  <c r="H763" i="2" s="1"/>
  <c r="D498" i="2"/>
  <c r="H498" i="2" s="1"/>
  <c r="D741" i="2"/>
  <c r="H741" i="2" s="1"/>
  <c r="D810" i="2"/>
  <c r="H810" i="2" s="1"/>
  <c r="D495" i="2"/>
  <c r="H495" i="2" s="1"/>
  <c r="D955" i="2"/>
  <c r="H955" i="2" s="1"/>
  <c r="D160" i="2"/>
  <c r="H160" i="2" s="1"/>
  <c r="D423" i="2"/>
  <c r="D618" i="2"/>
  <c r="D120" i="2"/>
  <c r="H120" i="2" s="1"/>
  <c r="D716" i="2"/>
  <c r="D925" i="2"/>
  <c r="H925" i="2" s="1"/>
  <c r="D74" i="2"/>
  <c r="H74" i="2" s="1"/>
  <c r="D399" i="2"/>
  <c r="H399" i="2" s="1"/>
  <c r="D525" i="2"/>
  <c r="H525" i="2" s="1"/>
  <c r="D690" i="2"/>
  <c r="H690" i="2" s="1"/>
  <c r="D779" i="2"/>
  <c r="H779" i="2" s="1"/>
  <c r="D465" i="2"/>
  <c r="H465" i="2" s="1"/>
  <c r="D222" i="2"/>
  <c r="H222" i="2" s="1"/>
  <c r="D835" i="2"/>
  <c r="H835" i="2" s="1"/>
  <c r="D36" i="2"/>
  <c r="H36" i="2" s="1"/>
  <c r="D352" i="2"/>
  <c r="H352" i="2" s="1"/>
  <c r="D345" i="2"/>
  <c r="H345" i="2" s="1"/>
  <c r="D119" i="2"/>
  <c r="H119" i="2" s="1"/>
  <c r="D782" i="2"/>
  <c r="H782" i="2" s="1"/>
  <c r="D938" i="2"/>
  <c r="H938" i="2" s="1"/>
  <c r="D721" i="2"/>
  <c r="H721" i="2" s="1"/>
  <c r="D173" i="2"/>
  <c r="H173" i="2" s="1"/>
  <c r="D362" i="2"/>
  <c r="H362" i="2" s="1"/>
  <c r="D485" i="2"/>
  <c r="H485" i="2" s="1"/>
  <c r="D204" i="2"/>
  <c r="H204" i="2" s="1"/>
  <c r="D77" i="2"/>
  <c r="H77" i="2" s="1"/>
  <c r="D924" i="2"/>
  <c r="H924" i="2" s="1"/>
  <c r="D302" i="2"/>
  <c r="H302" i="2" s="1"/>
  <c r="D743" i="2"/>
  <c r="H743" i="2" s="1"/>
  <c r="D645" i="2"/>
  <c r="H645" i="2" s="1"/>
  <c r="D856" i="2"/>
  <c r="H856" i="2" s="1"/>
  <c r="D627" i="2"/>
  <c r="H627" i="2" s="1"/>
  <c r="D242" i="2"/>
  <c r="H242" i="2" s="1"/>
  <c r="D277" i="2"/>
  <c r="H277" i="2" s="1"/>
  <c r="D53" i="2"/>
  <c r="H53" i="2" s="1"/>
  <c r="D422" i="2"/>
  <c r="H422" i="2" s="1"/>
  <c r="D319" i="2"/>
  <c r="D813" i="2"/>
  <c r="H813" i="2" s="1"/>
  <c r="D91" i="2"/>
  <c r="H91" i="2" s="1"/>
  <c r="D944" i="2"/>
  <c r="H944" i="2" s="1"/>
  <c r="D880" i="2"/>
  <c r="H880" i="2" s="1"/>
  <c r="D224" i="2"/>
  <c r="H224" i="2" s="1"/>
  <c r="D957" i="2"/>
  <c r="H957" i="2" s="1"/>
  <c r="D831" i="2"/>
  <c r="H831" i="2" s="1"/>
  <c r="D289" i="2"/>
  <c r="H289" i="2" s="1"/>
  <c r="D639" i="2"/>
  <c r="H639" i="2" s="1"/>
  <c r="D133" i="2"/>
  <c r="H133" i="2" s="1"/>
  <c r="D346" i="2"/>
  <c r="H346" i="2" s="1"/>
  <c r="D192" i="2"/>
  <c r="H192" i="2" s="1"/>
  <c r="D450" i="2"/>
  <c r="H450" i="2" s="1"/>
  <c r="D61" i="2"/>
  <c r="H61" i="2" s="1"/>
  <c r="D582" i="2"/>
  <c r="H582" i="2" s="1"/>
  <c r="D389" i="2"/>
  <c r="H389" i="2" s="1"/>
  <c r="D573" i="2"/>
  <c r="H573" i="2" s="1"/>
  <c r="D751" i="2"/>
  <c r="H751" i="2" s="1"/>
  <c r="D153" i="2"/>
  <c r="H153" i="2" s="1"/>
  <c r="D282" i="2"/>
  <c r="H282" i="2" s="1"/>
  <c r="D343" i="2"/>
  <c r="H343" i="2" s="1"/>
  <c r="D235" i="2"/>
  <c r="H235" i="2" s="1"/>
  <c r="D254" i="2"/>
  <c r="H254" i="2" s="1"/>
  <c r="D181" i="2"/>
  <c r="H181" i="2" s="1"/>
  <c r="D416" i="2"/>
  <c r="H416" i="2" s="1"/>
  <c r="D291" i="2"/>
  <c r="H291" i="2" s="1"/>
  <c r="D584" i="2"/>
  <c r="H584" i="2" s="1"/>
  <c r="D145" i="2"/>
  <c r="H145" i="2" s="1"/>
  <c r="D684" i="2"/>
  <c r="H684" i="2" s="1"/>
  <c r="D611" i="2"/>
  <c r="H611" i="2" s="1"/>
  <c r="D605" i="2"/>
  <c r="H605" i="2" s="1"/>
  <c r="D712" i="2"/>
  <c r="D349" i="2"/>
  <c r="H349" i="2" s="1"/>
  <c r="D934" i="2"/>
  <c r="H934" i="2" s="1"/>
  <c r="D223" i="2"/>
  <c r="H223" i="2" s="1"/>
  <c r="D574" i="2"/>
  <c r="H574" i="2" s="1"/>
  <c r="D975" i="2"/>
  <c r="H975" i="2" s="1"/>
  <c r="D378" i="2"/>
  <c r="H378" i="2" s="1"/>
  <c r="D838" i="2"/>
  <c r="H838" i="2" s="1"/>
  <c r="D671" i="2"/>
  <c r="H671" i="2" s="1"/>
  <c r="D80" i="2"/>
  <c r="H80" i="2" s="1"/>
  <c r="D770" i="2"/>
  <c r="H770" i="2" s="1"/>
  <c r="D104" i="2"/>
  <c r="H104" i="2" s="1"/>
  <c r="D38" i="2"/>
  <c r="H38" i="2" s="1"/>
  <c r="D805" i="2"/>
  <c r="H805" i="2" s="1"/>
  <c r="D134" i="2"/>
  <c r="H134" i="2" s="1"/>
  <c r="D420" i="2"/>
  <c r="H420" i="2" s="1"/>
  <c r="D534" i="2"/>
  <c r="H534" i="2" s="1"/>
  <c r="D820" i="2"/>
  <c r="H820" i="2" s="1"/>
  <c r="D674" i="2"/>
  <c r="H674" i="2" s="1"/>
  <c r="D539" i="2"/>
  <c r="H539" i="2" s="1"/>
  <c r="D527" i="2"/>
  <c r="H527" i="2" s="1"/>
  <c r="D335" i="2"/>
  <c r="H335" i="2" s="1"/>
  <c r="D471" i="2"/>
  <c r="H471" i="2" s="1"/>
  <c r="D682" i="2"/>
  <c r="H682" i="2" s="1"/>
  <c r="D43" i="2"/>
  <c r="H43" i="2" s="1"/>
  <c r="D528" i="2"/>
  <c r="H528" i="2" s="1"/>
  <c r="D728" i="2"/>
  <c r="H728" i="2" s="1"/>
  <c r="D180" i="2"/>
  <c r="H180" i="2" s="1"/>
  <c r="D697" i="2"/>
  <c r="H697" i="2" s="1"/>
  <c r="D78" i="2"/>
  <c r="H78" i="2" s="1"/>
  <c r="D659" i="2"/>
  <c r="H659" i="2" s="1"/>
  <c r="D142" i="2"/>
  <c r="H142" i="2" s="1"/>
  <c r="D206" i="2"/>
  <c r="H206" i="2" s="1"/>
  <c r="D25" i="2"/>
  <c r="H25" i="2" s="1"/>
  <c r="D839" i="2"/>
  <c r="H839" i="2" s="1"/>
  <c r="D239" i="2"/>
  <c r="H239" i="2" s="1"/>
  <c r="D16" i="2"/>
  <c r="H16" i="2" s="1"/>
  <c r="D477" i="2"/>
  <c r="D461" i="2"/>
  <c r="H461" i="2" s="1"/>
  <c r="D998" i="2"/>
  <c r="H998" i="2" s="1"/>
  <c r="D866" i="2"/>
  <c r="H866" i="2" s="1"/>
  <c r="D715" i="2"/>
  <c r="H715" i="2" s="1"/>
  <c r="D65" i="2"/>
  <c r="H65" i="2" s="1"/>
  <c r="D375" i="2"/>
  <c r="H375" i="2" s="1"/>
  <c r="D7" i="2"/>
  <c r="H7" i="2" s="1"/>
  <c r="D951" i="2"/>
  <c r="H951" i="2" s="1"/>
  <c r="D625" i="2"/>
  <c r="H625" i="2" s="1"/>
  <c r="D237" i="2"/>
  <c r="H237" i="2" s="1"/>
  <c r="D647" i="2"/>
  <c r="H647" i="2" s="1"/>
  <c r="D470" i="2"/>
  <c r="H470" i="2" s="1"/>
  <c r="D845" i="2"/>
  <c r="H845" i="2" s="1"/>
  <c r="D57" i="2"/>
  <c r="H57" i="2" s="1"/>
  <c r="D837" i="2"/>
  <c r="H837" i="2" s="1"/>
  <c r="D460" i="2"/>
  <c r="H460" i="2" s="1"/>
  <c r="D431" i="2"/>
  <c r="H431" i="2" s="1"/>
  <c r="D725" i="2"/>
  <c r="H725" i="2" s="1"/>
  <c r="D456" i="2"/>
  <c r="H456" i="2" s="1"/>
  <c r="D341" i="2"/>
  <c r="H341" i="2" s="1"/>
  <c r="D963" i="2"/>
  <c r="H963" i="2" s="1"/>
  <c r="D830" i="2"/>
  <c r="H830" i="2" s="1"/>
  <c r="D366" i="2"/>
  <c r="H366" i="2" s="1"/>
  <c r="D744" i="2"/>
  <c r="H744" i="2" s="1"/>
  <c r="D676" i="2"/>
  <c r="H676" i="2" s="1"/>
  <c r="D803" i="2"/>
  <c r="H803" i="2" s="1"/>
  <c r="D606" i="2"/>
  <c r="H606" i="2" s="1"/>
  <c r="D430" i="2"/>
  <c r="H430" i="2" s="1"/>
  <c r="D494" i="2"/>
  <c r="H494" i="2" s="1"/>
  <c r="D387" i="2"/>
  <c r="H387" i="2" s="1"/>
  <c r="D874" i="2"/>
  <c r="H874" i="2" s="1"/>
  <c r="D320" i="2"/>
  <c r="H320" i="2" s="1"/>
  <c r="D392" i="2"/>
  <c r="H392" i="2" s="1"/>
  <c r="D723" i="2"/>
  <c r="H723" i="2" s="1"/>
  <c r="D536" i="2"/>
  <c r="H536" i="2" s="1"/>
  <c r="D285" i="2"/>
  <c r="H285" i="2" s="1"/>
  <c r="D105" i="2"/>
  <c r="H105" i="2" s="1"/>
  <c r="D540" i="2"/>
  <c r="H540" i="2" s="1"/>
  <c r="D30" i="2"/>
  <c r="H30" i="2" s="1"/>
  <c r="D780" i="2"/>
  <c r="H780" i="2" s="1"/>
  <c r="D557" i="2"/>
  <c r="H557" i="2" s="1"/>
  <c r="D632" i="2"/>
  <c r="H632" i="2" s="1"/>
  <c r="D736" i="2"/>
  <c r="H736" i="2" s="1"/>
  <c r="D278" i="2"/>
  <c r="H278" i="2" s="1"/>
  <c r="D472" i="2"/>
  <c r="H472" i="2" s="1"/>
  <c r="D258" i="2"/>
  <c r="H258" i="2" s="1"/>
  <c r="D561" i="2"/>
  <c r="H561" i="2" s="1"/>
  <c r="D227" i="2"/>
  <c r="H227" i="2" s="1"/>
  <c r="D840" i="2"/>
  <c r="H840" i="2" s="1"/>
  <c r="D737" i="2"/>
  <c r="H737" i="2" s="1"/>
  <c r="D241" i="2"/>
  <c r="D161" i="2"/>
  <c r="H161" i="2" s="1"/>
  <c r="D148" i="2"/>
  <c r="H148" i="2" s="1"/>
  <c r="D468" i="2"/>
  <c r="H468" i="2" s="1"/>
  <c r="D82" i="2"/>
  <c r="H82" i="2" s="1"/>
  <c r="D292" i="2"/>
  <c r="D802" i="2"/>
  <c r="D817" i="2"/>
  <c r="H817" i="2" s="1"/>
  <c r="D205" i="2"/>
  <c r="H205" i="2" s="1"/>
  <c r="D359" i="2"/>
  <c r="H359" i="2" s="1"/>
  <c r="D240" i="2"/>
  <c r="H240" i="2" s="1"/>
  <c r="D950" i="2"/>
  <c r="H950" i="2" s="1"/>
  <c r="D948" i="2"/>
  <c r="H948" i="2" s="1"/>
  <c r="D808" i="2"/>
  <c r="H808" i="2" s="1"/>
  <c r="D865" i="2"/>
  <c r="H865" i="2" s="1"/>
  <c r="D565" i="2"/>
  <c r="H565" i="2" s="1"/>
  <c r="D996" i="2"/>
  <c r="H996" i="2" s="1"/>
  <c r="D307" i="2"/>
  <c r="H307" i="2" s="1"/>
  <c r="D931" i="2"/>
  <c r="H931" i="2" s="1"/>
  <c r="D588" i="2"/>
  <c r="H588" i="2" s="1"/>
  <c r="D608" i="2"/>
  <c r="H608" i="2" s="1"/>
  <c r="D439" i="2"/>
  <c r="D941" i="2"/>
  <c r="D128" i="2"/>
  <c r="H128" i="2" s="1"/>
  <c r="D385" i="2"/>
  <c r="H385" i="2" s="1"/>
  <c r="D167" i="2"/>
  <c r="H167" i="2" s="1"/>
  <c r="D308" i="2"/>
  <c r="H308" i="2" s="1"/>
  <c r="D859" i="2"/>
  <c r="H859" i="2" s="1"/>
  <c r="D367" i="2"/>
  <c r="H367" i="2" s="1"/>
  <c r="D305" i="2"/>
  <c r="H305" i="2" s="1"/>
  <c r="D459" i="2"/>
  <c r="H459" i="2" s="1"/>
  <c r="D457" i="2"/>
  <c r="H457" i="2" s="1"/>
  <c r="D45" i="2"/>
  <c r="H45" i="2" s="1"/>
  <c r="D271" i="2"/>
  <c r="H271" i="2" s="1"/>
  <c r="D131" i="2"/>
  <c r="H131" i="2" s="1"/>
  <c r="D720" i="2"/>
  <c r="H720" i="2" s="1"/>
  <c r="D139" i="2"/>
  <c r="H139" i="2" s="1"/>
  <c r="D301" i="2"/>
  <c r="H301" i="2" s="1"/>
  <c r="D110" i="2"/>
  <c r="H110" i="2" s="1"/>
  <c r="D549" i="2"/>
  <c r="H549" i="2" s="1"/>
  <c r="D496" i="2"/>
  <c r="H496" i="2" s="1"/>
  <c r="D97" i="2"/>
  <c r="H97" i="2" s="1"/>
  <c r="D893" i="2"/>
  <c r="H893" i="2" s="1"/>
  <c r="D336" i="2"/>
  <c r="H336" i="2" s="1"/>
  <c r="D867" i="2"/>
  <c r="H867" i="2" s="1"/>
  <c r="D249" i="2"/>
  <c r="H249" i="2" s="1"/>
  <c r="D967" i="2"/>
  <c r="H967" i="2" s="1"/>
  <c r="D613" i="2"/>
  <c r="H613" i="2" s="1"/>
  <c r="D853" i="2"/>
  <c r="H853" i="2" s="1"/>
  <c r="D264" i="2"/>
  <c r="H264" i="2" s="1"/>
  <c r="D69" i="2"/>
  <c r="H69" i="2" s="1"/>
  <c r="D2" i="2"/>
  <c r="H2" i="2" s="1"/>
  <c r="D927" i="2"/>
  <c r="H927" i="2" s="1"/>
  <c r="D881" i="2"/>
  <c r="H881" i="2" s="1"/>
  <c r="D484" i="2"/>
  <c r="H484" i="2" s="1"/>
  <c r="D796" i="2"/>
  <c r="H796" i="2" s="1"/>
  <c r="D24" i="2"/>
  <c r="H24" i="2" s="1"/>
  <c r="D325" i="2"/>
  <c r="H325" i="2" s="1"/>
  <c r="D125" i="2"/>
  <c r="H125" i="2" s="1"/>
  <c r="D189" i="2"/>
  <c r="H189" i="2" s="1"/>
  <c r="D556" i="2"/>
  <c r="H556" i="2" s="1"/>
  <c r="D877" i="2"/>
  <c r="H877" i="2" s="1"/>
  <c r="D864" i="2"/>
  <c r="H864" i="2" s="1"/>
  <c r="D876" i="2"/>
  <c r="H876" i="2" s="1"/>
  <c r="D590" i="2"/>
  <c r="H590" i="2" s="1"/>
  <c r="D159" i="2"/>
  <c r="H159" i="2" s="1"/>
  <c r="D407" i="2"/>
  <c r="H407" i="2" s="1"/>
  <c r="D294" i="2"/>
  <c r="H294" i="2" s="1"/>
  <c r="D68" i="2"/>
  <c r="H68" i="2" s="1"/>
  <c r="D47" i="2"/>
  <c r="H47" i="2" s="1"/>
  <c r="D59" i="2"/>
  <c r="H59" i="2" s="1"/>
  <c r="D130" i="2"/>
  <c r="H130" i="2" s="1"/>
  <c r="D651" i="2"/>
  <c r="H651" i="2" s="1"/>
  <c r="D202" i="2"/>
  <c r="H202" i="2" s="1"/>
  <c r="D245" i="2"/>
  <c r="H245" i="2" s="1"/>
  <c r="D13" i="2"/>
  <c r="H13" i="2" s="1"/>
  <c r="D652" i="2"/>
  <c r="H652" i="2" s="1"/>
  <c r="D46" i="2"/>
  <c r="H46" i="2" s="1"/>
  <c r="D766" i="2"/>
  <c r="H766" i="2" s="1"/>
  <c r="D508" i="2"/>
  <c r="H508" i="2" s="1"/>
  <c r="D261" i="2"/>
  <c r="H261" i="2" s="1"/>
  <c r="D695" i="2"/>
  <c r="H695" i="2" s="1"/>
  <c r="D60" i="2"/>
  <c r="H60" i="2" s="1"/>
  <c r="D709" i="2"/>
  <c r="H709" i="2" s="1"/>
  <c r="D703" i="2"/>
  <c r="H703" i="2" s="1"/>
  <c r="D591" i="2"/>
  <c r="H591" i="2" s="1"/>
  <c r="D760" i="2"/>
  <c r="H760" i="2" s="1"/>
  <c r="D768" i="2"/>
  <c r="H768" i="2" s="1"/>
  <c r="D850" i="2"/>
  <c r="H850" i="2" s="1"/>
  <c r="D228" i="2"/>
  <c r="H228" i="2" s="1"/>
  <c r="D622" i="2"/>
  <c r="H622" i="2" s="1"/>
  <c r="D364" i="2"/>
  <c r="H364" i="2" s="1"/>
  <c r="D914" i="2"/>
  <c r="H914" i="2" s="1"/>
  <c r="D177" i="2"/>
  <c r="H177" i="2" s="1"/>
  <c r="D170" i="2"/>
  <c r="H170" i="2" s="1"/>
  <c r="D467" i="2"/>
  <c r="H467" i="2" s="1"/>
  <c r="D537" i="2"/>
  <c r="H537" i="2" s="1"/>
  <c r="D354" i="2"/>
  <c r="H354" i="2" s="1"/>
  <c r="D870" i="2"/>
  <c r="H870" i="2" s="1"/>
  <c r="D991" i="2"/>
  <c r="H991" i="2" s="1"/>
  <c r="D146" i="2"/>
  <c r="H146" i="2" s="1"/>
  <c r="D531" i="2"/>
  <c r="H531" i="2" s="1"/>
  <c r="D640" i="2"/>
  <c r="H640" i="2" s="1"/>
  <c r="D604" i="2"/>
  <c r="H604" i="2" s="1"/>
  <c r="D193" i="2"/>
  <c r="H193" i="2" s="1"/>
  <c r="D610" i="2"/>
  <c r="H610" i="2" s="1"/>
  <c r="D662" i="2"/>
  <c r="H662" i="2" s="1"/>
  <c r="D825" i="2"/>
  <c r="H825" i="2" s="1"/>
  <c r="D209" i="2"/>
  <c r="H209" i="2" s="1"/>
  <c r="D761" i="2"/>
  <c r="H761" i="2" s="1"/>
  <c r="D503" i="2"/>
  <c r="H503" i="2" s="1"/>
  <c r="D630" i="2"/>
  <c r="H630" i="2" s="1"/>
  <c r="D512" i="2"/>
  <c r="H512" i="2" s="1"/>
  <c r="D620" i="2"/>
  <c r="H620" i="2" s="1"/>
  <c r="D663" i="2"/>
  <c r="H663" i="2" s="1"/>
  <c r="D542" i="2"/>
  <c r="H542" i="2" s="1"/>
  <c r="D397" i="2"/>
  <c r="H397" i="2" s="1"/>
  <c r="D986" i="2"/>
  <c r="H986" i="2" s="1"/>
  <c r="D172" i="2"/>
  <c r="H172" i="2" s="1"/>
  <c r="D726" i="2"/>
  <c r="H726" i="2" s="1"/>
  <c r="D869" i="2"/>
  <c r="H869" i="2" s="1"/>
  <c r="D685" i="2"/>
  <c r="H685" i="2" s="1"/>
  <c r="D478" i="2"/>
  <c r="H478" i="2" s="1"/>
  <c r="D799" i="2"/>
  <c r="H799" i="2" s="1"/>
  <c r="D323" i="2"/>
  <c r="H323" i="2" s="1"/>
  <c r="D324" i="2"/>
  <c r="H324" i="2" s="1"/>
  <c r="D559" i="2"/>
  <c r="H559" i="2" s="1"/>
  <c r="D816" i="2"/>
  <c r="H816" i="2" s="1"/>
  <c r="D586" i="2"/>
  <c r="H586" i="2" s="1"/>
  <c r="D52" i="2"/>
  <c r="H52" i="2" s="1"/>
  <c r="D793" i="2"/>
  <c r="H793" i="2" s="1"/>
  <c r="D930" i="2"/>
  <c r="H930" i="2" s="1"/>
  <c r="D600" i="2"/>
  <c r="H600" i="2" s="1"/>
  <c r="D710" i="2"/>
  <c r="H710" i="2" s="1"/>
  <c r="D126" i="2"/>
  <c r="H126" i="2" s="1"/>
  <c r="D502" i="2"/>
  <c r="H502" i="2" s="1"/>
  <c r="D668" i="2"/>
  <c r="H668" i="2" s="1"/>
  <c r="D601" i="2"/>
  <c r="H601" i="2" s="1"/>
  <c r="D890" i="2"/>
  <c r="H890" i="2" s="1"/>
  <c r="D862" i="2"/>
  <c r="H862" i="2" s="1"/>
  <c r="D317" i="2"/>
  <c r="H317" i="2" s="1"/>
  <c r="D692" i="2"/>
  <c r="H692" i="2" s="1"/>
  <c r="D231" i="2"/>
  <c r="H231" i="2" s="1"/>
  <c r="D795" i="2"/>
  <c r="H795" i="2" s="1"/>
  <c r="D946" i="2"/>
  <c r="H946" i="2" s="1"/>
  <c r="D391" i="2"/>
  <c r="H391" i="2" s="1"/>
  <c r="D121" i="2"/>
  <c r="H121" i="2" s="1"/>
  <c r="D182" i="2"/>
  <c r="H182" i="2" s="1"/>
  <c r="D394" i="2"/>
  <c r="H394" i="2" s="1"/>
  <c r="D138" i="2"/>
  <c r="H138" i="2" s="1"/>
  <c r="D801" i="2"/>
  <c r="H801" i="2" s="1"/>
  <c r="D380" i="2"/>
  <c r="H380" i="2" s="1"/>
  <c r="D440" i="2"/>
  <c r="H440" i="2" s="1"/>
  <c r="D405" i="2"/>
  <c r="H405" i="2" s="1"/>
  <c r="D735" i="2"/>
  <c r="H735" i="2" s="1"/>
  <c r="D358" i="2"/>
  <c r="H358" i="2" s="1"/>
  <c r="D253" i="2"/>
  <c r="H253" i="2" s="1"/>
  <c r="D740" i="2"/>
  <c r="H740" i="2" s="1"/>
  <c r="D854" i="2"/>
  <c r="H854" i="2" s="1"/>
  <c r="D71" i="2"/>
  <c r="H71" i="2" s="1"/>
  <c r="D409" i="2"/>
  <c r="H409" i="2" s="1"/>
  <c r="D297" i="2"/>
  <c r="H297" i="2" s="1"/>
  <c r="D428" i="2"/>
  <c r="H428" i="2" s="1"/>
  <c r="D638" i="2"/>
  <c r="H638" i="2" s="1"/>
  <c r="D476" i="2"/>
  <c r="H476" i="2" s="1"/>
  <c r="D321" i="2"/>
  <c r="H321" i="2" s="1"/>
  <c r="D353" i="2"/>
  <c r="H353" i="2" s="1"/>
  <c r="D572" i="2"/>
  <c r="H572" i="2" s="1"/>
  <c r="D858" i="2"/>
  <c r="H858" i="2" s="1"/>
  <c r="D400" i="2"/>
  <c r="H400" i="2" s="1"/>
  <c r="D451" i="2"/>
  <c r="H451" i="2" s="1"/>
  <c r="D520" i="2"/>
  <c r="H520" i="2" s="1"/>
  <c r="D977" i="2"/>
  <c r="H977" i="2" s="1"/>
  <c r="D129" i="2"/>
  <c r="H129" i="2" s="1"/>
  <c r="D421" i="2"/>
  <c r="H421" i="2" s="1"/>
  <c r="D274" i="2"/>
  <c r="H274" i="2" s="1"/>
  <c r="D233" i="2"/>
  <c r="H233" i="2" s="1"/>
  <c r="D203" i="2"/>
  <c r="H203" i="2" s="1"/>
  <c r="D667" i="2"/>
  <c r="H667" i="2" s="1"/>
  <c r="D992" i="2"/>
  <c r="H992" i="2" s="1"/>
  <c r="D377" i="2"/>
  <c r="H377" i="2" s="1"/>
  <c r="D513" i="2"/>
  <c r="H513" i="2" s="1"/>
  <c r="D885" i="2"/>
  <c r="H885" i="2" s="1"/>
  <c r="D641" i="2"/>
  <c r="H641" i="2" s="1"/>
  <c r="D94" i="2"/>
  <c r="H94" i="2" s="1"/>
  <c r="D340" i="2"/>
  <c r="H340" i="2" s="1"/>
  <c r="D281" i="2"/>
  <c r="H281" i="2" s="1"/>
  <c r="D462" i="2"/>
  <c r="H462" i="2" s="1"/>
  <c r="D269" i="2"/>
  <c r="H269" i="2" s="1"/>
  <c r="D908" i="2"/>
  <c r="H908" i="2" s="1"/>
  <c r="D753" i="2"/>
  <c r="H753" i="2" s="1"/>
  <c r="D538" i="2"/>
  <c r="H538" i="2" s="1"/>
  <c r="D903" i="2"/>
  <c r="H903" i="2" s="1"/>
  <c r="D800" i="2"/>
  <c r="H800" i="2" s="1"/>
  <c r="D767" i="2"/>
  <c r="H767" i="2" s="1"/>
  <c r="D178" i="2"/>
  <c r="H178" i="2" s="1"/>
  <c r="D701" i="2"/>
  <c r="H701" i="2" s="1"/>
  <c r="D558" i="2"/>
  <c r="H558" i="2" s="1"/>
  <c r="D32" i="2"/>
  <c r="H32" i="2" s="1"/>
  <c r="D569" i="2"/>
  <c r="H569" i="2" s="1"/>
  <c r="D64" i="2"/>
  <c r="H64" i="2" s="1"/>
  <c r="D248" i="2"/>
  <c r="H248" i="2" s="1"/>
  <c r="D982" i="2"/>
  <c r="H982" i="2" s="1"/>
  <c r="D35" i="2"/>
  <c r="H35" i="2" s="1"/>
  <c r="D20" i="2"/>
  <c r="H20" i="2" s="1"/>
  <c r="D58" i="2"/>
  <c r="H58" i="2" s="1"/>
  <c r="D500" i="2"/>
  <c r="H500" i="2" s="1"/>
  <c r="D259" i="2"/>
  <c r="H259" i="2" s="1"/>
  <c r="D10" i="2"/>
  <c r="H10" i="2" s="1"/>
  <c r="D188" i="2"/>
  <c r="H188" i="2" s="1"/>
  <c r="D560" i="2"/>
  <c r="H560" i="2" s="1"/>
  <c r="D56" i="2"/>
  <c r="H56" i="2" s="1"/>
  <c r="D348" i="2"/>
  <c r="H348" i="2" s="1"/>
  <c r="D806" i="2"/>
  <c r="H806" i="2" s="1"/>
  <c r="D696" i="2"/>
  <c r="H696" i="2" s="1"/>
  <c r="D894" i="2"/>
  <c r="H894" i="2" s="1"/>
  <c r="D474" i="2"/>
  <c r="H474" i="2" s="1"/>
  <c r="D554" i="2"/>
  <c r="H554" i="2" s="1"/>
  <c r="D952" i="2"/>
  <c r="H952" i="2" s="1"/>
  <c r="D230" i="2"/>
  <c r="H230" i="2" s="1"/>
  <c r="D410" i="2"/>
  <c r="H410" i="2" s="1"/>
  <c r="D834" i="2"/>
  <c r="H834" i="2" s="1"/>
  <c r="D789" i="2"/>
  <c r="H789" i="2" s="1"/>
  <c r="D103" i="2"/>
  <c r="H103" i="2" s="1"/>
  <c r="D425" i="2"/>
  <c r="H425" i="2" s="1"/>
  <c r="D678" i="2"/>
  <c r="H678" i="2" s="1"/>
  <c r="D912" i="2"/>
  <c r="H912" i="2" s="1"/>
  <c r="D300" i="2"/>
  <c r="H300" i="2" s="1"/>
  <c r="D363" i="2"/>
  <c r="H363" i="2" s="1"/>
  <c r="D587" i="2"/>
  <c r="H587" i="2" s="1"/>
  <c r="D603" i="2"/>
  <c r="H603" i="2" s="1"/>
  <c r="D578" i="2"/>
  <c r="H578" i="2" s="1"/>
  <c r="D943" i="2"/>
  <c r="H943" i="2" s="1"/>
  <c r="D745" i="2"/>
  <c r="H745" i="2" s="1"/>
  <c r="D791" i="2"/>
  <c r="H791" i="2" s="1"/>
  <c r="D424" i="2"/>
  <c r="H424" i="2" s="1"/>
  <c r="D22" i="2"/>
  <c r="H22" i="2" s="1"/>
  <c r="D940" i="2"/>
  <c r="H940" i="2" s="1"/>
  <c r="D198" i="2"/>
  <c r="H198" i="2" s="1"/>
  <c r="D165" i="2"/>
  <c r="H165" i="2" s="1"/>
  <c r="D755" i="2"/>
  <c r="H755" i="2" s="1"/>
  <c r="D786" i="2"/>
  <c r="H786" i="2" s="1"/>
  <c r="D442" i="2"/>
  <c r="H442" i="2" s="1"/>
  <c r="D175" i="2"/>
  <c r="H175" i="2" s="1"/>
  <c r="D818" i="2"/>
  <c r="H818" i="2" s="1"/>
  <c r="D445" i="2"/>
  <c r="H445" i="2" s="1"/>
  <c r="D787" i="2"/>
  <c r="H787" i="2" s="1"/>
  <c r="D499" i="2"/>
  <c r="H499" i="2" s="1"/>
  <c r="D910" i="2"/>
  <c r="H910" i="2" s="1"/>
  <c r="D220" i="2"/>
  <c r="H220" i="2" s="1"/>
  <c r="D717" i="2"/>
  <c r="H717" i="2" s="1"/>
  <c r="D939" i="2"/>
  <c r="H939" i="2" s="1"/>
  <c r="D920" i="2"/>
  <c r="H920" i="2" s="1"/>
  <c r="D347" i="2"/>
  <c r="H347" i="2" s="1"/>
  <c r="D999" i="2"/>
  <c r="H999" i="2" s="1"/>
  <c r="D727" i="2"/>
  <c r="H727" i="2" s="1"/>
  <c r="D757" i="2"/>
  <c r="H757" i="2" s="1"/>
  <c r="D631" i="2"/>
  <c r="H631" i="2" s="1"/>
  <c r="D447" i="2"/>
  <c r="H447" i="2" s="1"/>
  <c r="D196" i="2"/>
  <c r="H196" i="2" s="1"/>
  <c r="D286" i="2"/>
  <c r="H286" i="2" s="1"/>
  <c r="D980" i="2"/>
  <c r="H980" i="2" s="1"/>
  <c r="D713" i="2"/>
  <c r="H713" i="2" s="1"/>
  <c r="D804" i="2"/>
  <c r="H804" i="2" s="1"/>
  <c r="D628" i="2"/>
  <c r="H628" i="2" s="1"/>
  <c r="D635" i="2"/>
  <c r="H635" i="2" s="1"/>
  <c r="D37" i="2"/>
  <c r="H37" i="2" s="1"/>
  <c r="D201" i="2"/>
  <c r="H201" i="2" s="1"/>
  <c r="D546" i="2"/>
  <c r="H546" i="2" s="1"/>
  <c r="D453" i="2"/>
  <c r="H453" i="2" s="1"/>
  <c r="D974" i="2"/>
  <c r="H974" i="2" s="1"/>
  <c r="D369" i="2"/>
  <c r="H369" i="2" s="1"/>
  <c r="D896" i="2"/>
  <c r="H896" i="2" s="1"/>
  <c r="D783" i="2"/>
  <c r="H783" i="2" s="1"/>
  <c r="D515" i="2"/>
  <c r="H515" i="2" s="1"/>
  <c r="D730" i="2"/>
  <c r="H730" i="2" s="1"/>
  <c r="D746" i="2"/>
  <c r="H746" i="2" s="1"/>
  <c r="D127" i="2"/>
  <c r="H127" i="2" s="1"/>
  <c r="D489" i="2"/>
  <c r="H489" i="2" s="1"/>
  <c r="D393" i="2"/>
  <c r="H393" i="2" s="1"/>
  <c r="D443" i="2"/>
  <c r="H443" i="2" s="1"/>
  <c r="D350" i="2"/>
  <c r="H350" i="2" s="1"/>
  <c r="D466" i="2"/>
  <c r="H466" i="2" s="1"/>
  <c r="D836" i="2"/>
  <c r="H836" i="2" s="1"/>
  <c r="D901" i="2"/>
  <c r="H901" i="2" s="1"/>
  <c r="D742" i="2"/>
  <c r="H742" i="2" s="1"/>
  <c r="D506" i="2"/>
  <c r="H506" i="2" s="1"/>
  <c r="D875" i="2"/>
  <c r="H875" i="2" s="1"/>
  <c r="D906" i="2"/>
  <c r="H906" i="2" s="1"/>
  <c r="D114" i="2"/>
  <c r="H114" i="2" s="1"/>
  <c r="D619" i="2"/>
  <c r="H619" i="2" s="1"/>
  <c r="D386" i="2"/>
  <c r="H386" i="2" s="1"/>
  <c r="D844" i="2"/>
  <c r="H844" i="2" s="1"/>
  <c r="D84" i="2"/>
  <c r="H84" i="2" s="1"/>
  <c r="D847" i="2"/>
  <c r="H847" i="2" s="1"/>
  <c r="D33" i="2"/>
  <c r="H33" i="2" s="1"/>
  <c r="D849" i="2"/>
  <c r="H849" i="2" s="1"/>
  <c r="D376" i="2"/>
  <c r="H376" i="2" s="1"/>
  <c r="D577" i="2"/>
  <c r="H577" i="2" s="1"/>
  <c r="D276" i="2"/>
  <c r="H276" i="2" s="1"/>
  <c r="D355" i="2"/>
  <c r="H355" i="2" s="1"/>
  <c r="D487" i="2"/>
  <c r="H487" i="2" s="1"/>
  <c r="D593" i="2"/>
  <c r="H593" i="2" s="1"/>
  <c r="D41" i="2"/>
  <c r="H41" i="2" s="1"/>
  <c r="D313" i="2"/>
  <c r="H313" i="2" s="1"/>
  <c r="D571" i="2"/>
  <c r="H571" i="2" s="1"/>
  <c r="D326" i="2"/>
  <c r="H326" i="2" s="1"/>
  <c r="D945" i="2"/>
  <c r="H945" i="2" s="1"/>
  <c r="D304" i="2"/>
  <c r="H304" i="2" s="1"/>
  <c r="D964" i="2"/>
  <c r="H964" i="2" s="1"/>
  <c r="D79" i="2"/>
  <c r="H79" i="2" s="1"/>
  <c r="D330" i="2"/>
  <c r="H330" i="2" s="1"/>
  <c r="D417" i="2"/>
  <c r="H417" i="2" s="1"/>
  <c r="D987" i="2"/>
  <c r="H987" i="2" s="1"/>
  <c r="D334" i="2"/>
  <c r="H334" i="2" s="1"/>
  <c r="D548" i="2"/>
  <c r="H548" i="2" s="1"/>
  <c r="D290" i="2"/>
  <c r="H290" i="2" s="1"/>
  <c r="D602" i="2"/>
  <c r="H602" i="2" s="1"/>
  <c r="D384" i="2"/>
  <c r="H384" i="2" s="1"/>
  <c r="D592" i="2"/>
  <c r="H592" i="2" s="1"/>
  <c r="D961" i="2"/>
  <c r="H961" i="2" s="1"/>
  <c r="D756" i="2"/>
  <c r="H756" i="2" s="1"/>
  <c r="D357" i="2"/>
  <c r="H357" i="2" s="1"/>
  <c r="D677" i="2"/>
  <c r="H677" i="2" s="1"/>
  <c r="D636" i="2"/>
  <c r="H636" i="2" s="1"/>
  <c r="D40" i="2"/>
  <c r="H40" i="2" s="1"/>
  <c r="D157" i="2"/>
  <c r="H157" i="2" s="1"/>
  <c r="D225" i="2"/>
  <c r="H225" i="2" s="1"/>
  <c r="D311" i="2"/>
  <c r="H311" i="2" s="1"/>
  <c r="D897" i="2"/>
  <c r="H897" i="2" s="1"/>
  <c r="D143" i="2"/>
  <c r="H143" i="2" s="1"/>
  <c r="D34" i="2"/>
  <c r="H34" i="2" s="1"/>
  <c r="D152" i="2"/>
  <c r="H152" i="2" s="1"/>
  <c r="D935" i="2"/>
  <c r="H935" i="2" s="1"/>
  <c r="D655" i="2"/>
  <c r="H655" i="2" s="1"/>
  <c r="D481" i="2"/>
  <c r="H481" i="2" s="1"/>
  <c r="D429" i="2"/>
  <c r="H429" i="2" s="1"/>
  <c r="D664" i="2"/>
  <c r="H664" i="2" s="1"/>
  <c r="D123" i="2"/>
  <c r="H123" i="2" s="1"/>
  <c r="D909" i="2"/>
  <c r="H909" i="2" s="1"/>
  <c r="D857" i="2"/>
  <c r="H857" i="2" s="1"/>
  <c r="D942" i="2"/>
  <c r="H942" i="2" s="1"/>
  <c r="D337" i="2"/>
  <c r="H337" i="2" s="1"/>
  <c r="D404" i="2"/>
  <c r="H404" i="2" s="1"/>
  <c r="D732" i="2"/>
  <c r="H732" i="2" s="1"/>
  <c r="D183" i="2"/>
  <c r="H183" i="2" s="1"/>
  <c r="D933" i="2"/>
  <c r="H933" i="2" s="1"/>
  <c r="D262" i="2"/>
  <c r="H262" i="2" s="1"/>
  <c r="D637" i="2"/>
  <c r="H637" i="2" s="1"/>
  <c r="D283" i="2"/>
  <c r="H283" i="2" s="1"/>
  <c r="D788" i="2"/>
  <c r="H788" i="2" s="1"/>
  <c r="D959" i="2"/>
  <c r="H959" i="2" s="1"/>
  <c r="C959" i="2"/>
  <c r="E959" i="2"/>
  <c r="E418" i="2"/>
  <c r="E92" i="2"/>
  <c r="E669" i="2"/>
  <c r="E488" i="2"/>
  <c r="E731" i="2"/>
  <c r="E626" i="2"/>
  <c r="E887" i="2"/>
  <c r="E797" i="2"/>
  <c r="E657" i="2"/>
  <c r="E581" i="2"/>
  <c r="E316" i="2"/>
  <c r="E396" i="2"/>
  <c r="E698" i="2"/>
  <c r="E18" i="2"/>
  <c r="E629" i="2"/>
  <c r="E51" i="2"/>
  <c r="E873" i="2"/>
  <c r="E575" i="2"/>
  <c r="E774" i="2"/>
  <c r="E976" i="2"/>
  <c r="E891" i="2"/>
  <c r="E463" i="2"/>
  <c r="E116" i="2"/>
  <c r="E66" i="2"/>
  <c r="E705" i="2"/>
  <c r="E93" i="2"/>
  <c r="E275" i="2"/>
  <c r="E990" i="2"/>
  <c r="E243" i="2"/>
  <c r="E454" i="2"/>
  <c r="E214" i="2"/>
  <c r="E738" i="2"/>
  <c r="E208" i="2"/>
  <c r="E55" i="2"/>
  <c r="E567" i="2"/>
  <c r="E829" i="2"/>
  <c r="E252" i="2"/>
  <c r="E469" i="2"/>
  <c r="E900" i="2"/>
  <c r="E190" i="2"/>
  <c r="E510" i="2"/>
  <c r="E749" i="2"/>
  <c r="E147" i="2"/>
  <c r="E234" i="2"/>
  <c r="E773" i="2"/>
  <c r="E8" i="2"/>
  <c r="E913" i="2"/>
  <c r="E211" i="2"/>
  <c r="E475" i="2"/>
  <c r="E29" i="2"/>
  <c r="E4" i="2"/>
  <c r="E14" i="2"/>
  <c r="E679" i="2"/>
  <c r="E607" i="2"/>
  <c r="E815" i="2"/>
  <c r="E149" i="2"/>
  <c r="E39" i="2"/>
  <c r="E108" i="2"/>
  <c r="E310" i="2"/>
  <c r="E194" i="2"/>
  <c r="E102" i="2"/>
  <c r="E969" i="2"/>
  <c r="E570" i="2"/>
  <c r="E895" i="2"/>
  <c r="E401" i="2"/>
  <c r="E594" i="2"/>
  <c r="E446" i="2"/>
  <c r="E406" i="2"/>
  <c r="E412" i="2"/>
  <c r="E566" i="2"/>
  <c r="E155" i="2"/>
  <c r="E616" i="2"/>
  <c r="E303" i="2"/>
  <c r="E754" i="2"/>
  <c r="E497" i="2"/>
  <c r="E287" i="2"/>
  <c r="E87" i="2"/>
  <c r="E215" i="2"/>
  <c r="E492" i="2"/>
  <c r="E122" i="2"/>
  <c r="E764" i="2"/>
  <c r="E219" i="2"/>
  <c r="E265" i="2"/>
  <c r="E922" i="2"/>
  <c r="E166" i="2"/>
  <c r="E733" i="2"/>
  <c r="E260" i="2"/>
  <c r="E112" i="2"/>
  <c r="E693" i="2"/>
  <c r="E507" i="2"/>
  <c r="E688" i="2"/>
  <c r="E778" i="2"/>
  <c r="E11" i="2"/>
  <c r="E962" i="2"/>
  <c r="E700" i="2"/>
  <c r="E85" i="2"/>
  <c r="E798" i="2"/>
  <c r="E199" i="2"/>
  <c r="E344" i="2"/>
  <c r="E137" i="2"/>
  <c r="E135" i="2"/>
  <c r="E413" i="2"/>
  <c r="E156" i="2"/>
  <c r="E236" i="2"/>
  <c r="E419" i="2"/>
  <c r="E658" i="2"/>
  <c r="E526" i="2"/>
  <c r="E280" i="2"/>
  <c r="E88" i="2"/>
  <c r="E213" i="2"/>
  <c r="E936" i="2"/>
  <c r="E550" i="2"/>
  <c r="E111" i="2"/>
  <c r="E5" i="2"/>
  <c r="E255" i="2"/>
  <c r="E785" i="2"/>
  <c r="E186" i="2"/>
  <c r="E551" i="2"/>
  <c r="E851" i="2"/>
  <c r="E819" i="2"/>
  <c r="E633" i="2"/>
  <c r="E784" i="2"/>
  <c r="E706" i="2"/>
  <c r="E807" i="2"/>
  <c r="E718" i="2"/>
  <c r="E589" i="2"/>
  <c r="E947" i="2"/>
  <c r="E117" i="2"/>
  <c r="E765" i="2"/>
  <c r="E415" i="2"/>
  <c r="E361" i="2"/>
  <c r="E681" i="2"/>
  <c r="E250" i="2"/>
  <c r="E329" i="2"/>
  <c r="E972" i="2"/>
  <c r="E670" i="2"/>
  <c r="E314" i="2"/>
  <c r="E174" i="2"/>
  <c r="E333" i="2"/>
  <c r="E907" i="2"/>
  <c r="E699" i="2"/>
  <c r="E929" i="2"/>
  <c r="E752" i="2"/>
  <c r="E141" i="2"/>
  <c r="E544" i="2"/>
  <c r="E284" i="2"/>
  <c r="E960" i="2"/>
  <c r="E210" i="2"/>
  <c r="E926" i="2"/>
  <c r="E823" i="2"/>
  <c r="E298" i="2"/>
  <c r="E197" i="2"/>
  <c r="E832" i="2"/>
  <c r="E843" i="2"/>
  <c r="E232" i="2"/>
  <c r="E26" i="2"/>
  <c r="E3" i="2"/>
  <c r="E21" i="2"/>
  <c r="E879" i="2"/>
  <c r="E372" i="2"/>
  <c r="E923" i="2"/>
  <c r="E691" i="2"/>
  <c r="E315" i="2"/>
  <c r="E185" i="2"/>
  <c r="E533" i="2"/>
  <c r="E195" i="2"/>
  <c r="E452" i="2"/>
  <c r="E296" i="2"/>
  <c r="E338" i="2"/>
  <c r="E31" i="2"/>
  <c r="E563" i="2"/>
  <c r="E414" i="2"/>
  <c r="E973" i="2"/>
  <c r="E505" i="2"/>
  <c r="E888" i="2"/>
  <c r="E848" i="2"/>
  <c r="E151" i="2"/>
  <c r="E719" i="2"/>
  <c r="E568" i="2"/>
  <c r="E729" i="2"/>
  <c r="E140" i="2"/>
  <c r="E458" i="2"/>
  <c r="E826" i="2"/>
  <c r="E6" i="2"/>
  <c r="E978" i="2"/>
  <c r="E435" i="2"/>
  <c r="E769" i="2"/>
  <c r="E624" i="2"/>
  <c r="E988" i="2"/>
  <c r="E762" i="2"/>
  <c r="E545" i="2"/>
  <c r="E937" i="2"/>
  <c r="E821" i="2"/>
  <c r="E272" i="2"/>
  <c r="E62" i="2"/>
  <c r="E979" i="2"/>
  <c r="E118" i="2"/>
  <c r="E216" i="2"/>
  <c r="E322" i="2"/>
  <c r="E229" i="2"/>
  <c r="E989" i="2"/>
  <c r="E884" i="2"/>
  <c r="E328" i="2"/>
  <c r="E958" i="2"/>
  <c r="E383" i="2"/>
  <c r="E724" i="2"/>
  <c r="E694" i="2"/>
  <c r="E432" i="2"/>
  <c r="E781" i="2"/>
  <c r="E892" i="2"/>
  <c r="E293" i="2"/>
  <c r="E171" i="2"/>
  <c r="E124" i="2"/>
  <c r="E491" i="2"/>
  <c r="E758" i="2"/>
  <c r="E983" i="2"/>
  <c r="E956" i="2"/>
  <c r="E398" i="2"/>
  <c r="E971" i="2"/>
  <c r="E101" i="2"/>
  <c r="E649" i="2"/>
  <c r="E268" i="2"/>
  <c r="E722" i="2"/>
  <c r="E86" i="2"/>
  <c r="E479" i="2"/>
  <c r="E501" i="2"/>
  <c r="E238" i="2"/>
  <c r="E1000" i="2"/>
  <c r="E643" i="2"/>
  <c r="E158" i="2"/>
  <c r="E650" i="2"/>
  <c r="E221" i="2"/>
  <c r="E483" i="2"/>
  <c r="E562" i="2"/>
  <c r="E437" i="2"/>
  <c r="E621" i="2"/>
  <c r="E444" i="2"/>
  <c r="E113" i="2"/>
  <c r="E792" i="2"/>
  <c r="E191" i="2"/>
  <c r="E918" i="2"/>
  <c r="E517" i="2"/>
  <c r="E217" i="2"/>
  <c r="E707" i="2"/>
  <c r="E256" i="2"/>
  <c r="E493" i="2"/>
  <c r="E179" i="2"/>
  <c r="E852" i="2"/>
  <c r="E524" i="2"/>
  <c r="E67" i="2"/>
  <c r="E521" i="2"/>
  <c r="E585" i="2"/>
  <c r="E842" i="2"/>
  <c r="E599" i="2"/>
  <c r="E99" i="2"/>
  <c r="E441" i="2"/>
  <c r="E365" i="2"/>
  <c r="E455" i="2"/>
  <c r="E371" i="2"/>
  <c r="E683" i="2"/>
  <c r="E162" i="2"/>
  <c r="E449" i="2"/>
  <c r="E530" i="2"/>
  <c r="E251" i="2"/>
  <c r="E23" i="2"/>
  <c r="E661" i="2"/>
  <c r="E617" i="2"/>
  <c r="E48" i="2"/>
  <c r="E673" i="2"/>
  <c r="E504" i="2"/>
  <c r="E642" i="2"/>
  <c r="E327" i="2"/>
  <c r="E318" i="2"/>
  <c r="E739" i="2"/>
  <c r="E81" i="2"/>
  <c r="E19" i="2"/>
  <c r="E17" i="2"/>
  <c r="E995" i="2"/>
  <c r="E609" i="2"/>
  <c r="E95" i="2"/>
  <c r="E878" i="2"/>
  <c r="E436" i="2"/>
  <c r="E370" i="2"/>
  <c r="E381" i="2"/>
  <c r="E83" i="2"/>
  <c r="E915" i="2"/>
  <c r="E299" i="2"/>
  <c r="E916" i="2"/>
  <c r="E772" i="2"/>
  <c r="E775" i="2"/>
  <c r="E734" i="2"/>
  <c r="E115" i="2"/>
  <c r="E360" i="2"/>
  <c r="E473" i="2"/>
  <c r="E654" i="2"/>
  <c r="E519" i="2"/>
  <c r="E555" i="2"/>
  <c r="E872" i="2"/>
  <c r="E680" i="2"/>
  <c r="E634" i="2"/>
  <c r="E332" i="2"/>
  <c r="E279" i="2"/>
  <c r="E747" i="2"/>
  <c r="E438" i="2"/>
  <c r="E490" i="2"/>
  <c r="E776" i="2"/>
  <c r="E965" i="2"/>
  <c r="E100" i="2"/>
  <c r="E218" i="2"/>
  <c r="E411" i="2"/>
  <c r="E70" i="2"/>
  <c r="E576" i="2"/>
  <c r="E9" i="2"/>
  <c r="E339" i="2"/>
  <c r="E748" i="2"/>
  <c r="E833" i="2"/>
  <c r="E623" i="2"/>
  <c r="E612" i="2"/>
  <c r="E448" i="2"/>
  <c r="E312" i="2"/>
  <c r="E970" i="2"/>
  <c r="E98" i="2"/>
  <c r="E89" i="2"/>
  <c r="E509" i="2"/>
  <c r="E932" i="2"/>
  <c r="E144" i="2"/>
  <c r="E356" i="2"/>
  <c r="E49" i="2"/>
  <c r="E184" i="2"/>
  <c r="E921" i="2"/>
  <c r="E824" i="2"/>
  <c r="E809" i="2"/>
  <c r="E553" i="2"/>
  <c r="E306" i="2"/>
  <c r="E464" i="2"/>
  <c r="E388" i="2"/>
  <c r="E997" i="2"/>
  <c r="E382" i="2"/>
  <c r="E535" i="2"/>
  <c r="E246" i="2"/>
  <c r="E953" i="2"/>
  <c r="E263" i="2"/>
  <c r="E373" i="2"/>
  <c r="E28" i="2"/>
  <c r="E402" i="2"/>
  <c r="E595" i="2"/>
  <c r="E270" i="2"/>
  <c r="E427" i="2"/>
  <c r="E828" i="2"/>
  <c r="E860" i="2"/>
  <c r="E511" i="2"/>
  <c r="E374" i="2"/>
  <c r="E150" i="2"/>
  <c r="E899" i="2"/>
  <c r="E109" i="2"/>
  <c r="E771" i="2"/>
  <c r="E689" i="2"/>
  <c r="E615" i="2"/>
  <c r="E226" i="2"/>
  <c r="E686" i="2"/>
  <c r="E675" i="2"/>
  <c r="E665" i="2"/>
  <c r="E163" i="2"/>
  <c r="E518" i="2"/>
  <c r="E266" i="2"/>
  <c r="E331" i="2"/>
  <c r="E480" i="2"/>
  <c r="E855" i="2"/>
  <c r="E257" i="2"/>
  <c r="E136" i="2"/>
  <c r="E295" i="2"/>
  <c r="E76" i="2"/>
  <c r="E596" i="2"/>
  <c r="E702" i="2"/>
  <c r="E529" i="2"/>
  <c r="E614" i="2"/>
  <c r="E72" i="2"/>
  <c r="E968" i="2"/>
  <c r="E42" i="2"/>
  <c r="E63" i="2"/>
  <c r="E928" i="2"/>
  <c r="E164" i="2"/>
  <c r="E351" i="2"/>
  <c r="E672" i="2"/>
  <c r="E949" i="2"/>
  <c r="E790" i="2"/>
  <c r="E759" i="2"/>
  <c r="E750" i="2"/>
  <c r="E96" i="2"/>
  <c r="E919" i="2"/>
  <c r="E309" i="2"/>
  <c r="E687" i="2"/>
  <c r="E434" i="2"/>
  <c r="E905" i="2"/>
  <c r="E598" i="2"/>
  <c r="E12" i="2"/>
  <c r="E646" i="2"/>
  <c r="E15" i="2"/>
  <c r="E207" i="2"/>
  <c r="E861" i="2"/>
  <c r="E482" i="2"/>
  <c r="E984" i="2"/>
  <c r="E168" i="2"/>
  <c r="E811" i="2"/>
  <c r="E660" i="2"/>
  <c r="E368" i="2"/>
  <c r="E244" i="2"/>
  <c r="E50" i="2"/>
  <c r="E547" i="2"/>
  <c r="E814" i="2"/>
  <c r="E579" i="2"/>
  <c r="E648" i="2"/>
  <c r="E541" i="2"/>
  <c r="E993" i="2"/>
  <c r="E532" i="2"/>
  <c r="E886" i="2"/>
  <c r="E106" i="2"/>
  <c r="E644" i="2"/>
  <c r="E107" i="2"/>
  <c r="E552" i="2"/>
  <c r="E154" i="2"/>
  <c r="E342" i="2"/>
  <c r="E433" i="2"/>
  <c r="E267" i="2"/>
  <c r="E44" i="2"/>
  <c r="E597" i="2"/>
  <c r="E523" i="2"/>
  <c r="E954" i="2"/>
  <c r="E169" i="2"/>
  <c r="E564" i="2"/>
  <c r="E426" i="2"/>
  <c r="E981" i="2"/>
  <c r="E522" i="2"/>
  <c r="E395" i="2"/>
  <c r="E580" i="2"/>
  <c r="E408" i="2"/>
  <c r="E54" i="2"/>
  <c r="E794" i="2"/>
  <c r="E822" i="2"/>
  <c r="E516" i="2"/>
  <c r="E827" i="2"/>
  <c r="E846" i="2"/>
  <c r="E904" i="2"/>
  <c r="E543" i="2"/>
  <c r="E514" i="2"/>
  <c r="E871" i="2"/>
  <c r="E708" i="2"/>
  <c r="E653" i="2"/>
  <c r="E75" i="2"/>
  <c r="E889" i="2"/>
  <c r="E187" i="2"/>
  <c r="E704" i="2"/>
  <c r="E27" i="2"/>
  <c r="E911" i="2"/>
  <c r="E985" i="2"/>
  <c r="E212" i="2"/>
  <c r="E390" i="2"/>
  <c r="E90" i="2"/>
  <c r="E777" i="2"/>
  <c r="E714" i="2"/>
  <c r="E379" i="2"/>
  <c r="E132" i="2"/>
  <c r="E841" i="2"/>
  <c r="E868" i="2"/>
  <c r="E176" i="2"/>
  <c r="E73" i="2"/>
  <c r="E273" i="2"/>
  <c r="E403" i="2"/>
  <c r="E486" i="2"/>
  <c r="E711" i="2"/>
  <c r="E994" i="2"/>
  <c r="E966" i="2"/>
  <c r="E882" i="2"/>
  <c r="E898" i="2"/>
  <c r="E656" i="2"/>
  <c r="E666" i="2"/>
  <c r="E247" i="2"/>
  <c r="E863" i="2"/>
  <c r="E200" i="2"/>
  <c r="E812" i="2"/>
  <c r="E583" i="2"/>
  <c r="E902" i="2"/>
  <c r="E917" i="2"/>
  <c r="E288" i="2"/>
  <c r="E763" i="2"/>
  <c r="E498" i="2"/>
  <c r="E741" i="2"/>
  <c r="E810" i="2"/>
  <c r="E495" i="2"/>
  <c r="E955" i="2"/>
  <c r="E160" i="2"/>
  <c r="E423" i="2"/>
  <c r="E618" i="2"/>
  <c r="E120" i="2"/>
  <c r="E716" i="2"/>
  <c r="E925" i="2"/>
  <c r="E74" i="2"/>
  <c r="E399" i="2"/>
  <c r="E525" i="2"/>
  <c r="E690" i="2"/>
  <c r="E779" i="2"/>
  <c r="E465" i="2"/>
  <c r="E222" i="2"/>
  <c r="E835" i="2"/>
  <c r="E36" i="2"/>
  <c r="E352" i="2"/>
  <c r="E345" i="2"/>
  <c r="E119" i="2"/>
  <c r="E782" i="2"/>
  <c r="E938" i="2"/>
  <c r="E721" i="2"/>
  <c r="E173" i="2"/>
  <c r="E362" i="2"/>
  <c r="E485" i="2"/>
  <c r="E204" i="2"/>
  <c r="E77" i="2"/>
  <c r="E924" i="2"/>
  <c r="E302" i="2"/>
  <c r="E743" i="2"/>
  <c r="E645" i="2"/>
  <c r="E856" i="2"/>
  <c r="E627" i="2"/>
  <c r="E242" i="2"/>
  <c r="E277" i="2"/>
  <c r="E53" i="2"/>
  <c r="E422" i="2"/>
  <c r="E319" i="2"/>
  <c r="E813" i="2"/>
  <c r="E91" i="2"/>
  <c r="E944" i="2"/>
  <c r="E880" i="2"/>
  <c r="E224" i="2"/>
  <c r="E957" i="2"/>
  <c r="E831" i="2"/>
  <c r="E289" i="2"/>
  <c r="E639" i="2"/>
  <c r="E133" i="2"/>
  <c r="E346" i="2"/>
  <c r="E192" i="2"/>
  <c r="E450" i="2"/>
  <c r="E61" i="2"/>
  <c r="E582" i="2"/>
  <c r="E389" i="2"/>
  <c r="E573" i="2"/>
  <c r="E751" i="2"/>
  <c r="E153" i="2"/>
  <c r="E282" i="2"/>
  <c r="E343" i="2"/>
  <c r="E235" i="2"/>
  <c r="E254" i="2"/>
  <c r="E181" i="2"/>
  <c r="E416" i="2"/>
  <c r="E291" i="2"/>
  <c r="E584" i="2"/>
  <c r="E145" i="2"/>
  <c r="E684" i="2"/>
  <c r="E611" i="2"/>
  <c r="E605" i="2"/>
  <c r="E712" i="2"/>
  <c r="E349" i="2"/>
  <c r="E934" i="2"/>
  <c r="E223" i="2"/>
  <c r="E574" i="2"/>
  <c r="E975" i="2"/>
  <c r="E378" i="2"/>
  <c r="E838" i="2"/>
  <c r="E671" i="2"/>
  <c r="E80" i="2"/>
  <c r="E770" i="2"/>
  <c r="E104" i="2"/>
  <c r="E38" i="2"/>
  <c r="E805" i="2"/>
  <c r="E134" i="2"/>
  <c r="E420" i="2"/>
  <c r="E534" i="2"/>
  <c r="E820" i="2"/>
  <c r="E674" i="2"/>
  <c r="E539" i="2"/>
  <c r="E527" i="2"/>
  <c r="E335" i="2"/>
  <c r="E471" i="2"/>
  <c r="E682" i="2"/>
  <c r="E43" i="2"/>
  <c r="E528" i="2"/>
  <c r="E728" i="2"/>
  <c r="E180" i="2"/>
  <c r="E697" i="2"/>
  <c r="E78" i="2"/>
  <c r="E659" i="2"/>
  <c r="E142" i="2"/>
  <c r="E206" i="2"/>
  <c r="E25" i="2"/>
  <c r="E839" i="2"/>
  <c r="E239" i="2"/>
  <c r="E16" i="2"/>
  <c r="E477" i="2"/>
  <c r="E461" i="2"/>
  <c r="E998" i="2"/>
  <c r="E866" i="2"/>
  <c r="E715" i="2"/>
  <c r="E65" i="2"/>
  <c r="E375" i="2"/>
  <c r="E7" i="2"/>
  <c r="E951" i="2"/>
  <c r="E625" i="2"/>
  <c r="E237" i="2"/>
  <c r="E647" i="2"/>
  <c r="E470" i="2"/>
  <c r="E845" i="2"/>
  <c r="E57" i="2"/>
  <c r="E837" i="2"/>
  <c r="E460" i="2"/>
  <c r="E431" i="2"/>
  <c r="E725" i="2"/>
  <c r="E456" i="2"/>
  <c r="E341" i="2"/>
  <c r="E963" i="2"/>
  <c r="E830" i="2"/>
  <c r="E366" i="2"/>
  <c r="E744" i="2"/>
  <c r="E676" i="2"/>
  <c r="E803" i="2"/>
  <c r="E606" i="2"/>
  <c r="E430" i="2"/>
  <c r="E494" i="2"/>
  <c r="E387" i="2"/>
  <c r="E874" i="2"/>
  <c r="E320" i="2"/>
  <c r="E392" i="2"/>
  <c r="E723" i="2"/>
  <c r="E536" i="2"/>
  <c r="E285" i="2"/>
  <c r="E105" i="2"/>
  <c r="E540" i="2"/>
  <c r="E30" i="2"/>
  <c r="E780" i="2"/>
  <c r="E557" i="2"/>
  <c r="E632" i="2"/>
  <c r="E736" i="2"/>
  <c r="E278" i="2"/>
  <c r="E472" i="2"/>
  <c r="E258" i="2"/>
  <c r="E561" i="2"/>
  <c r="E227" i="2"/>
  <c r="E840" i="2"/>
  <c r="E737" i="2"/>
  <c r="E241" i="2"/>
  <c r="E161" i="2"/>
  <c r="E148" i="2"/>
  <c r="E468" i="2"/>
  <c r="E82" i="2"/>
  <c r="E292" i="2"/>
  <c r="E802" i="2"/>
  <c r="E817" i="2"/>
  <c r="E205" i="2"/>
  <c r="E359" i="2"/>
  <c r="E240" i="2"/>
  <c r="E950" i="2"/>
  <c r="E948" i="2"/>
  <c r="E808" i="2"/>
  <c r="E865" i="2"/>
  <c r="E565" i="2"/>
  <c r="E996" i="2"/>
  <c r="E307" i="2"/>
  <c r="E931" i="2"/>
  <c r="E588" i="2"/>
  <c r="E608" i="2"/>
  <c r="E439" i="2"/>
  <c r="E941" i="2"/>
  <c r="E128" i="2"/>
  <c r="E385" i="2"/>
  <c r="E167" i="2"/>
  <c r="E308" i="2"/>
  <c r="E859" i="2"/>
  <c r="E367" i="2"/>
  <c r="E305" i="2"/>
  <c r="E459" i="2"/>
  <c r="E457" i="2"/>
  <c r="E45" i="2"/>
  <c r="E271" i="2"/>
  <c r="E131" i="2"/>
  <c r="E720" i="2"/>
  <c r="E139" i="2"/>
  <c r="E301" i="2"/>
  <c r="E110" i="2"/>
  <c r="E549" i="2"/>
  <c r="E496" i="2"/>
  <c r="E97" i="2"/>
  <c r="E893" i="2"/>
  <c r="E336" i="2"/>
  <c r="E867" i="2"/>
  <c r="E249" i="2"/>
  <c r="E967" i="2"/>
  <c r="E613" i="2"/>
  <c r="E853" i="2"/>
  <c r="E264" i="2"/>
  <c r="E69" i="2"/>
  <c r="E2" i="2"/>
  <c r="E927" i="2"/>
  <c r="E881" i="2"/>
  <c r="E484" i="2"/>
  <c r="E796" i="2"/>
  <c r="E24" i="2"/>
  <c r="E325" i="2"/>
  <c r="E125" i="2"/>
  <c r="E189" i="2"/>
  <c r="E556" i="2"/>
  <c r="E877" i="2"/>
  <c r="E864" i="2"/>
  <c r="E876" i="2"/>
  <c r="E590" i="2"/>
  <c r="E159" i="2"/>
  <c r="E407" i="2"/>
  <c r="E294" i="2"/>
  <c r="E68" i="2"/>
  <c r="E47" i="2"/>
  <c r="E59" i="2"/>
  <c r="E130" i="2"/>
  <c r="E651" i="2"/>
  <c r="E202" i="2"/>
  <c r="E245" i="2"/>
  <c r="E13" i="2"/>
  <c r="E652" i="2"/>
  <c r="E46" i="2"/>
  <c r="E766" i="2"/>
  <c r="E508" i="2"/>
  <c r="E261" i="2"/>
  <c r="E695" i="2"/>
  <c r="E60" i="2"/>
  <c r="E709" i="2"/>
  <c r="E703" i="2"/>
  <c r="E591" i="2"/>
  <c r="E760" i="2"/>
  <c r="E768" i="2"/>
  <c r="E850" i="2"/>
  <c r="E228" i="2"/>
  <c r="E622" i="2"/>
  <c r="E364" i="2"/>
  <c r="E914" i="2"/>
  <c r="E177" i="2"/>
  <c r="E170" i="2"/>
  <c r="E467" i="2"/>
  <c r="E537" i="2"/>
  <c r="E354" i="2"/>
  <c r="E870" i="2"/>
  <c r="E991" i="2"/>
  <c r="E146" i="2"/>
  <c r="E531" i="2"/>
  <c r="E640" i="2"/>
  <c r="E604" i="2"/>
  <c r="E193" i="2"/>
  <c r="E610" i="2"/>
  <c r="E662" i="2"/>
  <c r="E825" i="2"/>
  <c r="E209" i="2"/>
  <c r="E761" i="2"/>
  <c r="E503" i="2"/>
  <c r="E630" i="2"/>
  <c r="E512" i="2"/>
  <c r="E620" i="2"/>
  <c r="E663" i="2"/>
  <c r="E542" i="2"/>
  <c r="E397" i="2"/>
  <c r="E986" i="2"/>
  <c r="E172" i="2"/>
  <c r="E726" i="2"/>
  <c r="E869" i="2"/>
  <c r="E685" i="2"/>
  <c r="E478" i="2"/>
  <c r="E799" i="2"/>
  <c r="E323" i="2"/>
  <c r="E324" i="2"/>
  <c r="E559" i="2"/>
  <c r="E816" i="2"/>
  <c r="E586" i="2"/>
  <c r="E52" i="2"/>
  <c r="E793" i="2"/>
  <c r="E930" i="2"/>
  <c r="E600" i="2"/>
  <c r="E710" i="2"/>
  <c r="E126" i="2"/>
  <c r="E502" i="2"/>
  <c r="E668" i="2"/>
  <c r="E601" i="2"/>
  <c r="E890" i="2"/>
  <c r="E862" i="2"/>
  <c r="E317" i="2"/>
  <c r="E692" i="2"/>
  <c r="E231" i="2"/>
  <c r="E795" i="2"/>
  <c r="E946" i="2"/>
  <c r="E391" i="2"/>
  <c r="E121" i="2"/>
  <c r="E182" i="2"/>
  <c r="E394" i="2"/>
  <c r="E138" i="2"/>
  <c r="E801" i="2"/>
  <c r="E380" i="2"/>
  <c r="E440" i="2"/>
  <c r="E405" i="2"/>
  <c r="E735" i="2"/>
  <c r="E358" i="2"/>
  <c r="E253" i="2"/>
  <c r="E740" i="2"/>
  <c r="E854" i="2"/>
  <c r="E71" i="2"/>
  <c r="E409" i="2"/>
  <c r="E297" i="2"/>
  <c r="E428" i="2"/>
  <c r="E638" i="2"/>
  <c r="E476" i="2"/>
  <c r="E321" i="2"/>
  <c r="E353" i="2"/>
  <c r="E572" i="2"/>
  <c r="E858" i="2"/>
  <c r="E400" i="2"/>
  <c r="E451" i="2"/>
  <c r="E520" i="2"/>
  <c r="E977" i="2"/>
  <c r="E129" i="2"/>
  <c r="E421" i="2"/>
  <c r="E274" i="2"/>
  <c r="E233" i="2"/>
  <c r="E203" i="2"/>
  <c r="E667" i="2"/>
  <c r="E992" i="2"/>
  <c r="E377" i="2"/>
  <c r="E513" i="2"/>
  <c r="E885" i="2"/>
  <c r="E641" i="2"/>
  <c r="E94" i="2"/>
  <c r="E340" i="2"/>
  <c r="E281" i="2"/>
  <c r="E462" i="2"/>
  <c r="E269" i="2"/>
  <c r="E908" i="2"/>
  <c r="E753" i="2"/>
  <c r="E538" i="2"/>
  <c r="E903" i="2"/>
  <c r="E800" i="2"/>
  <c r="E767" i="2"/>
  <c r="E178" i="2"/>
  <c r="E701" i="2"/>
  <c r="E558" i="2"/>
  <c r="E32" i="2"/>
  <c r="E569" i="2"/>
  <c r="E64" i="2"/>
  <c r="E248" i="2"/>
  <c r="E982" i="2"/>
  <c r="E35" i="2"/>
  <c r="E20" i="2"/>
  <c r="E58" i="2"/>
  <c r="E500" i="2"/>
  <c r="E259" i="2"/>
  <c r="E10" i="2"/>
  <c r="E188" i="2"/>
  <c r="E560" i="2"/>
  <c r="E56" i="2"/>
  <c r="E348" i="2"/>
  <c r="E806" i="2"/>
  <c r="E696" i="2"/>
  <c r="E894" i="2"/>
  <c r="E474" i="2"/>
  <c r="E554" i="2"/>
  <c r="E952" i="2"/>
  <c r="E230" i="2"/>
  <c r="E410" i="2"/>
  <c r="E834" i="2"/>
  <c r="E789" i="2"/>
  <c r="E103" i="2"/>
  <c r="E425" i="2"/>
  <c r="E678" i="2"/>
  <c r="E912" i="2"/>
  <c r="E300" i="2"/>
  <c r="E363" i="2"/>
  <c r="E587" i="2"/>
  <c r="E603" i="2"/>
  <c r="E578" i="2"/>
  <c r="E943" i="2"/>
  <c r="E745" i="2"/>
  <c r="E791" i="2"/>
  <c r="E424" i="2"/>
  <c r="E22" i="2"/>
  <c r="E940" i="2"/>
  <c r="E198" i="2"/>
  <c r="E165" i="2"/>
  <c r="E755" i="2"/>
  <c r="E786" i="2"/>
  <c r="E442" i="2"/>
  <c r="E175" i="2"/>
  <c r="E818" i="2"/>
  <c r="E445" i="2"/>
  <c r="E787" i="2"/>
  <c r="E499" i="2"/>
  <c r="E910" i="2"/>
  <c r="E220" i="2"/>
  <c r="E717" i="2"/>
  <c r="E939" i="2"/>
  <c r="E920" i="2"/>
  <c r="E347" i="2"/>
  <c r="E999" i="2"/>
  <c r="E727" i="2"/>
  <c r="E757" i="2"/>
  <c r="E631" i="2"/>
  <c r="E447" i="2"/>
  <c r="E196" i="2"/>
  <c r="E286" i="2"/>
  <c r="E980" i="2"/>
  <c r="E713" i="2"/>
  <c r="E804" i="2"/>
  <c r="E628" i="2"/>
  <c r="E635" i="2"/>
  <c r="E37" i="2"/>
  <c r="E201" i="2"/>
  <c r="E546" i="2"/>
  <c r="E453" i="2"/>
  <c r="E974" i="2"/>
  <c r="E369" i="2"/>
  <c r="E896" i="2"/>
  <c r="E783" i="2"/>
  <c r="E515" i="2"/>
  <c r="E730" i="2"/>
  <c r="E746" i="2"/>
  <c r="E127" i="2"/>
  <c r="E489" i="2"/>
  <c r="E393" i="2"/>
  <c r="E443" i="2"/>
  <c r="E350" i="2"/>
  <c r="E466" i="2"/>
  <c r="E836" i="2"/>
  <c r="E901" i="2"/>
  <c r="E742" i="2"/>
  <c r="E506" i="2"/>
  <c r="E875" i="2"/>
  <c r="E906" i="2"/>
  <c r="E114" i="2"/>
  <c r="E619" i="2"/>
  <c r="E386" i="2"/>
  <c r="E844" i="2"/>
  <c r="E84" i="2"/>
  <c r="E847" i="2"/>
  <c r="E33" i="2"/>
  <c r="E849" i="2"/>
  <c r="E376" i="2"/>
  <c r="E577" i="2"/>
  <c r="E276" i="2"/>
  <c r="E355" i="2"/>
  <c r="E487" i="2"/>
  <c r="E593" i="2"/>
  <c r="E41" i="2"/>
  <c r="E313" i="2"/>
  <c r="E571" i="2"/>
  <c r="E326" i="2"/>
  <c r="E945" i="2"/>
  <c r="E304" i="2"/>
  <c r="E964" i="2"/>
  <c r="E79" i="2"/>
  <c r="E330" i="2"/>
  <c r="E417" i="2"/>
  <c r="E987" i="2"/>
  <c r="E334" i="2"/>
  <c r="E548" i="2"/>
  <c r="E290" i="2"/>
  <c r="E602" i="2"/>
  <c r="E384" i="2"/>
  <c r="E592" i="2"/>
  <c r="E961" i="2"/>
  <c r="E756" i="2"/>
  <c r="E357" i="2"/>
  <c r="E677" i="2"/>
  <c r="E636" i="2"/>
  <c r="E40" i="2"/>
  <c r="E157" i="2"/>
  <c r="E225" i="2"/>
  <c r="E311" i="2"/>
  <c r="E897" i="2"/>
  <c r="E143" i="2"/>
  <c r="E34" i="2"/>
  <c r="E152" i="2"/>
  <c r="E935" i="2"/>
  <c r="E655" i="2"/>
  <c r="E481" i="2"/>
  <c r="E429" i="2"/>
  <c r="E664" i="2"/>
  <c r="E123" i="2"/>
  <c r="E909" i="2"/>
  <c r="E857" i="2"/>
  <c r="E942" i="2"/>
  <c r="E337" i="2"/>
  <c r="E404" i="2"/>
  <c r="E732" i="2"/>
  <c r="E183" i="2"/>
  <c r="E933" i="2"/>
  <c r="E262" i="2"/>
  <c r="E637" i="2"/>
  <c r="E283" i="2"/>
  <c r="E788" i="2"/>
  <c r="E883" i="2"/>
  <c r="C418" i="2"/>
  <c r="C92" i="2"/>
  <c r="C669" i="2"/>
  <c r="C488" i="2"/>
  <c r="C731" i="2"/>
  <c r="C626" i="2"/>
  <c r="C887" i="2"/>
  <c r="C797" i="2"/>
  <c r="C657" i="2"/>
  <c r="C581" i="2"/>
  <c r="C316" i="2"/>
  <c r="C396" i="2"/>
  <c r="C698" i="2"/>
  <c r="C18" i="2"/>
  <c r="C629" i="2"/>
  <c r="C51" i="2"/>
  <c r="C873" i="2"/>
  <c r="C575" i="2"/>
  <c r="C774" i="2"/>
  <c r="C976" i="2"/>
  <c r="C891" i="2"/>
  <c r="C463" i="2"/>
  <c r="C116" i="2"/>
  <c r="C66" i="2"/>
  <c r="C705" i="2"/>
  <c r="C93" i="2"/>
  <c r="C275" i="2"/>
  <c r="C990" i="2"/>
  <c r="C243" i="2"/>
  <c r="C454" i="2"/>
  <c r="C214" i="2"/>
  <c r="C738" i="2"/>
  <c r="C208" i="2"/>
  <c r="C55" i="2"/>
  <c r="C567" i="2"/>
  <c r="C829" i="2"/>
  <c r="C252" i="2"/>
  <c r="C469" i="2"/>
  <c r="C900" i="2"/>
  <c r="C190" i="2"/>
  <c r="C510" i="2"/>
  <c r="C749" i="2"/>
  <c r="C147" i="2"/>
  <c r="C234" i="2"/>
  <c r="C773" i="2"/>
  <c r="C8" i="2"/>
  <c r="C913" i="2"/>
  <c r="C211" i="2"/>
  <c r="C475" i="2"/>
  <c r="C29" i="2"/>
  <c r="C4" i="2"/>
  <c r="C14" i="2"/>
  <c r="C679" i="2"/>
  <c r="C607" i="2"/>
  <c r="C815" i="2"/>
  <c r="C149" i="2"/>
  <c r="C39" i="2"/>
  <c r="C108" i="2"/>
  <c r="C310" i="2"/>
  <c r="C194" i="2"/>
  <c r="C102" i="2"/>
  <c r="C969" i="2"/>
  <c r="C570" i="2"/>
  <c r="C895" i="2"/>
  <c r="C401" i="2"/>
  <c r="C594" i="2"/>
  <c r="C446" i="2"/>
  <c r="C406" i="2"/>
  <c r="C412" i="2"/>
  <c r="C566" i="2"/>
  <c r="C155" i="2"/>
  <c r="C616" i="2"/>
  <c r="C303" i="2"/>
  <c r="C754" i="2"/>
  <c r="C497" i="2"/>
  <c r="C287" i="2"/>
  <c r="C87" i="2"/>
  <c r="C215" i="2"/>
  <c r="C492" i="2"/>
  <c r="C122" i="2"/>
  <c r="C764" i="2"/>
  <c r="C219" i="2"/>
  <c r="C265" i="2"/>
  <c r="C922" i="2"/>
  <c r="C166" i="2"/>
  <c r="C733" i="2"/>
  <c r="C260" i="2"/>
  <c r="C112" i="2"/>
  <c r="C693" i="2"/>
  <c r="C507" i="2"/>
  <c r="C688" i="2"/>
  <c r="C778" i="2"/>
  <c r="C11" i="2"/>
  <c r="C962" i="2"/>
  <c r="C700" i="2"/>
  <c r="C85" i="2"/>
  <c r="C798" i="2"/>
  <c r="C199" i="2"/>
  <c r="C344" i="2"/>
  <c r="C137" i="2"/>
  <c r="C135" i="2"/>
  <c r="C413" i="2"/>
  <c r="C156" i="2"/>
  <c r="C236" i="2"/>
  <c r="C419" i="2"/>
  <c r="C658" i="2"/>
  <c r="C526" i="2"/>
  <c r="C280" i="2"/>
  <c r="C88" i="2"/>
  <c r="C213" i="2"/>
  <c r="C936" i="2"/>
  <c r="C550" i="2"/>
  <c r="C111" i="2"/>
  <c r="C5" i="2"/>
  <c r="C255" i="2"/>
  <c r="C785" i="2"/>
  <c r="C186" i="2"/>
  <c r="C551" i="2"/>
  <c r="C851" i="2"/>
  <c r="C819" i="2"/>
  <c r="C633" i="2"/>
  <c r="C784" i="2"/>
  <c r="C706" i="2"/>
  <c r="C807" i="2"/>
  <c r="C718" i="2"/>
  <c r="C589" i="2"/>
  <c r="C947" i="2"/>
  <c r="C117" i="2"/>
  <c r="C765" i="2"/>
  <c r="C415" i="2"/>
  <c r="C361" i="2"/>
  <c r="C681" i="2"/>
  <c r="C250" i="2"/>
  <c r="C329" i="2"/>
  <c r="C972" i="2"/>
  <c r="C670" i="2"/>
  <c r="C314" i="2"/>
  <c r="C174" i="2"/>
  <c r="C333" i="2"/>
  <c r="C907" i="2"/>
  <c r="C699" i="2"/>
  <c r="C929" i="2"/>
  <c r="C752" i="2"/>
  <c r="C141" i="2"/>
  <c r="C544" i="2"/>
  <c r="C284" i="2"/>
  <c r="C960" i="2"/>
  <c r="C210" i="2"/>
  <c r="C926" i="2"/>
  <c r="C823" i="2"/>
  <c r="C298" i="2"/>
  <c r="C197" i="2"/>
  <c r="C832" i="2"/>
  <c r="C843" i="2"/>
  <c r="C232" i="2"/>
  <c r="C26" i="2"/>
  <c r="C3" i="2"/>
  <c r="C21" i="2"/>
  <c r="C879" i="2"/>
  <c r="C372" i="2"/>
  <c r="C923" i="2"/>
  <c r="C691" i="2"/>
  <c r="C315" i="2"/>
  <c r="C185" i="2"/>
  <c r="C533" i="2"/>
  <c r="C195" i="2"/>
  <c r="C452" i="2"/>
  <c r="C296" i="2"/>
  <c r="C338" i="2"/>
  <c r="C31" i="2"/>
  <c r="C563" i="2"/>
  <c r="C414" i="2"/>
  <c r="C973" i="2"/>
  <c r="C505" i="2"/>
  <c r="C888" i="2"/>
  <c r="C848" i="2"/>
  <c r="C151" i="2"/>
  <c r="C719" i="2"/>
  <c r="C568" i="2"/>
  <c r="C729" i="2"/>
  <c r="C140" i="2"/>
  <c r="C458" i="2"/>
  <c r="C826" i="2"/>
  <c r="C6" i="2"/>
  <c r="C978" i="2"/>
  <c r="C435" i="2"/>
  <c r="C769" i="2"/>
  <c r="C624" i="2"/>
  <c r="C988" i="2"/>
  <c r="C762" i="2"/>
  <c r="C545" i="2"/>
  <c r="C937" i="2"/>
  <c r="C821" i="2"/>
  <c r="C272" i="2"/>
  <c r="C62" i="2"/>
  <c r="C979" i="2"/>
  <c r="C118" i="2"/>
  <c r="C216" i="2"/>
  <c r="C322" i="2"/>
  <c r="C229" i="2"/>
  <c r="C989" i="2"/>
  <c r="C884" i="2"/>
  <c r="C328" i="2"/>
  <c r="C958" i="2"/>
  <c r="C383" i="2"/>
  <c r="C724" i="2"/>
  <c r="C694" i="2"/>
  <c r="C432" i="2"/>
  <c r="C781" i="2"/>
  <c r="C892" i="2"/>
  <c r="C293" i="2"/>
  <c r="C171" i="2"/>
  <c r="C124" i="2"/>
  <c r="C491" i="2"/>
  <c r="C758" i="2"/>
  <c r="C983" i="2"/>
  <c r="C956" i="2"/>
  <c r="C398" i="2"/>
  <c r="C971" i="2"/>
  <c r="C101" i="2"/>
  <c r="C649" i="2"/>
  <c r="C268" i="2"/>
  <c r="C722" i="2"/>
  <c r="C86" i="2"/>
  <c r="C479" i="2"/>
  <c r="C501" i="2"/>
  <c r="C238" i="2"/>
  <c r="C1000" i="2"/>
  <c r="C643" i="2"/>
  <c r="C158" i="2"/>
  <c r="C650" i="2"/>
  <c r="C221" i="2"/>
  <c r="C483" i="2"/>
  <c r="C562" i="2"/>
  <c r="C437" i="2"/>
  <c r="C621" i="2"/>
  <c r="C444" i="2"/>
  <c r="C113" i="2"/>
  <c r="C792" i="2"/>
  <c r="C191" i="2"/>
  <c r="C918" i="2"/>
  <c r="C517" i="2"/>
  <c r="C217" i="2"/>
  <c r="C707" i="2"/>
  <c r="C256" i="2"/>
  <c r="C493" i="2"/>
  <c r="C179" i="2"/>
  <c r="C852" i="2"/>
  <c r="C524" i="2"/>
  <c r="C67" i="2"/>
  <c r="C521" i="2"/>
  <c r="C585" i="2"/>
  <c r="C842" i="2"/>
  <c r="C599" i="2"/>
  <c r="C99" i="2"/>
  <c r="C441" i="2"/>
  <c r="C365" i="2"/>
  <c r="C455" i="2"/>
  <c r="C371" i="2"/>
  <c r="C683" i="2"/>
  <c r="C162" i="2"/>
  <c r="C449" i="2"/>
  <c r="C530" i="2"/>
  <c r="C251" i="2"/>
  <c r="C23" i="2"/>
  <c r="C661" i="2"/>
  <c r="C617" i="2"/>
  <c r="C48" i="2"/>
  <c r="C673" i="2"/>
  <c r="C504" i="2"/>
  <c r="C642" i="2"/>
  <c r="C327" i="2"/>
  <c r="C318" i="2"/>
  <c r="C739" i="2"/>
  <c r="C81" i="2"/>
  <c r="C19" i="2"/>
  <c r="C17" i="2"/>
  <c r="C995" i="2"/>
  <c r="C609" i="2"/>
  <c r="C95" i="2"/>
  <c r="C878" i="2"/>
  <c r="C436" i="2"/>
  <c r="C370" i="2"/>
  <c r="C381" i="2"/>
  <c r="C83" i="2"/>
  <c r="C915" i="2"/>
  <c r="C299" i="2"/>
  <c r="C916" i="2"/>
  <c r="C772" i="2"/>
  <c r="C775" i="2"/>
  <c r="C734" i="2"/>
  <c r="C115" i="2"/>
  <c r="C360" i="2"/>
  <c r="C473" i="2"/>
  <c r="C654" i="2"/>
  <c r="C519" i="2"/>
  <c r="C555" i="2"/>
  <c r="C872" i="2"/>
  <c r="C680" i="2"/>
  <c r="C634" i="2"/>
  <c r="C332" i="2"/>
  <c r="C279" i="2"/>
  <c r="C747" i="2"/>
  <c r="C438" i="2"/>
  <c r="C490" i="2"/>
  <c r="C776" i="2"/>
  <c r="C965" i="2"/>
  <c r="C100" i="2"/>
  <c r="C218" i="2"/>
  <c r="C411" i="2"/>
  <c r="C70" i="2"/>
  <c r="C576" i="2"/>
  <c r="C9" i="2"/>
  <c r="C339" i="2"/>
  <c r="C748" i="2"/>
  <c r="C833" i="2"/>
  <c r="C623" i="2"/>
  <c r="C612" i="2"/>
  <c r="C448" i="2"/>
  <c r="C312" i="2"/>
  <c r="C970" i="2"/>
  <c r="C98" i="2"/>
  <c r="C89" i="2"/>
  <c r="C509" i="2"/>
  <c r="C932" i="2"/>
  <c r="C144" i="2"/>
  <c r="C356" i="2"/>
  <c r="C49" i="2"/>
  <c r="C184" i="2"/>
  <c r="C921" i="2"/>
  <c r="C824" i="2"/>
  <c r="C809" i="2"/>
  <c r="C553" i="2"/>
  <c r="C306" i="2"/>
  <c r="C464" i="2"/>
  <c r="C388" i="2"/>
  <c r="C997" i="2"/>
  <c r="C382" i="2"/>
  <c r="C535" i="2"/>
  <c r="C246" i="2"/>
  <c r="C953" i="2"/>
  <c r="C263" i="2"/>
  <c r="C373" i="2"/>
  <c r="C28" i="2"/>
  <c r="C402" i="2"/>
  <c r="C595" i="2"/>
  <c r="C270" i="2"/>
  <c r="C427" i="2"/>
  <c r="C828" i="2"/>
  <c r="C860" i="2"/>
  <c r="C511" i="2"/>
  <c r="C374" i="2"/>
  <c r="C150" i="2"/>
  <c r="C899" i="2"/>
  <c r="C109" i="2"/>
  <c r="C771" i="2"/>
  <c r="C689" i="2"/>
  <c r="C615" i="2"/>
  <c r="C226" i="2"/>
  <c r="C686" i="2"/>
  <c r="C675" i="2"/>
  <c r="C665" i="2"/>
  <c r="C163" i="2"/>
  <c r="C518" i="2"/>
  <c r="C266" i="2"/>
  <c r="C331" i="2"/>
  <c r="C480" i="2"/>
  <c r="C855" i="2"/>
  <c r="C257" i="2"/>
  <c r="C136" i="2"/>
  <c r="C295" i="2"/>
  <c r="C76" i="2"/>
  <c r="C596" i="2"/>
  <c r="C702" i="2"/>
  <c r="C529" i="2"/>
  <c r="C614" i="2"/>
  <c r="C72" i="2"/>
  <c r="C968" i="2"/>
  <c r="C42" i="2"/>
  <c r="C63" i="2"/>
  <c r="C928" i="2"/>
  <c r="C164" i="2"/>
  <c r="C351" i="2"/>
  <c r="C672" i="2"/>
  <c r="C949" i="2"/>
  <c r="C790" i="2"/>
  <c r="C759" i="2"/>
  <c r="C750" i="2"/>
  <c r="C96" i="2"/>
  <c r="C919" i="2"/>
  <c r="C309" i="2"/>
  <c r="C687" i="2"/>
  <c r="C434" i="2"/>
  <c r="C905" i="2"/>
  <c r="C598" i="2"/>
  <c r="C12" i="2"/>
  <c r="C646" i="2"/>
  <c r="C15" i="2"/>
  <c r="C207" i="2"/>
  <c r="C861" i="2"/>
  <c r="C482" i="2"/>
  <c r="C984" i="2"/>
  <c r="C168" i="2"/>
  <c r="C811" i="2"/>
  <c r="C660" i="2"/>
  <c r="C368" i="2"/>
  <c r="C244" i="2"/>
  <c r="C50" i="2"/>
  <c r="C547" i="2"/>
  <c r="C814" i="2"/>
  <c r="C579" i="2"/>
  <c r="C648" i="2"/>
  <c r="C541" i="2"/>
  <c r="C993" i="2"/>
  <c r="C532" i="2"/>
  <c r="C886" i="2"/>
  <c r="C106" i="2"/>
  <c r="C644" i="2"/>
  <c r="C107" i="2"/>
  <c r="C552" i="2"/>
  <c r="C154" i="2"/>
  <c r="C342" i="2"/>
  <c r="C433" i="2"/>
  <c r="C267" i="2"/>
  <c r="C44" i="2"/>
  <c r="C597" i="2"/>
  <c r="C523" i="2"/>
  <c r="C954" i="2"/>
  <c r="C169" i="2"/>
  <c r="C564" i="2"/>
  <c r="C426" i="2"/>
  <c r="C981" i="2"/>
  <c r="C522" i="2"/>
  <c r="C395" i="2"/>
  <c r="C580" i="2"/>
  <c r="C408" i="2"/>
  <c r="C54" i="2"/>
  <c r="C794" i="2"/>
  <c r="C822" i="2"/>
  <c r="C516" i="2"/>
  <c r="C827" i="2"/>
  <c r="C846" i="2"/>
  <c r="C904" i="2"/>
  <c r="C543" i="2"/>
  <c r="C514" i="2"/>
  <c r="C871" i="2"/>
  <c r="C708" i="2"/>
  <c r="C653" i="2"/>
  <c r="C75" i="2"/>
  <c r="C889" i="2"/>
  <c r="C187" i="2"/>
  <c r="C704" i="2"/>
  <c r="C27" i="2"/>
  <c r="C911" i="2"/>
  <c r="C985" i="2"/>
  <c r="C212" i="2"/>
  <c r="C390" i="2"/>
  <c r="C90" i="2"/>
  <c r="C777" i="2"/>
  <c r="C714" i="2"/>
  <c r="C379" i="2"/>
  <c r="C132" i="2"/>
  <c r="C841" i="2"/>
  <c r="C868" i="2"/>
  <c r="C176" i="2"/>
  <c r="C73" i="2"/>
  <c r="C273" i="2"/>
  <c r="C403" i="2"/>
  <c r="C486" i="2"/>
  <c r="C711" i="2"/>
  <c r="C994" i="2"/>
  <c r="C966" i="2"/>
  <c r="C882" i="2"/>
  <c r="C898" i="2"/>
  <c r="C656" i="2"/>
  <c r="C666" i="2"/>
  <c r="C247" i="2"/>
  <c r="C863" i="2"/>
  <c r="C200" i="2"/>
  <c r="C812" i="2"/>
  <c r="C583" i="2"/>
  <c r="C902" i="2"/>
  <c r="C917" i="2"/>
  <c r="C288" i="2"/>
  <c r="C763" i="2"/>
  <c r="C498" i="2"/>
  <c r="C741" i="2"/>
  <c r="C810" i="2"/>
  <c r="C495" i="2"/>
  <c r="C955" i="2"/>
  <c r="C160" i="2"/>
  <c r="C423" i="2"/>
  <c r="C618" i="2"/>
  <c r="C120" i="2"/>
  <c r="C716" i="2"/>
  <c r="C925" i="2"/>
  <c r="C74" i="2"/>
  <c r="C399" i="2"/>
  <c r="C525" i="2"/>
  <c r="C690" i="2"/>
  <c r="C779" i="2"/>
  <c r="C465" i="2"/>
  <c r="C222" i="2"/>
  <c r="C835" i="2"/>
  <c r="C36" i="2"/>
  <c r="C352" i="2"/>
  <c r="C345" i="2"/>
  <c r="C119" i="2"/>
  <c r="C782" i="2"/>
  <c r="C938" i="2"/>
  <c r="C721" i="2"/>
  <c r="C173" i="2"/>
  <c r="C362" i="2"/>
  <c r="C485" i="2"/>
  <c r="C204" i="2"/>
  <c r="C77" i="2"/>
  <c r="C924" i="2"/>
  <c r="C302" i="2"/>
  <c r="C743" i="2"/>
  <c r="C645" i="2"/>
  <c r="C856" i="2"/>
  <c r="C627" i="2"/>
  <c r="C242" i="2"/>
  <c r="C277" i="2"/>
  <c r="C53" i="2"/>
  <c r="C422" i="2"/>
  <c r="C319" i="2"/>
  <c r="C813" i="2"/>
  <c r="C91" i="2"/>
  <c r="C944" i="2"/>
  <c r="C880" i="2"/>
  <c r="C224" i="2"/>
  <c r="C957" i="2"/>
  <c r="C831" i="2"/>
  <c r="C289" i="2"/>
  <c r="C639" i="2"/>
  <c r="C133" i="2"/>
  <c r="C346" i="2"/>
  <c r="C192" i="2"/>
  <c r="C450" i="2"/>
  <c r="C61" i="2"/>
  <c r="C582" i="2"/>
  <c r="C389" i="2"/>
  <c r="C573" i="2"/>
  <c r="C751" i="2"/>
  <c r="C153" i="2"/>
  <c r="C282" i="2"/>
  <c r="C343" i="2"/>
  <c r="C235" i="2"/>
  <c r="C254" i="2"/>
  <c r="C181" i="2"/>
  <c r="C416" i="2"/>
  <c r="C291" i="2"/>
  <c r="C584" i="2"/>
  <c r="C145" i="2"/>
  <c r="C684" i="2"/>
  <c r="C611" i="2"/>
  <c r="C605" i="2"/>
  <c r="C712" i="2"/>
  <c r="C349" i="2"/>
  <c r="C934" i="2"/>
  <c r="C223" i="2"/>
  <c r="C574" i="2"/>
  <c r="C975" i="2"/>
  <c r="C378" i="2"/>
  <c r="C838" i="2"/>
  <c r="C671" i="2"/>
  <c r="C80" i="2"/>
  <c r="C770" i="2"/>
  <c r="C104" i="2"/>
  <c r="C38" i="2"/>
  <c r="C805" i="2"/>
  <c r="C134" i="2"/>
  <c r="C420" i="2"/>
  <c r="C534" i="2"/>
  <c r="C820" i="2"/>
  <c r="C674" i="2"/>
  <c r="C539" i="2"/>
  <c r="C527" i="2"/>
  <c r="C335" i="2"/>
  <c r="C471" i="2"/>
  <c r="C682" i="2"/>
  <c r="C43" i="2"/>
  <c r="C528" i="2"/>
  <c r="C728" i="2"/>
  <c r="C180" i="2"/>
  <c r="C697" i="2"/>
  <c r="C78" i="2"/>
  <c r="C659" i="2"/>
  <c r="C142" i="2"/>
  <c r="C206" i="2"/>
  <c r="C25" i="2"/>
  <c r="C839" i="2"/>
  <c r="C239" i="2"/>
  <c r="C16" i="2"/>
  <c r="C477" i="2"/>
  <c r="C461" i="2"/>
  <c r="C998" i="2"/>
  <c r="C866" i="2"/>
  <c r="C715" i="2"/>
  <c r="C65" i="2"/>
  <c r="C375" i="2"/>
  <c r="C7" i="2"/>
  <c r="C951" i="2"/>
  <c r="C625" i="2"/>
  <c r="C237" i="2"/>
  <c r="C647" i="2"/>
  <c r="C470" i="2"/>
  <c r="C845" i="2"/>
  <c r="C57" i="2"/>
  <c r="C837" i="2"/>
  <c r="C460" i="2"/>
  <c r="C431" i="2"/>
  <c r="C725" i="2"/>
  <c r="C456" i="2"/>
  <c r="C341" i="2"/>
  <c r="C963" i="2"/>
  <c r="C830" i="2"/>
  <c r="C366" i="2"/>
  <c r="C744" i="2"/>
  <c r="C676" i="2"/>
  <c r="C803" i="2"/>
  <c r="C606" i="2"/>
  <c r="C430" i="2"/>
  <c r="C494" i="2"/>
  <c r="C387" i="2"/>
  <c r="C874" i="2"/>
  <c r="C320" i="2"/>
  <c r="C392" i="2"/>
  <c r="C723" i="2"/>
  <c r="C536" i="2"/>
  <c r="C285" i="2"/>
  <c r="C105" i="2"/>
  <c r="C540" i="2"/>
  <c r="C30" i="2"/>
  <c r="C780" i="2"/>
  <c r="C557" i="2"/>
  <c r="C632" i="2"/>
  <c r="C736" i="2"/>
  <c r="C278" i="2"/>
  <c r="C472" i="2"/>
  <c r="C258" i="2"/>
  <c r="C561" i="2"/>
  <c r="C227" i="2"/>
  <c r="C840" i="2"/>
  <c r="C737" i="2"/>
  <c r="C241" i="2"/>
  <c r="C161" i="2"/>
  <c r="C148" i="2"/>
  <c r="C468" i="2"/>
  <c r="C82" i="2"/>
  <c r="C292" i="2"/>
  <c r="C802" i="2"/>
  <c r="C817" i="2"/>
  <c r="C205" i="2"/>
  <c r="C359" i="2"/>
  <c r="C240" i="2"/>
  <c r="C950" i="2"/>
  <c r="C948" i="2"/>
  <c r="C808" i="2"/>
  <c r="C865" i="2"/>
  <c r="C565" i="2"/>
  <c r="C996" i="2"/>
  <c r="C307" i="2"/>
  <c r="C931" i="2"/>
  <c r="C588" i="2"/>
  <c r="C608" i="2"/>
  <c r="C439" i="2"/>
  <c r="C941" i="2"/>
  <c r="C128" i="2"/>
  <c r="C385" i="2"/>
  <c r="C167" i="2"/>
  <c r="C308" i="2"/>
  <c r="C859" i="2"/>
  <c r="C367" i="2"/>
  <c r="C305" i="2"/>
  <c r="C459" i="2"/>
  <c r="C457" i="2"/>
  <c r="C45" i="2"/>
  <c r="C271" i="2"/>
  <c r="C131" i="2"/>
  <c r="C720" i="2"/>
  <c r="C139" i="2"/>
  <c r="C301" i="2"/>
  <c r="C110" i="2"/>
  <c r="C549" i="2"/>
  <c r="C496" i="2"/>
  <c r="C97" i="2"/>
  <c r="C893" i="2"/>
  <c r="C336" i="2"/>
  <c r="C867" i="2"/>
  <c r="C249" i="2"/>
  <c r="C967" i="2"/>
  <c r="C613" i="2"/>
  <c r="C853" i="2"/>
  <c r="C264" i="2"/>
  <c r="C69" i="2"/>
  <c r="C2" i="2"/>
  <c r="C927" i="2"/>
  <c r="C881" i="2"/>
  <c r="C484" i="2"/>
  <c r="C796" i="2"/>
  <c r="C24" i="2"/>
  <c r="C325" i="2"/>
  <c r="C125" i="2"/>
  <c r="C189" i="2"/>
  <c r="C556" i="2"/>
  <c r="C877" i="2"/>
  <c r="C864" i="2"/>
  <c r="C876" i="2"/>
  <c r="C590" i="2"/>
  <c r="C159" i="2"/>
  <c r="C407" i="2"/>
  <c r="C294" i="2"/>
  <c r="C68" i="2"/>
  <c r="C47" i="2"/>
  <c r="C59" i="2"/>
  <c r="C130" i="2"/>
  <c r="C651" i="2"/>
  <c r="C202" i="2"/>
  <c r="C245" i="2"/>
  <c r="C13" i="2"/>
  <c r="C652" i="2"/>
  <c r="C46" i="2"/>
  <c r="C766" i="2"/>
  <c r="C508" i="2"/>
  <c r="C261" i="2"/>
  <c r="C695" i="2"/>
  <c r="C60" i="2"/>
  <c r="C709" i="2"/>
  <c r="C703" i="2"/>
  <c r="C591" i="2"/>
  <c r="C760" i="2"/>
  <c r="C768" i="2"/>
  <c r="C850" i="2"/>
  <c r="C228" i="2"/>
  <c r="C622" i="2"/>
  <c r="C364" i="2"/>
  <c r="C914" i="2"/>
  <c r="C177" i="2"/>
  <c r="C170" i="2"/>
  <c r="C467" i="2"/>
  <c r="C537" i="2"/>
  <c r="C354" i="2"/>
  <c r="C870" i="2"/>
  <c r="C991" i="2"/>
  <c r="C146" i="2"/>
  <c r="C531" i="2"/>
  <c r="C640" i="2"/>
  <c r="C604" i="2"/>
  <c r="C193" i="2"/>
  <c r="C610" i="2"/>
  <c r="C662" i="2"/>
  <c r="C825" i="2"/>
  <c r="C209" i="2"/>
  <c r="C761" i="2"/>
  <c r="C503" i="2"/>
  <c r="C630" i="2"/>
  <c r="C512" i="2"/>
  <c r="C620" i="2"/>
  <c r="C663" i="2"/>
  <c r="C542" i="2"/>
  <c r="C397" i="2"/>
  <c r="C986" i="2"/>
  <c r="C172" i="2"/>
  <c r="C726" i="2"/>
  <c r="C869" i="2"/>
  <c r="C685" i="2"/>
  <c r="C478" i="2"/>
  <c r="C799" i="2"/>
  <c r="C323" i="2"/>
  <c r="C324" i="2"/>
  <c r="C559" i="2"/>
  <c r="C816" i="2"/>
  <c r="C586" i="2"/>
  <c r="C52" i="2"/>
  <c r="C793" i="2"/>
  <c r="C930" i="2"/>
  <c r="C600" i="2"/>
  <c r="C710" i="2"/>
  <c r="C126" i="2"/>
  <c r="C502" i="2"/>
  <c r="C668" i="2"/>
  <c r="C601" i="2"/>
  <c r="C890" i="2"/>
  <c r="C862" i="2"/>
  <c r="C317" i="2"/>
  <c r="C692" i="2"/>
  <c r="C231" i="2"/>
  <c r="C795" i="2"/>
  <c r="C946" i="2"/>
  <c r="C391" i="2"/>
  <c r="C121" i="2"/>
  <c r="C182" i="2"/>
  <c r="C394" i="2"/>
  <c r="C138" i="2"/>
  <c r="C801" i="2"/>
  <c r="C380" i="2"/>
  <c r="C440" i="2"/>
  <c r="C405" i="2"/>
  <c r="C735" i="2"/>
  <c r="C358" i="2"/>
  <c r="C253" i="2"/>
  <c r="C740" i="2"/>
  <c r="C854" i="2"/>
  <c r="C71" i="2"/>
  <c r="C409" i="2"/>
  <c r="C297" i="2"/>
  <c r="C428" i="2"/>
  <c r="C638" i="2"/>
  <c r="C476" i="2"/>
  <c r="C321" i="2"/>
  <c r="C353" i="2"/>
  <c r="C572" i="2"/>
  <c r="C858" i="2"/>
  <c r="C400" i="2"/>
  <c r="C451" i="2"/>
  <c r="C520" i="2"/>
  <c r="C977" i="2"/>
  <c r="C129" i="2"/>
  <c r="C421" i="2"/>
  <c r="C274" i="2"/>
  <c r="C233" i="2"/>
  <c r="C203" i="2"/>
  <c r="C667" i="2"/>
  <c r="C992" i="2"/>
  <c r="C377" i="2"/>
  <c r="C513" i="2"/>
  <c r="C885" i="2"/>
  <c r="C641" i="2"/>
  <c r="C94" i="2"/>
  <c r="C340" i="2"/>
  <c r="C281" i="2"/>
  <c r="C462" i="2"/>
  <c r="C269" i="2"/>
  <c r="C908" i="2"/>
  <c r="C753" i="2"/>
  <c r="C538" i="2"/>
  <c r="C903" i="2"/>
  <c r="C800" i="2"/>
  <c r="C767" i="2"/>
  <c r="C178" i="2"/>
  <c r="C701" i="2"/>
  <c r="C558" i="2"/>
  <c r="C32" i="2"/>
  <c r="C569" i="2"/>
  <c r="C64" i="2"/>
  <c r="C248" i="2"/>
  <c r="C982" i="2"/>
  <c r="C35" i="2"/>
  <c r="C20" i="2"/>
  <c r="C58" i="2"/>
  <c r="C500" i="2"/>
  <c r="C259" i="2"/>
  <c r="C10" i="2"/>
  <c r="C188" i="2"/>
  <c r="C560" i="2"/>
  <c r="C56" i="2"/>
  <c r="C348" i="2"/>
  <c r="C806" i="2"/>
  <c r="C696" i="2"/>
  <c r="C894" i="2"/>
  <c r="C474" i="2"/>
  <c r="C554" i="2"/>
  <c r="C952" i="2"/>
  <c r="C230" i="2"/>
  <c r="C410" i="2"/>
  <c r="C834" i="2"/>
  <c r="C789" i="2"/>
  <c r="C103" i="2"/>
  <c r="C425" i="2"/>
  <c r="C678" i="2"/>
  <c r="C912" i="2"/>
  <c r="C300" i="2"/>
  <c r="C363" i="2"/>
  <c r="C587" i="2"/>
  <c r="C603" i="2"/>
  <c r="C578" i="2"/>
  <c r="C943" i="2"/>
  <c r="C745" i="2"/>
  <c r="C791" i="2"/>
  <c r="C424" i="2"/>
  <c r="C22" i="2"/>
  <c r="C940" i="2"/>
  <c r="C198" i="2"/>
  <c r="C165" i="2"/>
  <c r="C755" i="2"/>
  <c r="C786" i="2"/>
  <c r="C442" i="2"/>
  <c r="C175" i="2"/>
  <c r="C818" i="2"/>
  <c r="C445" i="2"/>
  <c r="C787" i="2"/>
  <c r="C499" i="2"/>
  <c r="C910" i="2"/>
  <c r="C220" i="2"/>
  <c r="C717" i="2"/>
  <c r="C939" i="2"/>
  <c r="C920" i="2"/>
  <c r="C347" i="2"/>
  <c r="C999" i="2"/>
  <c r="C727" i="2"/>
  <c r="C757" i="2"/>
  <c r="C631" i="2"/>
  <c r="C447" i="2"/>
  <c r="C196" i="2"/>
  <c r="C286" i="2"/>
  <c r="C980" i="2"/>
  <c r="C713" i="2"/>
  <c r="C804" i="2"/>
  <c r="C628" i="2"/>
  <c r="C635" i="2"/>
  <c r="C37" i="2"/>
  <c r="C201" i="2"/>
  <c r="C546" i="2"/>
  <c r="C453" i="2"/>
  <c r="C974" i="2"/>
  <c r="C369" i="2"/>
  <c r="C896" i="2"/>
  <c r="C783" i="2"/>
  <c r="C515" i="2"/>
  <c r="C730" i="2"/>
  <c r="C746" i="2"/>
  <c r="C127" i="2"/>
  <c r="C489" i="2"/>
  <c r="C393" i="2"/>
  <c r="C443" i="2"/>
  <c r="C350" i="2"/>
  <c r="C466" i="2"/>
  <c r="C836" i="2"/>
  <c r="C901" i="2"/>
  <c r="C742" i="2"/>
  <c r="C506" i="2"/>
  <c r="C875" i="2"/>
  <c r="C906" i="2"/>
  <c r="C114" i="2"/>
  <c r="C619" i="2"/>
  <c r="C386" i="2"/>
  <c r="C844" i="2"/>
  <c r="C84" i="2"/>
  <c r="C847" i="2"/>
  <c r="C33" i="2"/>
  <c r="C849" i="2"/>
  <c r="C376" i="2"/>
  <c r="C577" i="2"/>
  <c r="C276" i="2"/>
  <c r="C355" i="2"/>
  <c r="C487" i="2"/>
  <c r="C593" i="2"/>
  <c r="C41" i="2"/>
  <c r="C313" i="2"/>
  <c r="C571" i="2"/>
  <c r="C326" i="2"/>
  <c r="C945" i="2"/>
  <c r="C304" i="2"/>
  <c r="C964" i="2"/>
  <c r="C79" i="2"/>
  <c r="C330" i="2"/>
  <c r="C417" i="2"/>
  <c r="C987" i="2"/>
  <c r="C334" i="2"/>
  <c r="C548" i="2"/>
  <c r="C290" i="2"/>
  <c r="C602" i="2"/>
  <c r="C384" i="2"/>
  <c r="C592" i="2"/>
  <c r="C961" i="2"/>
  <c r="C756" i="2"/>
  <c r="C357" i="2"/>
  <c r="C677" i="2"/>
  <c r="C636" i="2"/>
  <c r="C40" i="2"/>
  <c r="C157" i="2"/>
  <c r="C225" i="2"/>
  <c r="C311" i="2"/>
  <c r="C897" i="2"/>
  <c r="C143" i="2"/>
  <c r="C34" i="2"/>
  <c r="C152" i="2"/>
  <c r="C935" i="2"/>
  <c r="C655" i="2"/>
  <c r="C481" i="2"/>
  <c r="C429" i="2"/>
  <c r="C664" i="2"/>
  <c r="C123" i="2"/>
  <c r="C909" i="2"/>
  <c r="C857" i="2"/>
  <c r="C942" i="2"/>
  <c r="C337" i="2"/>
  <c r="C404" i="2"/>
  <c r="C732" i="2"/>
  <c r="C183" i="2"/>
  <c r="C933" i="2"/>
  <c r="C262" i="2"/>
  <c r="C637" i="2"/>
  <c r="C283" i="2"/>
  <c r="C788" i="2"/>
  <c r="C883" i="2"/>
  <c r="B418" i="2"/>
  <c r="B92" i="2"/>
  <c r="B669" i="2"/>
  <c r="B488" i="2"/>
  <c r="B731" i="2"/>
  <c r="B626" i="2"/>
  <c r="B887" i="2"/>
  <c r="B797" i="2"/>
  <c r="B657" i="2"/>
  <c r="B581" i="2"/>
  <c r="B316" i="2"/>
  <c r="B396" i="2"/>
  <c r="B698" i="2"/>
  <c r="B18" i="2"/>
  <c r="B629" i="2"/>
  <c r="B51" i="2"/>
  <c r="B873" i="2"/>
  <c r="B575" i="2"/>
  <c r="B774" i="2"/>
  <c r="B976" i="2"/>
  <c r="B891" i="2"/>
  <c r="B463" i="2"/>
  <c r="B116" i="2"/>
  <c r="B66" i="2"/>
  <c r="B705" i="2"/>
  <c r="B93" i="2"/>
  <c r="B275" i="2"/>
  <c r="B990" i="2"/>
  <c r="B243" i="2"/>
  <c r="B454" i="2"/>
  <c r="B214" i="2"/>
  <c r="B738" i="2"/>
  <c r="B208" i="2"/>
  <c r="B55" i="2"/>
  <c r="B567" i="2"/>
  <c r="B829" i="2"/>
  <c r="B252" i="2"/>
  <c r="B469" i="2"/>
  <c r="B900" i="2"/>
  <c r="B190" i="2"/>
  <c r="B510" i="2"/>
  <c r="B749" i="2"/>
  <c r="B147" i="2"/>
  <c r="B234" i="2"/>
  <c r="B773" i="2"/>
  <c r="B8" i="2"/>
  <c r="B913" i="2"/>
  <c r="B211" i="2"/>
  <c r="B475" i="2"/>
  <c r="B29" i="2"/>
  <c r="B4" i="2"/>
  <c r="B14" i="2"/>
  <c r="B679" i="2"/>
  <c r="B607" i="2"/>
  <c r="B815" i="2"/>
  <c r="B149" i="2"/>
  <c r="B39" i="2"/>
  <c r="B108" i="2"/>
  <c r="B310" i="2"/>
  <c r="B194" i="2"/>
  <c r="B102" i="2"/>
  <c r="B969" i="2"/>
  <c r="B570" i="2"/>
  <c r="B895" i="2"/>
  <c r="B401" i="2"/>
  <c r="B594" i="2"/>
  <c r="B446" i="2"/>
  <c r="B406" i="2"/>
  <c r="B412" i="2"/>
  <c r="B566" i="2"/>
  <c r="B155" i="2"/>
  <c r="B616" i="2"/>
  <c r="B303" i="2"/>
  <c r="B754" i="2"/>
  <c r="B497" i="2"/>
  <c r="B287" i="2"/>
  <c r="B87" i="2"/>
  <c r="B215" i="2"/>
  <c r="B492" i="2"/>
  <c r="B122" i="2"/>
  <c r="B764" i="2"/>
  <c r="B219" i="2"/>
  <c r="B265" i="2"/>
  <c r="B922" i="2"/>
  <c r="B166" i="2"/>
  <c r="B733" i="2"/>
  <c r="B260" i="2"/>
  <c r="B112" i="2"/>
  <c r="B693" i="2"/>
  <c r="B507" i="2"/>
  <c r="B688" i="2"/>
  <c r="B778" i="2"/>
  <c r="B11" i="2"/>
  <c r="B962" i="2"/>
  <c r="B700" i="2"/>
  <c r="B85" i="2"/>
  <c r="B798" i="2"/>
  <c r="B199" i="2"/>
  <c r="B344" i="2"/>
  <c r="B137" i="2"/>
  <c r="B135" i="2"/>
  <c r="B413" i="2"/>
  <c r="B156" i="2"/>
  <c r="B236" i="2"/>
  <c r="B419" i="2"/>
  <c r="B658" i="2"/>
  <c r="B526" i="2"/>
  <c r="B280" i="2"/>
  <c r="B88" i="2"/>
  <c r="B213" i="2"/>
  <c r="B936" i="2"/>
  <c r="B550" i="2"/>
  <c r="B111" i="2"/>
  <c r="B5" i="2"/>
  <c r="B255" i="2"/>
  <c r="B785" i="2"/>
  <c r="B186" i="2"/>
  <c r="B551" i="2"/>
  <c r="B851" i="2"/>
  <c r="B819" i="2"/>
  <c r="B633" i="2"/>
  <c r="B784" i="2"/>
  <c r="B706" i="2"/>
  <c r="B807" i="2"/>
  <c r="B718" i="2"/>
  <c r="B589" i="2"/>
  <c r="B947" i="2"/>
  <c r="B117" i="2"/>
  <c r="B765" i="2"/>
  <c r="B415" i="2"/>
  <c r="B361" i="2"/>
  <c r="B681" i="2"/>
  <c r="B250" i="2"/>
  <c r="B329" i="2"/>
  <c r="B972" i="2"/>
  <c r="B670" i="2"/>
  <c r="B314" i="2"/>
  <c r="B174" i="2"/>
  <c r="B333" i="2"/>
  <c r="B907" i="2"/>
  <c r="B699" i="2"/>
  <c r="B929" i="2"/>
  <c r="B752" i="2"/>
  <c r="B141" i="2"/>
  <c r="B544" i="2"/>
  <c r="B284" i="2"/>
  <c r="B960" i="2"/>
  <c r="B210" i="2"/>
  <c r="B926" i="2"/>
  <c r="B823" i="2"/>
  <c r="B298" i="2"/>
  <c r="B197" i="2"/>
  <c r="B832" i="2"/>
  <c r="B843" i="2"/>
  <c r="B232" i="2"/>
  <c r="B26" i="2"/>
  <c r="B3" i="2"/>
  <c r="B21" i="2"/>
  <c r="B879" i="2"/>
  <c r="B372" i="2"/>
  <c r="B923" i="2"/>
  <c r="B691" i="2"/>
  <c r="B315" i="2"/>
  <c r="B185" i="2"/>
  <c r="B533" i="2"/>
  <c r="B195" i="2"/>
  <c r="B452" i="2"/>
  <c r="B296" i="2"/>
  <c r="B338" i="2"/>
  <c r="B31" i="2"/>
  <c r="B563" i="2"/>
  <c r="B414" i="2"/>
  <c r="B973" i="2"/>
  <c r="B505" i="2"/>
  <c r="B888" i="2"/>
  <c r="B848" i="2"/>
  <c r="B151" i="2"/>
  <c r="B719" i="2"/>
  <c r="B568" i="2"/>
  <c r="B729" i="2"/>
  <c r="B140" i="2"/>
  <c r="B458" i="2"/>
  <c r="B826" i="2"/>
  <c r="B6" i="2"/>
  <c r="B978" i="2"/>
  <c r="B435" i="2"/>
  <c r="B769" i="2"/>
  <c r="B624" i="2"/>
  <c r="B988" i="2"/>
  <c r="B762" i="2"/>
  <c r="B545" i="2"/>
  <c r="B937" i="2"/>
  <c r="B821" i="2"/>
  <c r="B272" i="2"/>
  <c r="B62" i="2"/>
  <c r="B979" i="2"/>
  <c r="B118" i="2"/>
  <c r="B216" i="2"/>
  <c r="B322" i="2"/>
  <c r="B229" i="2"/>
  <c r="B989" i="2"/>
  <c r="B884" i="2"/>
  <c r="B328" i="2"/>
  <c r="B958" i="2"/>
  <c r="B383" i="2"/>
  <c r="B724" i="2"/>
  <c r="B694" i="2"/>
  <c r="B432" i="2"/>
  <c r="B781" i="2"/>
  <c r="B892" i="2"/>
  <c r="B293" i="2"/>
  <c r="B171" i="2"/>
  <c r="B124" i="2"/>
  <c r="B491" i="2"/>
  <c r="B758" i="2"/>
  <c r="B983" i="2"/>
  <c r="B956" i="2"/>
  <c r="B398" i="2"/>
  <c r="B971" i="2"/>
  <c r="B101" i="2"/>
  <c r="B649" i="2"/>
  <c r="B268" i="2"/>
  <c r="B722" i="2"/>
  <c r="B86" i="2"/>
  <c r="B479" i="2"/>
  <c r="B501" i="2"/>
  <c r="B238" i="2"/>
  <c r="B1000" i="2"/>
  <c r="B643" i="2"/>
  <c r="B158" i="2"/>
  <c r="B650" i="2"/>
  <c r="B221" i="2"/>
  <c r="B483" i="2"/>
  <c r="B562" i="2"/>
  <c r="B437" i="2"/>
  <c r="B621" i="2"/>
  <c r="B444" i="2"/>
  <c r="B113" i="2"/>
  <c r="B792" i="2"/>
  <c r="B191" i="2"/>
  <c r="B918" i="2"/>
  <c r="B517" i="2"/>
  <c r="B217" i="2"/>
  <c r="B707" i="2"/>
  <c r="B256" i="2"/>
  <c r="B493" i="2"/>
  <c r="B179" i="2"/>
  <c r="B852" i="2"/>
  <c r="B524" i="2"/>
  <c r="B67" i="2"/>
  <c r="B521" i="2"/>
  <c r="B585" i="2"/>
  <c r="B842" i="2"/>
  <c r="B599" i="2"/>
  <c r="B99" i="2"/>
  <c r="B441" i="2"/>
  <c r="B365" i="2"/>
  <c r="B455" i="2"/>
  <c r="B371" i="2"/>
  <c r="B683" i="2"/>
  <c r="B162" i="2"/>
  <c r="B449" i="2"/>
  <c r="B530" i="2"/>
  <c r="B251" i="2"/>
  <c r="B23" i="2"/>
  <c r="B661" i="2"/>
  <c r="B617" i="2"/>
  <c r="B48" i="2"/>
  <c r="B673" i="2"/>
  <c r="B504" i="2"/>
  <c r="B642" i="2"/>
  <c r="B327" i="2"/>
  <c r="B318" i="2"/>
  <c r="B739" i="2"/>
  <c r="B81" i="2"/>
  <c r="B19" i="2"/>
  <c r="B17" i="2"/>
  <c r="B995" i="2"/>
  <c r="B609" i="2"/>
  <c r="B95" i="2"/>
  <c r="B878" i="2"/>
  <c r="B436" i="2"/>
  <c r="B370" i="2"/>
  <c r="B381" i="2"/>
  <c r="B83" i="2"/>
  <c r="B915" i="2"/>
  <c r="B299" i="2"/>
  <c r="B916" i="2"/>
  <c r="B772" i="2"/>
  <c r="B775" i="2"/>
  <c r="B734" i="2"/>
  <c r="B115" i="2"/>
  <c r="B360" i="2"/>
  <c r="B473" i="2"/>
  <c r="B654" i="2"/>
  <c r="B519" i="2"/>
  <c r="B555" i="2"/>
  <c r="B872" i="2"/>
  <c r="B680" i="2"/>
  <c r="B634" i="2"/>
  <c r="B332" i="2"/>
  <c r="B279" i="2"/>
  <c r="B747" i="2"/>
  <c r="B438" i="2"/>
  <c r="B490" i="2"/>
  <c r="B776" i="2"/>
  <c r="B965" i="2"/>
  <c r="B100" i="2"/>
  <c r="B218" i="2"/>
  <c r="B411" i="2"/>
  <c r="B70" i="2"/>
  <c r="B576" i="2"/>
  <c r="B9" i="2"/>
  <c r="B339" i="2"/>
  <c r="B748" i="2"/>
  <c r="B833" i="2"/>
  <c r="B623" i="2"/>
  <c r="B612" i="2"/>
  <c r="B448" i="2"/>
  <c r="B312" i="2"/>
  <c r="B970" i="2"/>
  <c r="B98" i="2"/>
  <c r="B89" i="2"/>
  <c r="B509" i="2"/>
  <c r="B932" i="2"/>
  <c r="B144" i="2"/>
  <c r="B356" i="2"/>
  <c r="B49" i="2"/>
  <c r="B184" i="2"/>
  <c r="B921" i="2"/>
  <c r="B824" i="2"/>
  <c r="B809" i="2"/>
  <c r="B553" i="2"/>
  <c r="B306" i="2"/>
  <c r="B464" i="2"/>
  <c r="B388" i="2"/>
  <c r="B997" i="2"/>
  <c r="B382" i="2"/>
  <c r="B535" i="2"/>
  <c r="B246" i="2"/>
  <c r="B953" i="2"/>
  <c r="B263" i="2"/>
  <c r="B373" i="2"/>
  <c r="B28" i="2"/>
  <c r="B402" i="2"/>
  <c r="B595" i="2"/>
  <c r="B270" i="2"/>
  <c r="B427" i="2"/>
  <c r="B828" i="2"/>
  <c r="B860" i="2"/>
  <c r="B511" i="2"/>
  <c r="B374" i="2"/>
  <c r="B150" i="2"/>
  <c r="B899" i="2"/>
  <c r="B109" i="2"/>
  <c r="B771" i="2"/>
  <c r="B689" i="2"/>
  <c r="B615" i="2"/>
  <c r="B226" i="2"/>
  <c r="B686" i="2"/>
  <c r="B675" i="2"/>
  <c r="B665" i="2"/>
  <c r="B163" i="2"/>
  <c r="B518" i="2"/>
  <c r="B266" i="2"/>
  <c r="B331" i="2"/>
  <c r="B480" i="2"/>
  <c r="B855" i="2"/>
  <c r="B257" i="2"/>
  <c r="B136" i="2"/>
  <c r="B295" i="2"/>
  <c r="B76" i="2"/>
  <c r="B596" i="2"/>
  <c r="B702" i="2"/>
  <c r="B529" i="2"/>
  <c r="B614" i="2"/>
  <c r="B72" i="2"/>
  <c r="B968" i="2"/>
  <c r="B42" i="2"/>
  <c r="B63" i="2"/>
  <c r="B928" i="2"/>
  <c r="B164" i="2"/>
  <c r="B351" i="2"/>
  <c r="B672" i="2"/>
  <c r="B949" i="2"/>
  <c r="B790" i="2"/>
  <c r="B759" i="2"/>
  <c r="B750" i="2"/>
  <c r="B96" i="2"/>
  <c r="B919" i="2"/>
  <c r="B309" i="2"/>
  <c r="B687" i="2"/>
  <c r="B434" i="2"/>
  <c r="B905" i="2"/>
  <c r="B598" i="2"/>
  <c r="B12" i="2"/>
  <c r="B646" i="2"/>
  <c r="B15" i="2"/>
  <c r="B207" i="2"/>
  <c r="B861" i="2"/>
  <c r="B482" i="2"/>
  <c r="B984" i="2"/>
  <c r="B168" i="2"/>
  <c r="B811" i="2"/>
  <c r="B660" i="2"/>
  <c r="B368" i="2"/>
  <c r="B244" i="2"/>
  <c r="B50" i="2"/>
  <c r="B547" i="2"/>
  <c r="B814" i="2"/>
  <c r="B579" i="2"/>
  <c r="B648" i="2"/>
  <c r="B541" i="2"/>
  <c r="B993" i="2"/>
  <c r="B532" i="2"/>
  <c r="B886" i="2"/>
  <c r="B106" i="2"/>
  <c r="B644" i="2"/>
  <c r="B107" i="2"/>
  <c r="B552" i="2"/>
  <c r="B154" i="2"/>
  <c r="B342" i="2"/>
  <c r="B433" i="2"/>
  <c r="B267" i="2"/>
  <c r="B44" i="2"/>
  <c r="B597" i="2"/>
  <c r="B523" i="2"/>
  <c r="B954" i="2"/>
  <c r="B169" i="2"/>
  <c r="B564" i="2"/>
  <c r="B426" i="2"/>
  <c r="B981" i="2"/>
  <c r="B522" i="2"/>
  <c r="B395" i="2"/>
  <c r="B580" i="2"/>
  <c r="B408" i="2"/>
  <c r="B54" i="2"/>
  <c r="B794" i="2"/>
  <c r="B822" i="2"/>
  <c r="B516" i="2"/>
  <c r="B827" i="2"/>
  <c r="B846" i="2"/>
  <c r="B904" i="2"/>
  <c r="B543" i="2"/>
  <c r="B514" i="2"/>
  <c r="B871" i="2"/>
  <c r="B708" i="2"/>
  <c r="B653" i="2"/>
  <c r="B75" i="2"/>
  <c r="B889" i="2"/>
  <c r="B187" i="2"/>
  <c r="B704" i="2"/>
  <c r="B27" i="2"/>
  <c r="B911" i="2"/>
  <c r="B985" i="2"/>
  <c r="B212" i="2"/>
  <c r="B390" i="2"/>
  <c r="B90" i="2"/>
  <c r="B777" i="2"/>
  <c r="B714" i="2"/>
  <c r="B379" i="2"/>
  <c r="B132" i="2"/>
  <c r="B841" i="2"/>
  <c r="B868" i="2"/>
  <c r="B176" i="2"/>
  <c r="B73" i="2"/>
  <c r="B273" i="2"/>
  <c r="B403" i="2"/>
  <c r="B486" i="2"/>
  <c r="B711" i="2"/>
  <c r="B994" i="2"/>
  <c r="B966" i="2"/>
  <c r="B882" i="2"/>
  <c r="B898" i="2"/>
  <c r="B656" i="2"/>
  <c r="B666" i="2"/>
  <c r="B247" i="2"/>
  <c r="B863" i="2"/>
  <c r="B200" i="2"/>
  <c r="B812" i="2"/>
  <c r="B583" i="2"/>
  <c r="B902" i="2"/>
  <c r="B917" i="2"/>
  <c r="B288" i="2"/>
  <c r="B763" i="2"/>
  <c r="B498" i="2"/>
  <c r="B741" i="2"/>
  <c r="B810" i="2"/>
  <c r="B495" i="2"/>
  <c r="B955" i="2"/>
  <c r="B160" i="2"/>
  <c r="B423" i="2"/>
  <c r="B618" i="2"/>
  <c r="B120" i="2"/>
  <c r="B716" i="2"/>
  <c r="B925" i="2"/>
  <c r="B74" i="2"/>
  <c r="B399" i="2"/>
  <c r="B525" i="2"/>
  <c r="B690" i="2"/>
  <c r="B779" i="2"/>
  <c r="B465" i="2"/>
  <c r="B222" i="2"/>
  <c r="B835" i="2"/>
  <c r="B36" i="2"/>
  <c r="B352" i="2"/>
  <c r="B345" i="2"/>
  <c r="B119" i="2"/>
  <c r="B782" i="2"/>
  <c r="B938" i="2"/>
  <c r="B721" i="2"/>
  <c r="B173" i="2"/>
  <c r="B362" i="2"/>
  <c r="B485" i="2"/>
  <c r="B204" i="2"/>
  <c r="B77" i="2"/>
  <c r="B924" i="2"/>
  <c r="B302" i="2"/>
  <c r="B743" i="2"/>
  <c r="B645" i="2"/>
  <c r="B856" i="2"/>
  <c r="B627" i="2"/>
  <c r="B242" i="2"/>
  <c r="B277" i="2"/>
  <c r="B53" i="2"/>
  <c r="B422" i="2"/>
  <c r="B319" i="2"/>
  <c r="B813" i="2"/>
  <c r="B91" i="2"/>
  <c r="B944" i="2"/>
  <c r="B880" i="2"/>
  <c r="B224" i="2"/>
  <c r="B957" i="2"/>
  <c r="B831" i="2"/>
  <c r="B289" i="2"/>
  <c r="B639" i="2"/>
  <c r="B133" i="2"/>
  <c r="B346" i="2"/>
  <c r="B192" i="2"/>
  <c r="B450" i="2"/>
  <c r="B61" i="2"/>
  <c r="B582" i="2"/>
  <c r="B389" i="2"/>
  <c r="B573" i="2"/>
  <c r="B751" i="2"/>
  <c r="B153" i="2"/>
  <c r="B282" i="2"/>
  <c r="B343" i="2"/>
  <c r="B235" i="2"/>
  <c r="B254" i="2"/>
  <c r="B181" i="2"/>
  <c r="B416" i="2"/>
  <c r="B291" i="2"/>
  <c r="B584" i="2"/>
  <c r="B145" i="2"/>
  <c r="B684" i="2"/>
  <c r="B611" i="2"/>
  <c r="B605" i="2"/>
  <c r="B712" i="2"/>
  <c r="B349" i="2"/>
  <c r="B934" i="2"/>
  <c r="B223" i="2"/>
  <c r="B574" i="2"/>
  <c r="B975" i="2"/>
  <c r="B378" i="2"/>
  <c r="B838" i="2"/>
  <c r="B671" i="2"/>
  <c r="B80" i="2"/>
  <c r="B770" i="2"/>
  <c r="B104" i="2"/>
  <c r="B38" i="2"/>
  <c r="B805" i="2"/>
  <c r="B134" i="2"/>
  <c r="B420" i="2"/>
  <c r="B534" i="2"/>
  <c r="B820" i="2"/>
  <c r="B674" i="2"/>
  <c r="B539" i="2"/>
  <c r="B527" i="2"/>
  <c r="B335" i="2"/>
  <c r="B471" i="2"/>
  <c r="B682" i="2"/>
  <c r="B43" i="2"/>
  <c r="B528" i="2"/>
  <c r="B728" i="2"/>
  <c r="B180" i="2"/>
  <c r="B697" i="2"/>
  <c r="B78" i="2"/>
  <c r="B659" i="2"/>
  <c r="B142" i="2"/>
  <c r="B206" i="2"/>
  <c r="B25" i="2"/>
  <c r="B839" i="2"/>
  <c r="B239" i="2"/>
  <c r="B16" i="2"/>
  <c r="B477" i="2"/>
  <c r="B461" i="2"/>
  <c r="B998" i="2"/>
  <c r="B866" i="2"/>
  <c r="B715" i="2"/>
  <c r="B65" i="2"/>
  <c r="B375" i="2"/>
  <c r="B7" i="2"/>
  <c r="B951" i="2"/>
  <c r="B625" i="2"/>
  <c r="B237" i="2"/>
  <c r="B647" i="2"/>
  <c r="B470" i="2"/>
  <c r="B845" i="2"/>
  <c r="B57" i="2"/>
  <c r="B837" i="2"/>
  <c r="B460" i="2"/>
  <c r="B431" i="2"/>
  <c r="B725" i="2"/>
  <c r="B456" i="2"/>
  <c r="B341" i="2"/>
  <c r="B963" i="2"/>
  <c r="B830" i="2"/>
  <c r="B366" i="2"/>
  <c r="B744" i="2"/>
  <c r="B676" i="2"/>
  <c r="B803" i="2"/>
  <c r="B606" i="2"/>
  <c r="B430" i="2"/>
  <c r="B494" i="2"/>
  <c r="B387" i="2"/>
  <c r="B874" i="2"/>
  <c r="B320" i="2"/>
  <c r="B392" i="2"/>
  <c r="B723" i="2"/>
  <c r="B536" i="2"/>
  <c r="B285" i="2"/>
  <c r="B105" i="2"/>
  <c r="B540" i="2"/>
  <c r="B30" i="2"/>
  <c r="B780" i="2"/>
  <c r="B557" i="2"/>
  <c r="B632" i="2"/>
  <c r="B736" i="2"/>
  <c r="B278" i="2"/>
  <c r="B472" i="2"/>
  <c r="B258" i="2"/>
  <c r="B561" i="2"/>
  <c r="B227" i="2"/>
  <c r="B840" i="2"/>
  <c r="B737" i="2"/>
  <c r="B241" i="2"/>
  <c r="B161" i="2"/>
  <c r="B148" i="2"/>
  <c r="B468" i="2"/>
  <c r="B82" i="2"/>
  <c r="B292" i="2"/>
  <c r="B802" i="2"/>
  <c r="B817" i="2"/>
  <c r="B205" i="2"/>
  <c r="B359" i="2"/>
  <c r="B240" i="2"/>
  <c r="B950" i="2"/>
  <c r="B948" i="2"/>
  <c r="B808" i="2"/>
  <c r="B865" i="2"/>
  <c r="B565" i="2"/>
  <c r="B996" i="2"/>
  <c r="B307" i="2"/>
  <c r="B931" i="2"/>
  <c r="B588" i="2"/>
  <c r="B608" i="2"/>
  <c r="B439" i="2"/>
  <c r="B941" i="2"/>
  <c r="B128" i="2"/>
  <c r="B385" i="2"/>
  <c r="B167" i="2"/>
  <c r="B308" i="2"/>
  <c r="B859" i="2"/>
  <c r="B367" i="2"/>
  <c r="B305" i="2"/>
  <c r="B459" i="2"/>
  <c r="B457" i="2"/>
  <c r="B45" i="2"/>
  <c r="B271" i="2"/>
  <c r="B131" i="2"/>
  <c r="B720" i="2"/>
  <c r="B139" i="2"/>
  <c r="B301" i="2"/>
  <c r="B110" i="2"/>
  <c r="B549" i="2"/>
  <c r="B496" i="2"/>
  <c r="B97" i="2"/>
  <c r="B893" i="2"/>
  <c r="B336" i="2"/>
  <c r="B867" i="2"/>
  <c r="B249" i="2"/>
  <c r="B967" i="2"/>
  <c r="B613" i="2"/>
  <c r="B853" i="2"/>
  <c r="B264" i="2"/>
  <c r="B69" i="2"/>
  <c r="B2" i="2"/>
  <c r="B927" i="2"/>
  <c r="B881" i="2"/>
  <c r="B484" i="2"/>
  <c r="B796" i="2"/>
  <c r="B24" i="2"/>
  <c r="B325" i="2"/>
  <c r="B125" i="2"/>
  <c r="B189" i="2"/>
  <c r="B556" i="2"/>
  <c r="B877" i="2"/>
  <c r="B864" i="2"/>
  <c r="B876" i="2"/>
  <c r="B590" i="2"/>
  <c r="B159" i="2"/>
  <c r="B407" i="2"/>
  <c r="B294" i="2"/>
  <c r="B68" i="2"/>
  <c r="B47" i="2"/>
  <c r="B59" i="2"/>
  <c r="B130" i="2"/>
  <c r="B651" i="2"/>
  <c r="B202" i="2"/>
  <c r="B245" i="2"/>
  <c r="B13" i="2"/>
  <c r="B652" i="2"/>
  <c r="B46" i="2"/>
  <c r="B766" i="2"/>
  <c r="B508" i="2"/>
  <c r="B261" i="2"/>
  <c r="B695" i="2"/>
  <c r="B60" i="2"/>
  <c r="B709" i="2"/>
  <c r="B703" i="2"/>
  <c r="B591" i="2"/>
  <c r="B760" i="2"/>
  <c r="B768" i="2"/>
  <c r="B850" i="2"/>
  <c r="B228" i="2"/>
  <c r="B622" i="2"/>
  <c r="B364" i="2"/>
  <c r="B914" i="2"/>
  <c r="B177" i="2"/>
  <c r="B170" i="2"/>
  <c r="B467" i="2"/>
  <c r="B537" i="2"/>
  <c r="B354" i="2"/>
  <c r="B870" i="2"/>
  <c r="B991" i="2"/>
  <c r="B146" i="2"/>
  <c r="B531" i="2"/>
  <c r="B640" i="2"/>
  <c r="B604" i="2"/>
  <c r="B193" i="2"/>
  <c r="B610" i="2"/>
  <c r="B662" i="2"/>
  <c r="B825" i="2"/>
  <c r="B209" i="2"/>
  <c r="B761" i="2"/>
  <c r="B503" i="2"/>
  <c r="B630" i="2"/>
  <c r="B512" i="2"/>
  <c r="B620" i="2"/>
  <c r="B663" i="2"/>
  <c r="B542" i="2"/>
  <c r="B397" i="2"/>
  <c r="B986" i="2"/>
  <c r="B172" i="2"/>
  <c r="B726" i="2"/>
  <c r="B869" i="2"/>
  <c r="B685" i="2"/>
  <c r="B478" i="2"/>
  <c r="B799" i="2"/>
  <c r="B323" i="2"/>
  <c r="B324" i="2"/>
  <c r="B559" i="2"/>
  <c r="B816" i="2"/>
  <c r="B586" i="2"/>
  <c r="B52" i="2"/>
  <c r="B793" i="2"/>
  <c r="B930" i="2"/>
  <c r="B600" i="2"/>
  <c r="B710" i="2"/>
  <c r="B126" i="2"/>
  <c r="B502" i="2"/>
  <c r="B668" i="2"/>
  <c r="B601" i="2"/>
  <c r="B890" i="2"/>
  <c r="B862" i="2"/>
  <c r="B317" i="2"/>
  <c r="B692" i="2"/>
  <c r="B231" i="2"/>
  <c r="B795" i="2"/>
  <c r="B946" i="2"/>
  <c r="B391" i="2"/>
  <c r="B121" i="2"/>
  <c r="B182" i="2"/>
  <c r="B394" i="2"/>
  <c r="B138" i="2"/>
  <c r="B801" i="2"/>
  <c r="B380" i="2"/>
  <c r="B440" i="2"/>
  <c r="B405" i="2"/>
  <c r="B735" i="2"/>
  <c r="B358" i="2"/>
  <c r="B253" i="2"/>
  <c r="B740" i="2"/>
  <c r="B854" i="2"/>
  <c r="B71" i="2"/>
  <c r="B409" i="2"/>
  <c r="B297" i="2"/>
  <c r="B428" i="2"/>
  <c r="B638" i="2"/>
  <c r="B476" i="2"/>
  <c r="B321" i="2"/>
  <c r="B353" i="2"/>
  <c r="B572" i="2"/>
  <c r="B858" i="2"/>
  <c r="B400" i="2"/>
  <c r="B451" i="2"/>
  <c r="B520" i="2"/>
  <c r="B977" i="2"/>
  <c r="B129" i="2"/>
  <c r="B421" i="2"/>
  <c r="B274" i="2"/>
  <c r="B233" i="2"/>
  <c r="B203" i="2"/>
  <c r="B667" i="2"/>
  <c r="B992" i="2"/>
  <c r="B377" i="2"/>
  <c r="B513" i="2"/>
  <c r="B885" i="2"/>
  <c r="B641" i="2"/>
  <c r="B94" i="2"/>
  <c r="B340" i="2"/>
  <c r="B281" i="2"/>
  <c r="B462" i="2"/>
  <c r="B269" i="2"/>
  <c r="B908" i="2"/>
  <c r="B753" i="2"/>
  <c r="B538" i="2"/>
  <c r="B903" i="2"/>
  <c r="B800" i="2"/>
  <c r="B767" i="2"/>
  <c r="B178" i="2"/>
  <c r="B701" i="2"/>
  <c r="B558" i="2"/>
  <c r="B32" i="2"/>
  <c r="B569" i="2"/>
  <c r="B64" i="2"/>
  <c r="B248" i="2"/>
  <c r="B982" i="2"/>
  <c r="B35" i="2"/>
  <c r="B20" i="2"/>
  <c r="B58" i="2"/>
  <c r="B500" i="2"/>
  <c r="B259" i="2"/>
  <c r="B10" i="2"/>
  <c r="B188" i="2"/>
  <c r="B560" i="2"/>
  <c r="B56" i="2"/>
  <c r="B348" i="2"/>
  <c r="B806" i="2"/>
  <c r="B696" i="2"/>
  <c r="B894" i="2"/>
  <c r="B474" i="2"/>
  <c r="B554" i="2"/>
  <c r="B952" i="2"/>
  <c r="B230" i="2"/>
  <c r="B410" i="2"/>
  <c r="B834" i="2"/>
  <c r="B789" i="2"/>
  <c r="B103" i="2"/>
  <c r="B425" i="2"/>
  <c r="B678" i="2"/>
  <c r="B912" i="2"/>
  <c r="B300" i="2"/>
  <c r="B363" i="2"/>
  <c r="B587" i="2"/>
  <c r="B603" i="2"/>
  <c r="B578" i="2"/>
  <c r="B943" i="2"/>
  <c r="B745" i="2"/>
  <c r="B791" i="2"/>
  <c r="B424" i="2"/>
  <c r="B22" i="2"/>
  <c r="B940" i="2"/>
  <c r="B198" i="2"/>
  <c r="B165" i="2"/>
  <c r="B755" i="2"/>
  <c r="B786" i="2"/>
  <c r="B442" i="2"/>
  <c r="B175" i="2"/>
  <c r="B818" i="2"/>
  <c r="B445" i="2"/>
  <c r="B787" i="2"/>
  <c r="B499" i="2"/>
  <c r="B910" i="2"/>
  <c r="B220" i="2"/>
  <c r="B717" i="2"/>
  <c r="B939" i="2"/>
  <c r="B920" i="2"/>
  <c r="B347" i="2"/>
  <c r="B999" i="2"/>
  <c r="B727" i="2"/>
  <c r="B757" i="2"/>
  <c r="B631" i="2"/>
  <c r="B447" i="2"/>
  <c r="B196" i="2"/>
  <c r="B286" i="2"/>
  <c r="B980" i="2"/>
  <c r="B713" i="2"/>
  <c r="B804" i="2"/>
  <c r="B628" i="2"/>
  <c r="B635" i="2"/>
  <c r="B37" i="2"/>
  <c r="B201" i="2"/>
  <c r="B546" i="2"/>
  <c r="B453" i="2"/>
  <c r="B974" i="2"/>
  <c r="B369" i="2"/>
  <c r="B896" i="2"/>
  <c r="B783" i="2"/>
  <c r="B515" i="2"/>
  <c r="B730" i="2"/>
  <c r="B746" i="2"/>
  <c r="B127" i="2"/>
  <c r="B489" i="2"/>
  <c r="B393" i="2"/>
  <c r="B443" i="2"/>
  <c r="B350" i="2"/>
  <c r="B466" i="2"/>
  <c r="B836" i="2"/>
  <c r="B901" i="2"/>
  <c r="B742" i="2"/>
  <c r="B506" i="2"/>
  <c r="B875" i="2"/>
  <c r="B906" i="2"/>
  <c r="B114" i="2"/>
  <c r="B619" i="2"/>
  <c r="B386" i="2"/>
  <c r="B844" i="2"/>
  <c r="B84" i="2"/>
  <c r="B847" i="2"/>
  <c r="B33" i="2"/>
  <c r="B849" i="2"/>
  <c r="B376" i="2"/>
  <c r="B577" i="2"/>
  <c r="B276" i="2"/>
  <c r="B355" i="2"/>
  <c r="B487" i="2"/>
  <c r="B593" i="2"/>
  <c r="B41" i="2"/>
  <c r="B313" i="2"/>
  <c r="B571" i="2"/>
  <c r="B326" i="2"/>
  <c r="B945" i="2"/>
  <c r="B304" i="2"/>
  <c r="B964" i="2"/>
  <c r="B79" i="2"/>
  <c r="B330" i="2"/>
  <c r="B417" i="2"/>
  <c r="B987" i="2"/>
  <c r="B334" i="2"/>
  <c r="B548" i="2"/>
  <c r="B290" i="2"/>
  <c r="B602" i="2"/>
  <c r="B384" i="2"/>
  <c r="B592" i="2"/>
  <c r="B961" i="2"/>
  <c r="B756" i="2"/>
  <c r="B357" i="2"/>
  <c r="B677" i="2"/>
  <c r="B636" i="2"/>
  <c r="B40" i="2"/>
  <c r="B157" i="2"/>
  <c r="B225" i="2"/>
  <c r="B311" i="2"/>
  <c r="B897" i="2"/>
  <c r="B143" i="2"/>
  <c r="B34" i="2"/>
  <c r="B152" i="2"/>
  <c r="B935" i="2"/>
  <c r="B655" i="2"/>
  <c r="B481" i="2"/>
  <c r="B429" i="2"/>
  <c r="B664" i="2"/>
  <c r="B123" i="2"/>
  <c r="B909" i="2"/>
  <c r="B857" i="2"/>
  <c r="B942" i="2"/>
  <c r="B337" i="2"/>
  <c r="B404" i="2"/>
  <c r="B732" i="2"/>
  <c r="B183" i="2"/>
  <c r="B933" i="2"/>
  <c r="B262" i="2"/>
  <c r="B637" i="2"/>
  <c r="B283" i="2"/>
  <c r="B788" i="2"/>
  <c r="B959" i="2"/>
  <c r="A883" i="2"/>
  <c r="S241" i="2" l="1"/>
  <c r="S743" i="2"/>
  <c r="S299" i="2"/>
  <c r="S722" i="2"/>
  <c r="S936" i="2"/>
  <c r="S700" i="2"/>
  <c r="S570" i="2"/>
  <c r="S815" i="2"/>
  <c r="S913" i="2"/>
  <c r="S276" i="2"/>
  <c r="S336" i="2"/>
  <c r="S898" i="2"/>
  <c r="S776" i="2"/>
  <c r="S528" i="2"/>
  <c r="S670" i="2"/>
  <c r="S637" i="2"/>
  <c r="S857" i="2"/>
  <c r="S152" i="2"/>
  <c r="S636" i="2"/>
  <c r="S290" i="2"/>
  <c r="S304" i="2"/>
  <c r="S355" i="2"/>
  <c r="S844" i="2"/>
  <c r="S901" i="2"/>
  <c r="S746" i="2"/>
  <c r="S546" i="2"/>
  <c r="S286" i="2"/>
  <c r="S920" i="2"/>
  <c r="S818" i="2"/>
  <c r="S22" i="2"/>
  <c r="S363" i="2"/>
  <c r="S410" i="2"/>
  <c r="S348" i="2"/>
  <c r="S20" i="2"/>
  <c r="S701" i="2"/>
  <c r="S269" i="2"/>
  <c r="S377" i="2"/>
  <c r="S977" i="2"/>
  <c r="S476" i="2"/>
  <c r="S253" i="2"/>
  <c r="S394" i="2"/>
  <c r="S317" i="2"/>
  <c r="S600" i="2"/>
  <c r="S323" i="2"/>
  <c r="S397" i="2"/>
  <c r="S209" i="2"/>
  <c r="S146" i="2"/>
  <c r="S914" i="2"/>
  <c r="S703" i="2"/>
  <c r="S652" i="2"/>
  <c r="S68" i="2"/>
  <c r="S556" i="2"/>
  <c r="S927" i="2"/>
  <c r="S867" i="2"/>
  <c r="S139" i="2"/>
  <c r="S520" i="2"/>
  <c r="S347" i="2"/>
  <c r="S324" i="2"/>
  <c r="S367" i="2"/>
  <c r="S608" i="2"/>
  <c r="S948" i="2"/>
  <c r="S82" i="2"/>
  <c r="S561" i="2"/>
  <c r="S30" i="2"/>
  <c r="S874" i="2"/>
  <c r="S366" i="2"/>
  <c r="S837" i="2"/>
  <c r="S7" i="2"/>
  <c r="S16" i="2"/>
  <c r="S697" i="2"/>
  <c r="S527" i="2"/>
  <c r="S38" i="2"/>
  <c r="S574" i="2"/>
  <c r="S145" i="2"/>
  <c r="S282" i="2"/>
  <c r="S192" i="2"/>
  <c r="S880" i="2"/>
  <c r="S242" i="2"/>
  <c r="S204" i="2"/>
  <c r="S345" i="2"/>
  <c r="S525" i="2"/>
  <c r="S160" i="2"/>
  <c r="S917" i="2"/>
  <c r="S656" i="2"/>
  <c r="S273" i="2"/>
  <c r="S777" i="2"/>
  <c r="S187" i="2"/>
  <c r="S904" i="2"/>
  <c r="S580" i="2"/>
  <c r="S523" i="2"/>
  <c r="S107" i="2"/>
  <c r="S579" i="2"/>
  <c r="S168" i="2"/>
  <c r="S598" i="2"/>
  <c r="S759" i="2"/>
  <c r="S42" i="2"/>
  <c r="S295" i="2"/>
  <c r="S163" i="2"/>
  <c r="S109" i="2"/>
  <c r="S270" i="2"/>
  <c r="S535" i="2"/>
  <c r="S824" i="2"/>
  <c r="S89" i="2"/>
  <c r="S748" i="2"/>
  <c r="S965" i="2"/>
  <c r="S680" i="2"/>
  <c r="S734" i="2"/>
  <c r="S370" i="2"/>
  <c r="S81" i="2"/>
  <c r="S617" i="2"/>
  <c r="S371" i="2"/>
  <c r="S521" i="2"/>
  <c r="S217" i="2"/>
  <c r="S437" i="2"/>
  <c r="S238" i="2"/>
  <c r="S971" i="2"/>
  <c r="S293" i="2"/>
  <c r="S328" i="2"/>
  <c r="S62" i="2"/>
  <c r="S769" i="2"/>
  <c r="S568" i="2"/>
  <c r="S563" i="2"/>
  <c r="S315" i="2"/>
  <c r="S232" i="2"/>
  <c r="S960" i="2"/>
  <c r="S333" i="2"/>
  <c r="S361" i="2"/>
  <c r="S706" i="2"/>
  <c r="S255" i="2"/>
  <c r="S526" i="2"/>
  <c r="S344" i="2"/>
  <c r="S688" i="2"/>
  <c r="S265" i="2"/>
  <c r="S497" i="2"/>
  <c r="S446" i="2"/>
  <c r="S310" i="2"/>
  <c r="S4" i="2"/>
  <c r="S147" i="2"/>
  <c r="S567" i="2"/>
  <c r="S275" i="2"/>
  <c r="S774" i="2"/>
  <c r="S316" i="2"/>
  <c r="S669" i="2"/>
  <c r="S548" i="2"/>
  <c r="S939" i="2"/>
  <c r="S424" i="2"/>
  <c r="S462" i="2"/>
  <c r="S799" i="2"/>
  <c r="S387" i="2"/>
  <c r="S933" i="2"/>
  <c r="S123" i="2"/>
  <c r="S143" i="2"/>
  <c r="S357" i="2"/>
  <c r="S334" i="2"/>
  <c r="S326" i="2"/>
  <c r="S577" i="2"/>
  <c r="S619" i="2"/>
  <c r="S466" i="2"/>
  <c r="S515" i="2"/>
  <c r="S37" i="2"/>
  <c r="S447" i="2"/>
  <c r="S717" i="2"/>
  <c r="S442" i="2"/>
  <c r="S791" i="2"/>
  <c r="S912" i="2"/>
  <c r="S952" i="2"/>
  <c r="S560" i="2"/>
  <c r="S982" i="2"/>
  <c r="S767" i="2"/>
  <c r="S281" i="2"/>
  <c r="S667" i="2"/>
  <c r="S451" i="2"/>
  <c r="S428" i="2"/>
  <c r="S735" i="2"/>
  <c r="S121" i="2"/>
  <c r="S890" i="2"/>
  <c r="S793" i="2"/>
  <c r="S478" i="2"/>
  <c r="S663" i="2"/>
  <c r="S908" i="2"/>
  <c r="S732" i="2"/>
  <c r="S429" i="2"/>
  <c r="S311" i="2"/>
  <c r="S961" i="2"/>
  <c r="S417" i="2"/>
  <c r="S313" i="2"/>
  <c r="S849" i="2"/>
  <c r="S906" i="2"/>
  <c r="S443" i="2"/>
  <c r="S896" i="2"/>
  <c r="S628" i="2"/>
  <c r="S757" i="2"/>
  <c r="S910" i="2"/>
  <c r="S755" i="2"/>
  <c r="S943" i="2"/>
  <c r="S425" i="2"/>
  <c r="S474" i="2"/>
  <c r="S10" i="2"/>
  <c r="S64" i="2"/>
  <c r="S385" i="2"/>
  <c r="S606" i="2"/>
  <c r="S647" i="2"/>
  <c r="S43" i="2"/>
  <c r="S712" i="2"/>
  <c r="S389" i="2"/>
  <c r="S716" i="2"/>
  <c r="S200" i="2"/>
  <c r="S426" i="2"/>
  <c r="S532" i="2"/>
  <c r="S480" i="2"/>
  <c r="S511" i="2"/>
  <c r="S747" i="2"/>
  <c r="S792" i="2"/>
  <c r="S888" i="2"/>
  <c r="S879" i="2"/>
  <c r="S825" i="2"/>
  <c r="S189" i="2"/>
  <c r="S539" i="2"/>
  <c r="S136" i="2"/>
  <c r="S415" i="2"/>
  <c r="S5" i="2"/>
  <c r="S639" i="2"/>
  <c r="S212" i="2"/>
  <c r="S687" i="2"/>
  <c r="S229" i="2"/>
  <c r="S935" i="2"/>
  <c r="S602" i="2"/>
  <c r="S453" i="2"/>
  <c r="S58" i="2"/>
  <c r="S692" i="2"/>
  <c r="S46" i="2"/>
  <c r="S877" i="2"/>
  <c r="S662" i="2"/>
  <c r="S870" i="2"/>
  <c r="S622" i="2"/>
  <c r="S60" i="2"/>
  <c r="S245" i="2"/>
  <c r="S407" i="2"/>
  <c r="S125" i="2"/>
  <c r="S69" i="2"/>
  <c r="S893" i="2"/>
  <c r="S131" i="2"/>
  <c r="S308" i="2"/>
  <c r="S931" i="2"/>
  <c r="S240" i="2"/>
  <c r="S148" i="2"/>
  <c r="S472" i="2"/>
  <c r="S105" i="2"/>
  <c r="S494" i="2"/>
  <c r="S963" i="2"/>
  <c r="S845" i="2"/>
  <c r="S65" i="2"/>
  <c r="S839" i="2"/>
  <c r="S728" i="2"/>
  <c r="S674" i="2"/>
  <c r="S770" i="2"/>
  <c r="S934" i="2"/>
  <c r="S291" i="2"/>
  <c r="S751" i="2"/>
  <c r="S133" i="2"/>
  <c r="S91" i="2"/>
  <c r="S856" i="2"/>
  <c r="S362" i="2"/>
  <c r="S36" i="2"/>
  <c r="S74" i="2"/>
  <c r="S495" i="2"/>
  <c r="S583" i="2"/>
  <c r="S882" i="2"/>
  <c r="S176" i="2"/>
  <c r="S390" i="2"/>
  <c r="S75" i="2"/>
  <c r="S827" i="2"/>
  <c r="S522" i="2"/>
  <c r="S44" i="2"/>
  <c r="S106" i="2"/>
  <c r="S547" i="2"/>
  <c r="S482" i="2"/>
  <c r="S434" i="2"/>
  <c r="S949" i="2"/>
  <c r="S72" i="2"/>
  <c r="S257" i="2"/>
  <c r="S675" i="2"/>
  <c r="S150" i="2"/>
  <c r="S402" i="2"/>
  <c r="S997" i="2"/>
  <c r="S184" i="2"/>
  <c r="S970" i="2"/>
  <c r="S9" i="2"/>
  <c r="S490" i="2"/>
  <c r="S555" i="2"/>
  <c r="S772" i="2"/>
  <c r="S878" i="2"/>
  <c r="S318" i="2"/>
  <c r="S23" i="2"/>
  <c r="S365" i="2"/>
  <c r="S524" i="2"/>
  <c r="S918" i="2"/>
  <c r="S483" i="2"/>
  <c r="S479" i="2"/>
  <c r="S956" i="2"/>
  <c r="S781" i="2"/>
  <c r="S989" i="2"/>
  <c r="S821" i="2"/>
  <c r="S978" i="2"/>
  <c r="S151" i="2"/>
  <c r="S338" i="2"/>
  <c r="S923" i="2"/>
  <c r="S832" i="2"/>
  <c r="S544" i="2"/>
  <c r="S314" i="2"/>
  <c r="S765" i="2"/>
  <c r="S633" i="2"/>
  <c r="S183" i="2"/>
  <c r="S664" i="2"/>
  <c r="S897" i="2"/>
  <c r="S756" i="2"/>
  <c r="S987" i="2"/>
  <c r="S571" i="2"/>
  <c r="S376" i="2"/>
  <c r="S114" i="2"/>
  <c r="S350" i="2"/>
  <c r="S783" i="2"/>
  <c r="S635" i="2"/>
  <c r="S631" i="2"/>
  <c r="S220" i="2"/>
  <c r="S786" i="2"/>
  <c r="S745" i="2"/>
  <c r="S678" i="2"/>
  <c r="S554" i="2"/>
  <c r="S188" i="2"/>
  <c r="S248" i="2"/>
  <c r="S800" i="2"/>
  <c r="S340" i="2"/>
  <c r="S203" i="2"/>
  <c r="S400" i="2"/>
  <c r="S297" i="2"/>
  <c r="S405" i="2"/>
  <c r="S391" i="2"/>
  <c r="S601" i="2"/>
  <c r="S52" i="2"/>
  <c r="S685" i="2"/>
  <c r="S620" i="2"/>
  <c r="S610" i="2"/>
  <c r="S354" i="2"/>
  <c r="S228" i="2"/>
  <c r="S695" i="2"/>
  <c r="S202" i="2"/>
  <c r="S159" i="2"/>
  <c r="S325" i="2"/>
  <c r="S264" i="2"/>
  <c r="S307" i="2"/>
  <c r="S161" i="2"/>
  <c r="S430" i="2"/>
  <c r="S715" i="2"/>
  <c r="S349" i="2"/>
  <c r="S645" i="2"/>
  <c r="S925" i="2"/>
  <c r="S966" i="2"/>
  <c r="S50" i="2"/>
  <c r="S28" i="2"/>
  <c r="S49" i="2"/>
  <c r="S95" i="2"/>
  <c r="S251" i="2"/>
  <c r="S983" i="2"/>
  <c r="S197" i="2"/>
  <c r="S112" i="2"/>
  <c r="S959" i="2"/>
  <c r="S404" i="2"/>
  <c r="S481" i="2"/>
  <c r="S225" i="2"/>
  <c r="S592" i="2"/>
  <c r="S330" i="2"/>
  <c r="S41" i="2"/>
  <c r="S33" i="2"/>
  <c r="S875" i="2"/>
  <c r="S393" i="2"/>
  <c r="S369" i="2"/>
  <c r="S804" i="2"/>
  <c r="S727" i="2"/>
  <c r="S499" i="2"/>
  <c r="S165" i="2"/>
  <c r="S578" i="2"/>
  <c r="S103" i="2"/>
  <c r="S894" i="2"/>
  <c r="S259" i="2"/>
  <c r="S569" i="2"/>
  <c r="S538" i="2"/>
  <c r="S641" i="2"/>
  <c r="S274" i="2"/>
  <c r="S572" i="2"/>
  <c r="S71" i="2"/>
  <c r="S380" i="2"/>
  <c r="S795" i="2"/>
  <c r="S502" i="2"/>
  <c r="S816" i="2"/>
  <c r="S726" i="2"/>
  <c r="S630" i="2"/>
  <c r="S604" i="2"/>
  <c r="S467" i="2"/>
  <c r="S768" i="2"/>
  <c r="S508" i="2"/>
  <c r="S130" i="2"/>
  <c r="S876" i="2"/>
  <c r="S796" i="2"/>
  <c r="S613" i="2"/>
  <c r="S549" i="2"/>
  <c r="S457" i="2"/>
  <c r="S128" i="2"/>
  <c r="S565" i="2"/>
  <c r="S817" i="2"/>
  <c r="S737" i="2"/>
  <c r="S632" i="2"/>
  <c r="S723" i="2"/>
  <c r="S803" i="2"/>
  <c r="S725" i="2"/>
  <c r="S788" i="2"/>
  <c r="S337" i="2"/>
  <c r="S655" i="2"/>
  <c r="S157" i="2"/>
  <c r="S384" i="2"/>
  <c r="S79" i="2"/>
  <c r="S593" i="2"/>
  <c r="S847" i="2"/>
  <c r="S506" i="2"/>
  <c r="S489" i="2"/>
  <c r="S974" i="2"/>
  <c r="S713" i="2"/>
  <c r="S999" i="2"/>
  <c r="S787" i="2"/>
  <c r="S198" i="2"/>
  <c r="S603" i="2"/>
  <c r="S789" i="2"/>
  <c r="S696" i="2"/>
  <c r="S500" i="2"/>
  <c r="S32" i="2"/>
  <c r="S753" i="2"/>
  <c r="S885" i="2"/>
  <c r="S421" i="2"/>
  <c r="S353" i="2"/>
  <c r="S854" i="2"/>
  <c r="S801" i="2"/>
  <c r="S231" i="2"/>
  <c r="S126" i="2"/>
  <c r="S559" i="2"/>
  <c r="S172" i="2"/>
  <c r="S503" i="2"/>
  <c r="S640" i="2"/>
  <c r="S170" i="2"/>
  <c r="S760" i="2"/>
  <c r="S766" i="2"/>
  <c r="S59" i="2"/>
  <c r="S864" i="2"/>
  <c r="S484" i="2"/>
  <c r="S967" i="2"/>
  <c r="S110" i="2"/>
  <c r="S459" i="2"/>
  <c r="S941" i="2"/>
  <c r="S865" i="2"/>
  <c r="S802" i="2"/>
  <c r="S840" i="2"/>
  <c r="S557" i="2"/>
  <c r="S392" i="2"/>
  <c r="S676" i="2"/>
  <c r="S431" i="2"/>
  <c r="S625" i="2"/>
  <c r="S461" i="2"/>
  <c r="S659" i="2"/>
  <c r="S471" i="2"/>
  <c r="S134" i="2"/>
  <c r="S378" i="2"/>
  <c r="S611" i="2"/>
  <c r="S235" i="2"/>
  <c r="S61" i="2"/>
  <c r="S957" i="2"/>
  <c r="S53" i="2"/>
  <c r="S924" i="2"/>
  <c r="S782" i="2"/>
  <c r="S283" i="2"/>
  <c r="S942" i="2"/>
  <c r="S40" i="2"/>
  <c r="S964" i="2"/>
  <c r="S487" i="2"/>
  <c r="S84" i="2"/>
  <c r="S742" i="2"/>
  <c r="S127" i="2"/>
  <c r="S980" i="2"/>
  <c r="S445" i="2"/>
  <c r="S940" i="2"/>
  <c r="S587" i="2"/>
  <c r="S834" i="2"/>
  <c r="S806" i="2"/>
  <c r="S558" i="2"/>
  <c r="S513" i="2"/>
  <c r="S129" i="2"/>
  <c r="S321" i="2"/>
  <c r="S740" i="2"/>
  <c r="S138" i="2"/>
  <c r="S710" i="2"/>
  <c r="S986" i="2"/>
  <c r="S761" i="2"/>
  <c r="S531" i="2"/>
  <c r="S177" i="2"/>
  <c r="S591" i="2"/>
  <c r="S47" i="2"/>
  <c r="S881" i="2"/>
  <c r="S249" i="2"/>
  <c r="S301" i="2"/>
  <c r="S305" i="2"/>
  <c r="S262" i="2"/>
  <c r="S909" i="2"/>
  <c r="S34" i="2"/>
  <c r="S677" i="2"/>
  <c r="S945" i="2"/>
  <c r="S386" i="2"/>
  <c r="S836" i="2"/>
  <c r="S730" i="2"/>
  <c r="S201" i="2"/>
  <c r="S196" i="2"/>
  <c r="S175" i="2"/>
  <c r="S300" i="2"/>
  <c r="S230" i="2"/>
  <c r="S56" i="2"/>
  <c r="S35" i="2"/>
  <c r="S178" i="2"/>
  <c r="S992" i="2"/>
  <c r="S638" i="2"/>
  <c r="S358" i="2"/>
  <c r="S182" i="2"/>
  <c r="S862" i="2"/>
  <c r="S930" i="2"/>
  <c r="S542" i="2"/>
  <c r="S991" i="2"/>
  <c r="S364" i="2"/>
  <c r="S709" i="2"/>
  <c r="S13" i="2"/>
  <c r="S294" i="2"/>
  <c r="S2" i="2"/>
  <c r="S720" i="2"/>
  <c r="S859" i="2"/>
  <c r="S588" i="2"/>
  <c r="S950" i="2"/>
  <c r="S468" i="2"/>
  <c r="S258" i="2"/>
  <c r="S540" i="2"/>
  <c r="S830" i="2"/>
  <c r="S375" i="2"/>
  <c r="S223" i="2"/>
  <c r="S346" i="2"/>
  <c r="S485" i="2"/>
  <c r="S399" i="2"/>
  <c r="S889" i="2"/>
  <c r="S395" i="2"/>
  <c r="S790" i="2"/>
  <c r="S98" i="2"/>
  <c r="S455" i="2"/>
  <c r="S517" i="2"/>
  <c r="S272" i="2"/>
  <c r="S719" i="2"/>
  <c r="S57" i="2"/>
  <c r="S239" i="2"/>
  <c r="S180" i="2"/>
  <c r="S104" i="2"/>
  <c r="S584" i="2"/>
  <c r="S153" i="2"/>
  <c r="S944" i="2"/>
  <c r="S627" i="2"/>
  <c r="S352" i="2"/>
  <c r="S955" i="2"/>
  <c r="S902" i="2"/>
  <c r="S73" i="2"/>
  <c r="S90" i="2"/>
  <c r="S846" i="2"/>
  <c r="S597" i="2"/>
  <c r="S644" i="2"/>
  <c r="S814" i="2"/>
  <c r="S984" i="2"/>
  <c r="S905" i="2"/>
  <c r="S968" i="2"/>
  <c r="S665" i="2"/>
  <c r="S899" i="2"/>
  <c r="S595" i="2"/>
  <c r="S382" i="2"/>
  <c r="S921" i="2"/>
  <c r="S339" i="2"/>
  <c r="S872" i="2"/>
  <c r="S775" i="2"/>
  <c r="S436" i="2"/>
  <c r="S739" i="2"/>
  <c r="S661" i="2"/>
  <c r="S67" i="2"/>
  <c r="S562" i="2"/>
  <c r="S501" i="2"/>
  <c r="S398" i="2"/>
  <c r="S892" i="2"/>
  <c r="S884" i="2"/>
  <c r="S435" i="2"/>
  <c r="S31" i="2"/>
  <c r="S691" i="2"/>
  <c r="S843" i="2"/>
  <c r="S284" i="2"/>
  <c r="S174" i="2"/>
  <c r="S784" i="2"/>
  <c r="S658" i="2"/>
  <c r="S199" i="2"/>
  <c r="S507" i="2"/>
  <c r="S219" i="2"/>
  <c r="S97" i="2"/>
  <c r="S271" i="2"/>
  <c r="S167" i="2"/>
  <c r="S359" i="2"/>
  <c r="S278" i="2"/>
  <c r="S285" i="2"/>
  <c r="S341" i="2"/>
  <c r="S470" i="2"/>
  <c r="S25" i="2"/>
  <c r="S820" i="2"/>
  <c r="S80" i="2"/>
  <c r="S416" i="2"/>
  <c r="S573" i="2"/>
  <c r="S813" i="2"/>
  <c r="S173" i="2"/>
  <c r="S835" i="2"/>
  <c r="S810" i="2"/>
  <c r="S812" i="2"/>
  <c r="S868" i="2"/>
  <c r="S653" i="2"/>
  <c r="S516" i="2"/>
  <c r="S981" i="2"/>
  <c r="S267" i="2"/>
  <c r="S886" i="2"/>
  <c r="S861" i="2"/>
  <c r="S672" i="2"/>
  <c r="S614" i="2"/>
  <c r="S855" i="2"/>
  <c r="S686" i="2"/>
  <c r="S374" i="2"/>
  <c r="S388" i="2"/>
  <c r="S312" i="2"/>
  <c r="S576" i="2"/>
  <c r="S438" i="2"/>
  <c r="S519" i="2"/>
  <c r="S916" i="2"/>
  <c r="S327" i="2"/>
  <c r="S441" i="2"/>
  <c r="S852" i="2"/>
  <c r="S191" i="2"/>
  <c r="S221" i="2"/>
  <c r="S86" i="2"/>
  <c r="S432" i="2"/>
  <c r="S937" i="2"/>
  <c r="S6" i="2"/>
  <c r="S848" i="2"/>
  <c r="S296" i="2"/>
  <c r="S372" i="2"/>
  <c r="S141" i="2"/>
  <c r="S117" i="2"/>
  <c r="S819" i="2"/>
  <c r="S550" i="2"/>
  <c r="S236" i="2"/>
  <c r="S85" i="2"/>
  <c r="S122" i="2"/>
  <c r="S616" i="2"/>
  <c r="S895" i="2"/>
  <c r="S149" i="2"/>
  <c r="S211" i="2"/>
  <c r="S190" i="2"/>
  <c r="S738" i="2"/>
  <c r="S66" i="2"/>
  <c r="S51" i="2"/>
  <c r="S797" i="2"/>
  <c r="S903" i="2"/>
  <c r="S94" i="2"/>
  <c r="S233" i="2"/>
  <c r="S858" i="2"/>
  <c r="S409" i="2"/>
  <c r="S440" i="2"/>
  <c r="S946" i="2"/>
  <c r="S668" i="2"/>
  <c r="S586" i="2"/>
  <c r="S869" i="2"/>
  <c r="S512" i="2"/>
  <c r="S193" i="2"/>
  <c r="S537" i="2"/>
  <c r="S850" i="2"/>
  <c r="S261" i="2"/>
  <c r="S651" i="2"/>
  <c r="S590" i="2"/>
  <c r="S24" i="2"/>
  <c r="S853" i="2"/>
  <c r="S496" i="2"/>
  <c r="S45" i="2"/>
  <c r="S996" i="2"/>
  <c r="S205" i="2"/>
  <c r="S736" i="2"/>
  <c r="S536" i="2"/>
  <c r="S456" i="2"/>
  <c r="S866" i="2"/>
  <c r="S206" i="2"/>
  <c r="S534" i="2"/>
  <c r="S671" i="2"/>
  <c r="S181" i="2"/>
  <c r="S289" i="2"/>
  <c r="S319" i="2"/>
  <c r="S721" i="2"/>
  <c r="S222" i="2"/>
  <c r="S741" i="2"/>
  <c r="S994" i="2"/>
  <c r="S841" i="2"/>
  <c r="S985" i="2"/>
  <c r="S708" i="2"/>
  <c r="S822" i="2"/>
  <c r="S433" i="2"/>
  <c r="S244" i="2"/>
  <c r="S207" i="2"/>
  <c r="S309" i="2"/>
  <c r="S351" i="2"/>
  <c r="S529" i="2"/>
  <c r="S226" i="2"/>
  <c r="S373" i="2"/>
  <c r="S464" i="2"/>
  <c r="S356" i="2"/>
  <c r="S448" i="2"/>
  <c r="S70" i="2"/>
  <c r="S654" i="2"/>
  <c r="S609" i="2"/>
  <c r="S642" i="2"/>
  <c r="S530" i="2"/>
  <c r="S99" i="2"/>
  <c r="S179" i="2"/>
  <c r="S650" i="2"/>
  <c r="S758" i="2"/>
  <c r="S694" i="2"/>
  <c r="S322" i="2"/>
  <c r="S545" i="2"/>
  <c r="S826" i="2"/>
  <c r="S452" i="2"/>
  <c r="S298" i="2"/>
  <c r="S752" i="2"/>
  <c r="S972" i="2"/>
  <c r="S947" i="2"/>
  <c r="S851" i="2"/>
  <c r="S156" i="2"/>
  <c r="S260" i="2"/>
  <c r="S492" i="2"/>
  <c r="S155" i="2"/>
  <c r="S900" i="2"/>
  <c r="S214" i="2"/>
  <c r="S116" i="2"/>
  <c r="S629" i="2"/>
  <c r="S887" i="2"/>
  <c r="S237" i="2"/>
  <c r="S998" i="2"/>
  <c r="S142" i="2"/>
  <c r="S682" i="2"/>
  <c r="S420" i="2"/>
  <c r="S838" i="2"/>
  <c r="S605" i="2"/>
  <c r="S254" i="2"/>
  <c r="S582" i="2"/>
  <c r="S831" i="2"/>
  <c r="S422" i="2"/>
  <c r="S302" i="2"/>
  <c r="S938" i="2"/>
  <c r="S465" i="2"/>
  <c r="S120" i="2"/>
  <c r="S498" i="2"/>
  <c r="S863" i="2"/>
  <c r="S711" i="2"/>
  <c r="S132" i="2"/>
  <c r="S911" i="2"/>
  <c r="S871" i="2"/>
  <c r="S794" i="2"/>
  <c r="S564" i="2"/>
  <c r="S342" i="2"/>
  <c r="S993" i="2"/>
  <c r="S368" i="2"/>
  <c r="S15" i="2"/>
  <c r="S919" i="2"/>
  <c r="S164" i="2"/>
  <c r="S702" i="2"/>
  <c r="S331" i="2"/>
  <c r="S615" i="2"/>
  <c r="S860" i="2"/>
  <c r="S263" i="2"/>
  <c r="S306" i="2"/>
  <c r="S144" i="2"/>
  <c r="S612" i="2"/>
  <c r="S411" i="2"/>
  <c r="S279" i="2"/>
  <c r="S473" i="2"/>
  <c r="S915" i="2"/>
  <c r="S995" i="2"/>
  <c r="S504" i="2"/>
  <c r="S449" i="2"/>
  <c r="S599" i="2"/>
  <c r="S493" i="2"/>
  <c r="S113" i="2"/>
  <c r="S158" i="2"/>
  <c r="S268" i="2"/>
  <c r="S491" i="2"/>
  <c r="S724" i="2"/>
  <c r="S216" i="2"/>
  <c r="S762" i="2"/>
  <c r="S458" i="2"/>
  <c r="S505" i="2"/>
  <c r="S195" i="2"/>
  <c r="S21" i="2"/>
  <c r="S823" i="2"/>
  <c r="S929" i="2"/>
  <c r="S329" i="2"/>
  <c r="S589" i="2"/>
  <c r="S779" i="2"/>
  <c r="S618" i="2"/>
  <c r="S763" i="2"/>
  <c r="S247" i="2"/>
  <c r="S486" i="2"/>
  <c r="S379" i="2"/>
  <c r="S27" i="2"/>
  <c r="S514" i="2"/>
  <c r="S54" i="2"/>
  <c r="S169" i="2"/>
  <c r="S154" i="2"/>
  <c r="S541" i="2"/>
  <c r="S660" i="2"/>
  <c r="S646" i="2"/>
  <c r="S96" i="2"/>
  <c r="S928" i="2"/>
  <c r="S596" i="2"/>
  <c r="S266" i="2"/>
  <c r="S689" i="2"/>
  <c r="S828" i="2"/>
  <c r="S953" i="2"/>
  <c r="S553" i="2"/>
  <c r="S932" i="2"/>
  <c r="S623" i="2"/>
  <c r="S218" i="2"/>
  <c r="S332" i="2"/>
  <c r="S360" i="2"/>
  <c r="S83" i="2"/>
  <c r="S17" i="2"/>
  <c r="S673" i="2"/>
  <c r="S162" i="2"/>
  <c r="S842" i="2"/>
  <c r="S256" i="2"/>
  <c r="S444" i="2"/>
  <c r="S643" i="2"/>
  <c r="S649" i="2"/>
  <c r="S124" i="2"/>
  <c r="S383" i="2"/>
  <c r="S118" i="2"/>
  <c r="S988" i="2"/>
  <c r="S140" i="2"/>
  <c r="S973" i="2"/>
  <c r="S533" i="2"/>
  <c r="S3" i="2"/>
  <c r="S926" i="2"/>
  <c r="S699" i="2"/>
  <c r="S250" i="2"/>
  <c r="S718" i="2"/>
  <c r="S186" i="2"/>
  <c r="S88" i="2"/>
  <c r="S135" i="2"/>
  <c r="S11" i="2"/>
  <c r="S166" i="2"/>
  <c r="S87" i="2"/>
  <c r="S412" i="2"/>
  <c r="S102" i="2"/>
  <c r="S679" i="2"/>
  <c r="S773" i="2"/>
  <c r="S252" i="2"/>
  <c r="S243" i="2"/>
  <c r="S891" i="2"/>
  <c r="S698" i="2"/>
  <c r="S731" i="2"/>
  <c r="S439" i="2"/>
  <c r="S808" i="2"/>
  <c r="S292" i="2"/>
  <c r="S227" i="2"/>
  <c r="S780" i="2"/>
  <c r="S320" i="2"/>
  <c r="S744" i="2"/>
  <c r="S460" i="2"/>
  <c r="S951" i="2"/>
  <c r="S477" i="2"/>
  <c r="S78" i="2"/>
  <c r="S335" i="2"/>
  <c r="S805" i="2"/>
  <c r="S975" i="2"/>
  <c r="S684" i="2"/>
  <c r="S343" i="2"/>
  <c r="S450" i="2"/>
  <c r="S224" i="2"/>
  <c r="S277" i="2"/>
  <c r="S77" i="2"/>
  <c r="S119" i="2"/>
  <c r="S690" i="2"/>
  <c r="S423" i="2"/>
  <c r="S288" i="2"/>
  <c r="S666" i="2"/>
  <c r="S403" i="2"/>
  <c r="S714" i="2"/>
  <c r="S704" i="2"/>
  <c r="S543" i="2"/>
  <c r="S408" i="2"/>
  <c r="S954" i="2"/>
  <c r="S552" i="2"/>
  <c r="S648" i="2"/>
  <c r="S811" i="2"/>
  <c r="S12" i="2"/>
  <c r="S750" i="2"/>
  <c r="S63" i="2"/>
  <c r="S76" i="2"/>
  <c r="S518" i="2"/>
  <c r="S771" i="2"/>
  <c r="S427" i="2"/>
  <c r="S246" i="2"/>
  <c r="S809" i="2"/>
  <c r="S509" i="2"/>
  <c r="S833" i="2"/>
  <c r="S100" i="2"/>
  <c r="S634" i="2"/>
  <c r="S115" i="2"/>
  <c r="S381" i="2"/>
  <c r="S19" i="2"/>
  <c r="S48" i="2"/>
  <c r="S683" i="2"/>
  <c r="S585" i="2"/>
  <c r="S707" i="2"/>
  <c r="S621" i="2"/>
  <c r="S1000" i="2"/>
  <c r="S101" i="2"/>
  <c r="S171" i="2"/>
  <c r="S958" i="2"/>
  <c r="S979" i="2"/>
  <c r="S624" i="2"/>
  <c r="S729" i="2"/>
  <c r="S414" i="2"/>
  <c r="S185" i="2"/>
  <c r="S26" i="2"/>
  <c r="S210" i="2"/>
  <c r="S907" i="2"/>
  <c r="S681" i="2"/>
  <c r="S807" i="2"/>
  <c r="S785" i="2"/>
  <c r="S280" i="2"/>
  <c r="S137" i="2"/>
  <c r="S778" i="2"/>
  <c r="S922" i="2"/>
  <c r="S287" i="2"/>
  <c r="S406" i="2"/>
  <c r="S194" i="2"/>
  <c r="S14" i="2"/>
  <c r="S234" i="2"/>
  <c r="S829" i="2"/>
  <c r="S990" i="2"/>
  <c r="S976" i="2"/>
  <c r="S396" i="2"/>
  <c r="S488" i="2"/>
  <c r="S754" i="2"/>
  <c r="S594" i="2"/>
  <c r="S108" i="2"/>
  <c r="S29" i="2"/>
  <c r="S749" i="2"/>
  <c r="S55" i="2"/>
  <c r="S93" i="2"/>
  <c r="S575" i="2"/>
  <c r="S581" i="2"/>
  <c r="S92" i="2"/>
  <c r="S111" i="2"/>
  <c r="S419" i="2"/>
  <c r="S798" i="2"/>
  <c r="S693" i="2"/>
  <c r="S764" i="2"/>
  <c r="S303" i="2"/>
  <c r="S401" i="2"/>
  <c r="S39" i="2"/>
  <c r="S475" i="2"/>
  <c r="S510" i="2"/>
  <c r="S208" i="2"/>
  <c r="S705" i="2"/>
  <c r="S873" i="2"/>
  <c r="S657" i="2"/>
  <c r="S418" i="2"/>
  <c r="S883" i="2"/>
  <c r="S551" i="2"/>
  <c r="S213" i="2"/>
  <c r="S413" i="2"/>
  <c r="S962" i="2"/>
  <c r="S733" i="2"/>
  <c r="S215" i="2"/>
  <c r="S566" i="2"/>
  <c r="S969" i="2"/>
  <c r="S607" i="2"/>
  <c r="S8" i="2"/>
  <c r="S469" i="2"/>
  <c r="S454" i="2"/>
  <c r="S463" i="2"/>
  <c r="S18" i="2"/>
  <c r="S626" i="2"/>
  <c r="K726" i="2"/>
  <c r="K408" i="2"/>
  <c r="K16" i="2"/>
  <c r="K663" i="2"/>
  <c r="K438" i="2"/>
  <c r="K149" i="2"/>
  <c r="K51" i="2"/>
  <c r="K407" i="2"/>
  <c r="K978" i="2"/>
  <c r="K211" i="2"/>
  <c r="K722" i="2"/>
  <c r="K922" i="2"/>
  <c r="K799" i="2"/>
  <c r="K223" i="2"/>
  <c r="K982" i="2"/>
  <c r="K716" i="2"/>
  <c r="K538" i="2"/>
  <c r="K599" i="2"/>
  <c r="K250" i="2"/>
  <c r="K252" i="2"/>
  <c r="K82" i="2"/>
  <c r="K196" i="2"/>
  <c r="K930" i="2"/>
  <c r="K272" i="2"/>
  <c r="K428" i="2"/>
  <c r="K870" i="2"/>
  <c r="K308" i="2"/>
  <c r="K105" i="2"/>
  <c r="K674" i="2"/>
  <c r="K74" i="2"/>
  <c r="K949" i="2"/>
  <c r="K365" i="2"/>
  <c r="K177" i="2"/>
  <c r="K97" i="2"/>
  <c r="K738" i="2"/>
  <c r="K233" i="2"/>
  <c r="K850" i="2"/>
  <c r="K456" i="2"/>
  <c r="K433" i="2"/>
  <c r="K532" i="2"/>
  <c r="K826" i="2"/>
  <c r="K683" i="2"/>
  <c r="K225" i="2"/>
  <c r="K71" i="2"/>
  <c r="K929" i="2"/>
  <c r="K603" i="2"/>
  <c r="K698" i="2"/>
  <c r="K340" i="2"/>
  <c r="K313" i="2"/>
  <c r="K906" i="2"/>
  <c r="K10" i="2"/>
  <c r="K903" i="2"/>
  <c r="K946" i="2"/>
  <c r="K24" i="2"/>
  <c r="K647" i="2"/>
  <c r="K866" i="2"/>
  <c r="K671" i="2"/>
  <c r="K654" i="2"/>
  <c r="K299" i="2"/>
  <c r="K99" i="2"/>
  <c r="K528" i="2"/>
  <c r="K686" i="2"/>
  <c r="K103" i="2"/>
  <c r="K467" i="2"/>
  <c r="K457" i="2"/>
  <c r="K682" i="2"/>
  <c r="K820" i="2"/>
  <c r="K157" i="2"/>
  <c r="K676" i="2"/>
  <c r="K431" i="2"/>
  <c r="K611" i="2"/>
  <c r="K957" i="2"/>
  <c r="K618" i="2"/>
  <c r="K660" i="2"/>
  <c r="K646" i="2"/>
  <c r="K162" i="2"/>
  <c r="K533" i="2"/>
  <c r="K412" i="2"/>
  <c r="K678" i="2"/>
  <c r="K391" i="2"/>
  <c r="K278" i="2"/>
  <c r="K812" i="2"/>
  <c r="K84" i="2"/>
  <c r="K940" i="2"/>
  <c r="K249" i="2"/>
  <c r="K320" i="2"/>
  <c r="K744" i="2"/>
  <c r="K403" i="2"/>
  <c r="K704" i="2"/>
  <c r="K12" i="2"/>
  <c r="K171" i="2"/>
  <c r="K624" i="2"/>
  <c r="K907" i="2"/>
  <c r="K287" i="2"/>
  <c r="K783" i="2"/>
  <c r="K325" i="2"/>
  <c r="K430" i="2"/>
  <c r="K844" i="2"/>
  <c r="K818" i="2"/>
  <c r="K38" i="2"/>
  <c r="K282" i="2"/>
  <c r="K168" i="2"/>
  <c r="K109" i="2"/>
  <c r="K270" i="2"/>
  <c r="K688" i="2"/>
  <c r="K147" i="2"/>
  <c r="K354" i="2"/>
  <c r="K810" i="2"/>
  <c r="K939" i="2"/>
  <c r="K424" i="2"/>
  <c r="K462" i="2"/>
  <c r="K358" i="2"/>
  <c r="K709" i="2"/>
  <c r="K294" i="2"/>
  <c r="K588" i="2"/>
  <c r="K950" i="2"/>
  <c r="K846" i="2"/>
  <c r="K905" i="2"/>
  <c r="K5" i="2"/>
  <c r="K199" i="2"/>
  <c r="K212" i="2"/>
  <c r="K717" i="2"/>
  <c r="K952" i="2"/>
  <c r="K478" i="2"/>
  <c r="K125" i="2"/>
  <c r="K131" i="2"/>
  <c r="K494" i="2"/>
  <c r="K856" i="2"/>
  <c r="K176" i="2"/>
  <c r="K827" i="2"/>
  <c r="K434" i="2"/>
  <c r="K821" i="2"/>
  <c r="K544" i="2"/>
  <c r="K798" i="2"/>
  <c r="K873" i="2"/>
  <c r="K76" i="2"/>
  <c r="K807" i="2"/>
  <c r="K20" i="2"/>
  <c r="K160" i="2"/>
  <c r="K579" i="2"/>
  <c r="K328" i="2"/>
  <c r="K706" i="2"/>
  <c r="K445" i="2"/>
  <c r="K335" i="2"/>
  <c r="K288" i="2"/>
  <c r="K714" i="2"/>
  <c r="K958" i="2"/>
  <c r="K857" i="2"/>
  <c r="K476" i="2"/>
  <c r="K867" i="2"/>
  <c r="K366" i="2"/>
  <c r="K527" i="2"/>
  <c r="K769" i="2"/>
  <c r="K460" i="2"/>
  <c r="K684" i="2"/>
  <c r="K833" i="2"/>
  <c r="K48" i="2"/>
  <c r="K874" i="2"/>
  <c r="K345" i="2"/>
  <c r="K774" i="2"/>
  <c r="K321" i="2"/>
  <c r="K951" i="2"/>
  <c r="K901" i="2"/>
  <c r="K410" i="2"/>
  <c r="K394" i="2"/>
  <c r="K192" i="2"/>
  <c r="K656" i="2"/>
  <c r="K81" i="2"/>
  <c r="K232" i="2"/>
  <c r="K980" i="2"/>
  <c r="K301" i="2"/>
  <c r="K690" i="2"/>
  <c r="K666" i="2"/>
  <c r="K621" i="2"/>
  <c r="K636" i="2"/>
  <c r="K558" i="2"/>
  <c r="K138" i="2"/>
  <c r="K100" i="2"/>
  <c r="K701" i="2"/>
  <c r="K914" i="2"/>
  <c r="K367" i="2"/>
  <c r="K30" i="2"/>
  <c r="K145" i="2"/>
  <c r="K187" i="2"/>
  <c r="K62" i="2"/>
  <c r="K34" i="2"/>
  <c r="K548" i="2"/>
  <c r="K276" i="2"/>
  <c r="K836" i="2"/>
  <c r="K230" i="2"/>
  <c r="K56" i="2"/>
  <c r="K862" i="2"/>
  <c r="K542" i="2"/>
  <c r="K2" i="2"/>
  <c r="K336" i="2"/>
  <c r="K720" i="2"/>
  <c r="K239" i="2"/>
  <c r="K104" i="2"/>
  <c r="K584" i="2"/>
  <c r="K485" i="2"/>
  <c r="K90" i="2"/>
  <c r="K395" i="2"/>
  <c r="K790" i="2"/>
  <c r="K595" i="2"/>
  <c r="K382" i="2"/>
  <c r="K562" i="2"/>
  <c r="K398" i="2"/>
  <c r="K435" i="2"/>
  <c r="K719" i="2"/>
  <c r="K843" i="2"/>
  <c r="K108" i="2"/>
  <c r="K92" i="2"/>
  <c r="K933" i="2"/>
  <c r="K123" i="2"/>
  <c r="K334" i="2"/>
  <c r="K326" i="2"/>
  <c r="K619" i="2"/>
  <c r="K466" i="2"/>
  <c r="K37" i="2"/>
  <c r="K447" i="2"/>
  <c r="K281" i="2"/>
  <c r="K735" i="2"/>
  <c r="K121" i="2"/>
  <c r="K662" i="2"/>
  <c r="K60" i="2"/>
  <c r="K69" i="2"/>
  <c r="K240" i="2"/>
  <c r="K845" i="2"/>
  <c r="K91" i="2"/>
  <c r="K106" i="2"/>
  <c r="K257" i="2"/>
  <c r="K675" i="2"/>
  <c r="K402" i="2"/>
  <c r="K970" i="2"/>
  <c r="K483" i="2"/>
  <c r="K832" i="2"/>
  <c r="K765" i="2"/>
  <c r="K764" i="2"/>
  <c r="K705" i="2"/>
  <c r="K657" i="2"/>
  <c r="K183" i="2"/>
  <c r="K571" i="2"/>
  <c r="K786" i="2"/>
  <c r="K745" i="2"/>
  <c r="K203" i="2"/>
  <c r="K620" i="2"/>
  <c r="K610" i="2"/>
  <c r="K25" i="2"/>
  <c r="K173" i="2"/>
  <c r="K966" i="2"/>
  <c r="K886" i="2"/>
  <c r="K374" i="2"/>
  <c r="K49" i="2"/>
  <c r="K576" i="2"/>
  <c r="K916" i="2"/>
  <c r="K852" i="2"/>
  <c r="K197" i="2"/>
  <c r="K66" i="2"/>
  <c r="K797" i="2"/>
  <c r="K883" i="2"/>
  <c r="K600" i="2"/>
  <c r="K948" i="2"/>
  <c r="K429" i="2"/>
  <c r="K961" i="2"/>
  <c r="K443" i="2"/>
  <c r="K896" i="2"/>
  <c r="K755" i="2"/>
  <c r="K943" i="2"/>
  <c r="K869" i="2"/>
  <c r="K512" i="2"/>
  <c r="K590" i="2"/>
  <c r="K496" i="2"/>
  <c r="K45" i="2"/>
  <c r="K205" i="2"/>
  <c r="K241" i="2"/>
  <c r="K536" i="2"/>
  <c r="K389" i="2"/>
  <c r="K822" i="2"/>
  <c r="K448" i="2"/>
  <c r="K747" i="2"/>
  <c r="K888" i="2"/>
  <c r="K298" i="2"/>
  <c r="K851" i="2"/>
  <c r="K492" i="2"/>
  <c r="K815" i="2"/>
  <c r="K116" i="2"/>
  <c r="K592" i="2"/>
  <c r="K875" i="2"/>
  <c r="K369" i="2"/>
  <c r="K804" i="2"/>
  <c r="K727" i="2"/>
  <c r="K894" i="2"/>
  <c r="K508" i="2"/>
  <c r="K796" i="2"/>
  <c r="K549" i="2"/>
  <c r="K565" i="2"/>
  <c r="K737" i="2"/>
  <c r="K803" i="2"/>
  <c r="K237" i="2"/>
  <c r="K711" i="2"/>
  <c r="K911" i="2"/>
  <c r="K794" i="2"/>
  <c r="K331" i="2"/>
  <c r="K615" i="2"/>
  <c r="K612" i="2"/>
  <c r="K411" i="2"/>
  <c r="K724" i="2"/>
  <c r="K505" i="2"/>
  <c r="K195" i="2"/>
  <c r="K21" i="2"/>
  <c r="K962" i="2"/>
  <c r="K733" i="2"/>
  <c r="K454" i="2"/>
  <c r="K506" i="2"/>
  <c r="K974" i="2"/>
  <c r="K787" i="2"/>
  <c r="K789" i="2"/>
  <c r="K172" i="2"/>
  <c r="K760" i="2"/>
  <c r="K59" i="2"/>
  <c r="K471" i="2"/>
  <c r="K134" i="2"/>
  <c r="K378" i="2"/>
  <c r="K53" i="2"/>
  <c r="K169" i="2"/>
  <c r="K96" i="2"/>
  <c r="K596" i="2"/>
  <c r="K266" i="2"/>
  <c r="K932" i="2"/>
  <c r="K256" i="2"/>
  <c r="K643" i="2"/>
  <c r="K118" i="2"/>
  <c r="K988" i="2"/>
  <c r="K87" i="2"/>
  <c r="K773" i="2"/>
  <c r="K481" i="2"/>
  <c r="K41" i="2"/>
  <c r="K499" i="2"/>
  <c r="K259" i="2"/>
  <c r="K641" i="2"/>
  <c r="K380" i="2"/>
  <c r="K768" i="2"/>
  <c r="K613" i="2"/>
  <c r="K128" i="2"/>
  <c r="K632" i="2"/>
  <c r="K998" i="2"/>
  <c r="K831" i="2"/>
  <c r="K993" i="2"/>
  <c r="K788" i="2"/>
  <c r="K655" i="2"/>
  <c r="K79" i="2"/>
  <c r="K198" i="2"/>
  <c r="K500" i="2"/>
  <c r="K421" i="2"/>
  <c r="K801" i="2"/>
  <c r="K559" i="2"/>
  <c r="K170" i="2"/>
  <c r="K864" i="2"/>
  <c r="K110" i="2"/>
  <c r="K865" i="2"/>
  <c r="K392" i="2"/>
  <c r="K659" i="2"/>
  <c r="K924" i="2"/>
  <c r="K27" i="2"/>
  <c r="K154" i="2"/>
  <c r="K928" i="2"/>
  <c r="K689" i="2"/>
  <c r="K553" i="2"/>
  <c r="K623" i="2"/>
  <c r="K332" i="2"/>
  <c r="K673" i="2"/>
  <c r="K842" i="2"/>
  <c r="K444" i="2"/>
  <c r="K383" i="2"/>
  <c r="K140" i="2"/>
  <c r="K3" i="2"/>
  <c r="K166" i="2"/>
  <c r="K283" i="2"/>
  <c r="K942" i="2"/>
  <c r="K935" i="2"/>
  <c r="K602" i="2"/>
  <c r="K964" i="2"/>
  <c r="K487" i="2"/>
  <c r="K742" i="2"/>
  <c r="K127" i="2"/>
  <c r="K453" i="2"/>
  <c r="K347" i="2"/>
  <c r="K834" i="2"/>
  <c r="K806" i="2"/>
  <c r="K58" i="2"/>
  <c r="K908" i="2"/>
  <c r="K513" i="2"/>
  <c r="K129" i="2"/>
  <c r="K740" i="2"/>
  <c r="K692" i="2"/>
  <c r="K324" i="2"/>
  <c r="K986" i="2"/>
  <c r="K761" i="2"/>
  <c r="K531" i="2"/>
  <c r="K591" i="2"/>
  <c r="K46" i="2"/>
  <c r="K47" i="2"/>
  <c r="K877" i="2"/>
  <c r="K881" i="2"/>
  <c r="K305" i="2"/>
  <c r="K439" i="2"/>
  <c r="K808" i="2"/>
  <c r="K292" i="2"/>
  <c r="K227" i="2"/>
  <c r="K780" i="2"/>
  <c r="K477" i="2"/>
  <c r="K78" i="2"/>
  <c r="K805" i="2"/>
  <c r="K975" i="2"/>
  <c r="K343" i="2"/>
  <c r="K450" i="2"/>
  <c r="K224" i="2"/>
  <c r="K277" i="2"/>
  <c r="K40" i="2"/>
  <c r="K330" i="2"/>
  <c r="K165" i="2"/>
  <c r="K274" i="2"/>
  <c r="K795" i="2"/>
  <c r="K604" i="2"/>
  <c r="K130" i="2"/>
  <c r="K725" i="2"/>
  <c r="K838" i="2"/>
  <c r="K863" i="2"/>
  <c r="K188" i="2"/>
  <c r="K337" i="2"/>
  <c r="K384" i="2"/>
  <c r="K847" i="2"/>
  <c r="K696" i="2"/>
  <c r="K753" i="2"/>
  <c r="K353" i="2"/>
  <c r="K231" i="2"/>
  <c r="K503" i="2"/>
  <c r="K766" i="2"/>
  <c r="K484" i="2"/>
  <c r="K459" i="2"/>
  <c r="K802" i="2"/>
  <c r="K557" i="2"/>
  <c r="K625" i="2"/>
  <c r="K61" i="2"/>
  <c r="K782" i="2"/>
  <c r="K247" i="2"/>
  <c r="K486" i="2"/>
  <c r="K541" i="2"/>
  <c r="K953" i="2"/>
  <c r="K218" i="2"/>
  <c r="K83" i="2"/>
  <c r="K649" i="2"/>
  <c r="K186" i="2"/>
  <c r="K637" i="2"/>
  <c r="K152" i="2"/>
  <c r="K290" i="2"/>
  <c r="K304" i="2"/>
  <c r="K355" i="2"/>
  <c r="K746" i="2"/>
  <c r="K546" i="2"/>
  <c r="K920" i="2"/>
  <c r="K22" i="2"/>
  <c r="K348" i="2"/>
  <c r="K269" i="2"/>
  <c r="K977" i="2"/>
  <c r="K253" i="2"/>
  <c r="K317" i="2"/>
  <c r="K323" i="2"/>
  <c r="K209" i="2"/>
  <c r="K652" i="2"/>
  <c r="K68" i="2"/>
  <c r="K556" i="2"/>
  <c r="K927" i="2"/>
  <c r="K608" i="2"/>
  <c r="K7" i="2"/>
  <c r="K880" i="2"/>
  <c r="K273" i="2"/>
  <c r="K523" i="2"/>
  <c r="K404" i="2"/>
  <c r="K33" i="2"/>
  <c r="K578" i="2"/>
  <c r="K569" i="2"/>
  <c r="K572" i="2"/>
  <c r="K502" i="2"/>
  <c r="K630" i="2"/>
  <c r="K876" i="2"/>
  <c r="K817" i="2"/>
  <c r="K420" i="2"/>
  <c r="K605" i="2"/>
  <c r="K302" i="2"/>
  <c r="K664" i="2"/>
  <c r="K593" i="2"/>
  <c r="K489" i="2"/>
  <c r="K713" i="2"/>
  <c r="K999" i="2"/>
  <c r="K32" i="2"/>
  <c r="K885" i="2"/>
  <c r="K854" i="2"/>
  <c r="K126" i="2"/>
  <c r="K640" i="2"/>
  <c r="K967" i="2"/>
  <c r="K941" i="2"/>
  <c r="K840" i="2"/>
  <c r="K461" i="2"/>
  <c r="K235" i="2"/>
  <c r="K779" i="2"/>
  <c r="K763" i="2"/>
  <c r="K379" i="2"/>
  <c r="K54" i="2"/>
  <c r="K828" i="2"/>
  <c r="K360" i="2"/>
  <c r="K17" i="2"/>
  <c r="K124" i="2"/>
  <c r="K973" i="2"/>
  <c r="K926" i="2"/>
  <c r="K135" i="2"/>
  <c r="K679" i="2"/>
  <c r="K891" i="2"/>
  <c r="K262" i="2"/>
  <c r="K909" i="2"/>
  <c r="K677" i="2"/>
  <c r="K945" i="2"/>
  <c r="K386" i="2"/>
  <c r="K730" i="2"/>
  <c r="K201" i="2"/>
  <c r="K175" i="2"/>
  <c r="K300" i="2"/>
  <c r="K35" i="2"/>
  <c r="K178" i="2"/>
  <c r="K992" i="2"/>
  <c r="K520" i="2"/>
  <c r="K638" i="2"/>
  <c r="K182" i="2"/>
  <c r="K825" i="2"/>
  <c r="K364" i="2"/>
  <c r="K13" i="2"/>
  <c r="K189" i="2"/>
  <c r="K859" i="2"/>
  <c r="K468" i="2"/>
  <c r="K258" i="2"/>
  <c r="K540" i="2"/>
  <c r="K387" i="2"/>
  <c r="K830" i="2"/>
  <c r="K57" i="2"/>
  <c r="K375" i="2"/>
  <c r="K180" i="2"/>
  <c r="K539" i="2"/>
  <c r="K153" i="2"/>
  <c r="K346" i="2"/>
  <c r="K944" i="2"/>
  <c r="K627" i="2"/>
  <c r="K352" i="2"/>
  <c r="K399" i="2"/>
  <c r="K955" i="2"/>
  <c r="K902" i="2"/>
  <c r="K898" i="2"/>
  <c r="K73" i="2"/>
  <c r="K889" i="2"/>
  <c r="K597" i="2"/>
  <c r="K644" i="2"/>
  <c r="K814" i="2"/>
  <c r="K984" i="2"/>
  <c r="K968" i="2"/>
  <c r="K136" i="2"/>
  <c r="K665" i="2"/>
  <c r="K899" i="2"/>
  <c r="K921" i="2"/>
  <c r="K98" i="2"/>
  <c r="K339" i="2"/>
  <c r="K776" i="2"/>
  <c r="K872" i="2"/>
  <c r="K775" i="2"/>
  <c r="K436" i="2"/>
  <c r="K739" i="2"/>
  <c r="K661" i="2"/>
  <c r="K455" i="2"/>
  <c r="K67" i="2"/>
  <c r="K517" i="2"/>
  <c r="K501" i="2"/>
  <c r="K892" i="2"/>
  <c r="K884" i="2"/>
  <c r="K31" i="2"/>
  <c r="K691" i="2"/>
  <c r="K284" i="2"/>
  <c r="K174" i="2"/>
  <c r="K415" i="2"/>
  <c r="K784" i="2"/>
  <c r="K658" i="2"/>
  <c r="K587" i="2"/>
  <c r="K991" i="2"/>
  <c r="K959" i="2"/>
  <c r="K393" i="2"/>
  <c r="K816" i="2"/>
  <c r="K723" i="2"/>
  <c r="K142" i="2"/>
  <c r="K254" i="2"/>
  <c r="K514" i="2"/>
  <c r="K143" i="2"/>
  <c r="K357" i="2"/>
  <c r="K577" i="2"/>
  <c r="K515" i="2"/>
  <c r="K442" i="2"/>
  <c r="K791" i="2"/>
  <c r="K912" i="2"/>
  <c r="K560" i="2"/>
  <c r="K767" i="2"/>
  <c r="K667" i="2"/>
  <c r="K451" i="2"/>
  <c r="K890" i="2"/>
  <c r="K793" i="2"/>
  <c r="K622" i="2"/>
  <c r="K245" i="2"/>
  <c r="K893" i="2"/>
  <c r="K931" i="2"/>
  <c r="K148" i="2"/>
  <c r="K472" i="2"/>
  <c r="K963" i="2"/>
  <c r="K65" i="2"/>
  <c r="K839" i="2"/>
  <c r="K728" i="2"/>
  <c r="K770" i="2"/>
  <c r="K934" i="2"/>
  <c r="K291" i="2"/>
  <c r="K751" i="2"/>
  <c r="K133" i="2"/>
  <c r="K362" i="2"/>
  <c r="K36" i="2"/>
  <c r="K495" i="2"/>
  <c r="K583" i="2"/>
  <c r="K882" i="2"/>
  <c r="K390" i="2"/>
  <c r="K75" i="2"/>
  <c r="K522" i="2"/>
  <c r="K44" i="2"/>
  <c r="K547" i="2"/>
  <c r="K482" i="2"/>
  <c r="K72" i="2"/>
  <c r="K150" i="2"/>
  <c r="K997" i="2"/>
  <c r="K184" i="2"/>
  <c r="K9" i="2"/>
  <c r="K490" i="2"/>
  <c r="K555" i="2"/>
  <c r="K772" i="2"/>
  <c r="K878" i="2"/>
  <c r="K318" i="2"/>
  <c r="K23" i="2"/>
  <c r="K524" i="2"/>
  <c r="K918" i="2"/>
  <c r="K479" i="2"/>
  <c r="K956" i="2"/>
  <c r="K781" i="2"/>
  <c r="K989" i="2"/>
  <c r="K151" i="2"/>
  <c r="K338" i="2"/>
  <c r="K923" i="2"/>
  <c r="K314" i="2"/>
  <c r="K633" i="2"/>
  <c r="K111" i="2"/>
  <c r="K419" i="2"/>
  <c r="K475" i="2"/>
  <c r="K208" i="2"/>
  <c r="K363" i="2"/>
  <c r="K897" i="2"/>
  <c r="K756" i="2"/>
  <c r="K987" i="2"/>
  <c r="K376" i="2"/>
  <c r="K114" i="2"/>
  <c r="K350" i="2"/>
  <c r="K635" i="2"/>
  <c r="K631" i="2"/>
  <c r="K220" i="2"/>
  <c r="K554" i="2"/>
  <c r="K248" i="2"/>
  <c r="K800" i="2"/>
  <c r="K400" i="2"/>
  <c r="K297" i="2"/>
  <c r="K405" i="2"/>
  <c r="K601" i="2"/>
  <c r="K52" i="2"/>
  <c r="K685" i="2"/>
  <c r="K228" i="2"/>
  <c r="K695" i="2"/>
  <c r="K202" i="2"/>
  <c r="K159" i="2"/>
  <c r="K264" i="2"/>
  <c r="K271" i="2"/>
  <c r="K167" i="2"/>
  <c r="K307" i="2"/>
  <c r="K359" i="2"/>
  <c r="K161" i="2"/>
  <c r="K285" i="2"/>
  <c r="K341" i="2"/>
  <c r="K470" i="2"/>
  <c r="K715" i="2"/>
  <c r="K80" i="2"/>
  <c r="K349" i="2"/>
  <c r="K416" i="2"/>
  <c r="K573" i="2"/>
  <c r="K639" i="2"/>
  <c r="K813" i="2"/>
  <c r="K645" i="2"/>
  <c r="K835" i="2"/>
  <c r="K925" i="2"/>
  <c r="K868" i="2"/>
  <c r="K653" i="2"/>
  <c r="K516" i="2"/>
  <c r="K981" i="2"/>
  <c r="K267" i="2"/>
  <c r="K50" i="2"/>
  <c r="K861" i="2"/>
  <c r="K687" i="2"/>
  <c r="K672" i="2"/>
  <c r="K614" i="2"/>
  <c r="K855" i="2"/>
  <c r="K28" i="2"/>
  <c r="K388" i="2"/>
  <c r="K312" i="2"/>
  <c r="K519" i="2"/>
  <c r="K95" i="2"/>
  <c r="K327" i="2"/>
  <c r="K251" i="2"/>
  <c r="K441" i="2"/>
  <c r="K191" i="2"/>
  <c r="K221" i="2"/>
  <c r="K86" i="2"/>
  <c r="K983" i="2"/>
  <c r="K432" i="2"/>
  <c r="K229" i="2"/>
  <c r="K937" i="2"/>
  <c r="K6" i="2"/>
  <c r="K848" i="2"/>
  <c r="K296" i="2"/>
  <c r="K372" i="2"/>
  <c r="K141" i="2"/>
  <c r="K670" i="2"/>
  <c r="K117" i="2"/>
  <c r="K819" i="2"/>
  <c r="K550" i="2"/>
  <c r="K236" i="2"/>
  <c r="K85" i="2"/>
  <c r="K112" i="2"/>
  <c r="K122" i="2"/>
  <c r="K616" i="2"/>
  <c r="K895" i="2"/>
  <c r="K190" i="2"/>
  <c r="K710" i="2"/>
  <c r="K732" i="2"/>
  <c r="K311" i="2"/>
  <c r="K417" i="2"/>
  <c r="K849" i="2"/>
  <c r="K628" i="2"/>
  <c r="K757" i="2"/>
  <c r="K910" i="2"/>
  <c r="K425" i="2"/>
  <c r="K474" i="2"/>
  <c r="K64" i="2"/>
  <c r="K94" i="2"/>
  <c r="K858" i="2"/>
  <c r="K409" i="2"/>
  <c r="K440" i="2"/>
  <c r="K668" i="2"/>
  <c r="K586" i="2"/>
  <c r="K193" i="2"/>
  <c r="K537" i="2"/>
  <c r="K261" i="2"/>
  <c r="K651" i="2"/>
  <c r="K853" i="2"/>
  <c r="K385" i="2"/>
  <c r="K996" i="2"/>
  <c r="K736" i="2"/>
  <c r="K606" i="2"/>
  <c r="K206" i="2"/>
  <c r="K43" i="2"/>
  <c r="K534" i="2"/>
  <c r="K712" i="2"/>
  <c r="K181" i="2"/>
  <c r="K289" i="2"/>
  <c r="K319" i="2"/>
  <c r="K743" i="2"/>
  <c r="K721" i="2"/>
  <c r="K222" i="2"/>
  <c r="K741" i="2"/>
  <c r="K200" i="2"/>
  <c r="K994" i="2"/>
  <c r="K841" i="2"/>
  <c r="K985" i="2"/>
  <c r="K708" i="2"/>
  <c r="K426" i="2"/>
  <c r="K244" i="2"/>
  <c r="K207" i="2"/>
  <c r="K309" i="2"/>
  <c r="K351" i="2"/>
  <c r="K529" i="2"/>
  <c r="K480" i="2"/>
  <c r="K226" i="2"/>
  <c r="K511" i="2"/>
  <c r="K373" i="2"/>
  <c r="K464" i="2"/>
  <c r="K356" i="2"/>
  <c r="K70" i="2"/>
  <c r="K609" i="2"/>
  <c r="K642" i="2"/>
  <c r="K530" i="2"/>
  <c r="K179" i="2"/>
  <c r="K792" i="2"/>
  <c r="K650" i="2"/>
  <c r="K758" i="2"/>
  <c r="K694" i="2"/>
  <c r="K322" i="2"/>
  <c r="K545" i="2"/>
  <c r="K452" i="2"/>
  <c r="K879" i="2"/>
  <c r="K752" i="2"/>
  <c r="K972" i="2"/>
  <c r="K947" i="2"/>
  <c r="K936" i="2"/>
  <c r="K156" i="2"/>
  <c r="K700" i="2"/>
  <c r="K260" i="2"/>
  <c r="K155" i="2"/>
  <c r="K570" i="2"/>
  <c r="K913" i="2"/>
  <c r="K900" i="2"/>
  <c r="K214" i="2"/>
  <c r="K629" i="2"/>
  <c r="K887" i="2"/>
  <c r="K286" i="2"/>
  <c r="K582" i="2"/>
  <c r="K401" i="2"/>
  <c r="K422" i="2"/>
  <c r="K938" i="2"/>
  <c r="K465" i="2"/>
  <c r="K120" i="2"/>
  <c r="K498" i="2"/>
  <c r="K132" i="2"/>
  <c r="K871" i="2"/>
  <c r="K564" i="2"/>
  <c r="K342" i="2"/>
  <c r="K368" i="2"/>
  <c r="K15" i="2"/>
  <c r="K919" i="2"/>
  <c r="K164" i="2"/>
  <c r="K702" i="2"/>
  <c r="K860" i="2"/>
  <c r="K263" i="2"/>
  <c r="K306" i="2"/>
  <c r="K144" i="2"/>
  <c r="K279" i="2"/>
  <c r="K473" i="2"/>
  <c r="K915" i="2"/>
  <c r="K995" i="2"/>
  <c r="K504" i="2"/>
  <c r="K449" i="2"/>
  <c r="K493" i="2"/>
  <c r="K113" i="2"/>
  <c r="K158" i="2"/>
  <c r="K268" i="2"/>
  <c r="K491" i="2"/>
  <c r="K216" i="2"/>
  <c r="K762" i="2"/>
  <c r="K458" i="2"/>
  <c r="K823" i="2"/>
  <c r="K329" i="2"/>
  <c r="K589" i="2"/>
  <c r="K551" i="2"/>
  <c r="K213" i="2"/>
  <c r="K413" i="2"/>
  <c r="K215" i="2"/>
  <c r="K566" i="2"/>
  <c r="K969" i="2"/>
  <c r="K607" i="2"/>
  <c r="K8" i="2"/>
  <c r="K469" i="2"/>
  <c r="K463" i="2"/>
  <c r="K18" i="2"/>
  <c r="K626" i="2"/>
  <c r="K699" i="2"/>
  <c r="K718" i="2"/>
  <c r="K88" i="2"/>
  <c r="K11" i="2"/>
  <c r="K102" i="2"/>
  <c r="K243" i="2"/>
  <c r="K731" i="2"/>
  <c r="K77" i="2"/>
  <c r="K119" i="2"/>
  <c r="K423" i="2"/>
  <c r="K543" i="2"/>
  <c r="K954" i="2"/>
  <c r="K552" i="2"/>
  <c r="K648" i="2"/>
  <c r="K811" i="2"/>
  <c r="K750" i="2"/>
  <c r="K63" i="2"/>
  <c r="K518" i="2"/>
  <c r="K771" i="2"/>
  <c r="K427" i="2"/>
  <c r="K246" i="2"/>
  <c r="K809" i="2"/>
  <c r="K509" i="2"/>
  <c r="K634" i="2"/>
  <c r="K115" i="2"/>
  <c r="K381" i="2"/>
  <c r="K19" i="2"/>
  <c r="K585" i="2"/>
  <c r="K707" i="2"/>
  <c r="K1000" i="2"/>
  <c r="K101" i="2"/>
  <c r="K979" i="2"/>
  <c r="K729" i="2"/>
  <c r="K414" i="2"/>
  <c r="K185" i="2"/>
  <c r="K26" i="2"/>
  <c r="K210" i="2"/>
  <c r="K681" i="2"/>
  <c r="K785" i="2"/>
  <c r="K280" i="2"/>
  <c r="K137" i="2"/>
  <c r="K778" i="2"/>
  <c r="K406" i="2"/>
  <c r="K194" i="2"/>
  <c r="K14" i="2"/>
  <c r="K234" i="2"/>
  <c r="K829" i="2"/>
  <c r="K990" i="2"/>
  <c r="K976" i="2"/>
  <c r="K396" i="2"/>
  <c r="K488" i="2"/>
  <c r="K561" i="2"/>
  <c r="K837" i="2"/>
  <c r="K697" i="2"/>
  <c r="K574" i="2"/>
  <c r="K242" i="2"/>
  <c r="K204" i="2"/>
  <c r="K525" i="2"/>
  <c r="K917" i="2"/>
  <c r="K777" i="2"/>
  <c r="K904" i="2"/>
  <c r="K580" i="2"/>
  <c r="K107" i="2"/>
  <c r="K598" i="2"/>
  <c r="K759" i="2"/>
  <c r="K42" i="2"/>
  <c r="K295" i="2"/>
  <c r="K163" i="2"/>
  <c r="K535" i="2"/>
  <c r="K824" i="2"/>
  <c r="K89" i="2"/>
  <c r="K748" i="2"/>
  <c r="K965" i="2"/>
  <c r="K680" i="2"/>
  <c r="K734" i="2"/>
  <c r="K370" i="2"/>
  <c r="K617" i="2"/>
  <c r="K371" i="2"/>
  <c r="K521" i="2"/>
  <c r="K217" i="2"/>
  <c r="K437" i="2"/>
  <c r="K238" i="2"/>
  <c r="K971" i="2"/>
  <c r="K293" i="2"/>
  <c r="K568" i="2"/>
  <c r="K563" i="2"/>
  <c r="K315" i="2"/>
  <c r="K960" i="2"/>
  <c r="K333" i="2"/>
  <c r="K361" i="2"/>
  <c r="K255" i="2"/>
  <c r="K526" i="2"/>
  <c r="K344" i="2"/>
  <c r="K265" i="2"/>
  <c r="K497" i="2"/>
  <c r="K446" i="2"/>
  <c r="K310" i="2"/>
  <c r="K4" i="2"/>
  <c r="K567" i="2"/>
  <c r="K275" i="2"/>
  <c r="K316" i="2"/>
  <c r="K669" i="2"/>
  <c r="K377" i="2"/>
  <c r="K397" i="2"/>
  <c r="K507" i="2"/>
  <c r="K219" i="2"/>
  <c r="K754" i="2"/>
  <c r="K594" i="2"/>
  <c r="K29" i="2"/>
  <c r="K749" i="2"/>
  <c r="K55" i="2"/>
  <c r="K93" i="2"/>
  <c r="K575" i="2"/>
  <c r="K581" i="2"/>
  <c r="K693" i="2"/>
  <c r="K303" i="2"/>
  <c r="K39" i="2"/>
  <c r="K510" i="2"/>
  <c r="K418" i="2"/>
  <c r="K146" i="2"/>
  <c r="K703" i="2"/>
  <c r="K139" i="2"/>
  <c r="H241" i="2"/>
  <c r="H712" i="2"/>
  <c r="H319" i="2"/>
  <c r="H716" i="2"/>
  <c r="H426" i="2"/>
  <c r="H464" i="2"/>
  <c r="H747" i="2"/>
  <c r="H792" i="2"/>
  <c r="H694" i="2"/>
  <c r="H888" i="2"/>
  <c r="H752" i="2"/>
  <c r="H936" i="2"/>
  <c r="H492" i="2"/>
  <c r="H629" i="2"/>
  <c r="J945" i="2"/>
  <c r="M945" i="2" s="1"/>
  <c r="J201" i="2"/>
  <c r="M201" i="2" s="1"/>
  <c r="J276" i="2"/>
  <c r="M276" i="2" s="1"/>
  <c r="J939" i="2"/>
  <c r="M939" i="2" s="1"/>
  <c r="J462" i="2"/>
  <c r="M462" i="2" s="1"/>
  <c r="J825" i="2"/>
  <c r="M825" i="2" s="1"/>
  <c r="J35" i="2"/>
  <c r="M35" i="2" s="1"/>
  <c r="J799" i="2"/>
  <c r="M799" i="2" s="1"/>
  <c r="J364" i="2"/>
  <c r="M364" i="2" s="1"/>
  <c r="J230" i="2"/>
  <c r="M230" i="2" s="1"/>
  <c r="J358" i="2"/>
  <c r="M358" i="2" s="1"/>
  <c r="J862" i="2"/>
  <c r="M862" i="2" s="1"/>
  <c r="J189" i="2"/>
  <c r="M189" i="2" s="1"/>
  <c r="J424" i="2"/>
  <c r="M424" i="2" s="1"/>
  <c r="J520" i="2"/>
  <c r="M520" i="2" s="1"/>
  <c r="J13" i="2"/>
  <c r="M13" i="2" s="1"/>
  <c r="J336" i="2"/>
  <c r="M336" i="2" s="1"/>
  <c r="J577" i="2"/>
  <c r="M577" i="2" s="1"/>
  <c r="J619" i="2"/>
  <c r="M619" i="2" s="1"/>
  <c r="J308" i="2"/>
  <c r="M308" i="2" s="1"/>
  <c r="J494" i="2"/>
  <c r="M494" i="2" s="1"/>
  <c r="J751" i="2"/>
  <c r="M751" i="2" s="1"/>
  <c r="J74" i="2"/>
  <c r="M74" i="2" s="1"/>
  <c r="J106" i="2"/>
  <c r="M106" i="2" s="1"/>
  <c r="J257" i="2"/>
  <c r="M257" i="2" s="1"/>
  <c r="J772" i="2"/>
  <c r="M772" i="2" s="1"/>
  <c r="J918" i="2"/>
  <c r="M918" i="2" s="1"/>
  <c r="J832" i="2"/>
  <c r="M832" i="2" s="1"/>
  <c r="J475" i="2"/>
  <c r="M475" i="2" s="1"/>
  <c r="J143" i="2"/>
  <c r="M143" i="2" s="1"/>
  <c r="J466" i="2"/>
  <c r="M466" i="2" s="1"/>
  <c r="J442" i="2"/>
  <c r="M442" i="2" s="1"/>
  <c r="J767" i="2"/>
  <c r="M767" i="2" s="1"/>
  <c r="J735" i="2"/>
  <c r="M735" i="2" s="1"/>
  <c r="J663" i="2"/>
  <c r="M663" i="2" s="1"/>
  <c r="J622" i="2"/>
  <c r="M622" i="2" s="1"/>
  <c r="J407" i="2"/>
  <c r="M407" i="2" s="1"/>
  <c r="J893" i="2"/>
  <c r="M893" i="2" s="1"/>
  <c r="J931" i="2"/>
  <c r="M931" i="2" s="1"/>
  <c r="J105" i="2"/>
  <c r="M105" i="2" s="1"/>
  <c r="J65" i="2"/>
  <c r="M65" i="2" s="1"/>
  <c r="J674" i="2"/>
  <c r="M674" i="2" s="1"/>
  <c r="J291" i="2"/>
  <c r="M291" i="2" s="1"/>
  <c r="J856" i="2"/>
  <c r="M856" i="2" s="1"/>
  <c r="J495" i="2"/>
  <c r="M495" i="2" s="1"/>
  <c r="J75" i="2"/>
  <c r="M75" i="2" s="1"/>
  <c r="J482" i="2"/>
  <c r="M482" i="2" s="1"/>
  <c r="J781" i="2"/>
  <c r="M781" i="2" s="1"/>
  <c r="J338" i="2"/>
  <c r="M338" i="2" s="1"/>
  <c r="J633" i="2"/>
  <c r="M633" i="2" s="1"/>
  <c r="J764" i="2"/>
  <c r="M764" i="2" s="1"/>
  <c r="J705" i="2"/>
  <c r="M705" i="2" s="1"/>
  <c r="J123" i="2"/>
  <c r="M123" i="2" s="1"/>
  <c r="J326" i="2"/>
  <c r="M326" i="2" s="1"/>
  <c r="J447" i="2"/>
  <c r="M447" i="2" s="1"/>
  <c r="J560" i="2"/>
  <c r="M560" i="2" s="1"/>
  <c r="J428" i="2"/>
  <c r="M428" i="2" s="1"/>
  <c r="J870" i="2"/>
  <c r="M870" i="2" s="1"/>
  <c r="J69" i="2"/>
  <c r="M69" i="2" s="1"/>
  <c r="J583" i="2"/>
  <c r="M583" i="2" s="1"/>
  <c r="J184" i="2"/>
  <c r="M184" i="2" s="1"/>
  <c r="J419" i="2"/>
  <c r="M419" i="2" s="1"/>
  <c r="J303" i="2"/>
  <c r="M303" i="2" s="1"/>
  <c r="J208" i="2"/>
  <c r="M208" i="2" s="1"/>
  <c r="J418" i="2"/>
  <c r="M418" i="2" s="1"/>
  <c r="J791" i="2"/>
  <c r="M791" i="2" s="1"/>
  <c r="J451" i="2"/>
  <c r="M451" i="2" s="1"/>
  <c r="J478" i="2"/>
  <c r="M478" i="2" s="1"/>
  <c r="J245" i="2"/>
  <c r="M245" i="2" s="1"/>
  <c r="J472" i="2"/>
  <c r="M472" i="2" s="1"/>
  <c r="J949" i="2"/>
  <c r="M949" i="2" s="1"/>
  <c r="J150" i="2"/>
  <c r="M150" i="2" s="1"/>
  <c r="J997" i="2"/>
  <c r="M997" i="2" s="1"/>
  <c r="J9" i="2"/>
  <c r="M9" i="2" s="1"/>
  <c r="J878" i="2"/>
  <c r="M878" i="2" s="1"/>
  <c r="J365" i="2"/>
  <c r="M365" i="2" s="1"/>
  <c r="J479" i="2"/>
  <c r="M479" i="2" s="1"/>
  <c r="J978" i="2"/>
  <c r="M978" i="2" s="1"/>
  <c r="J314" i="2"/>
  <c r="M314" i="2" s="1"/>
  <c r="J401" i="2"/>
  <c r="M401" i="2" s="1"/>
  <c r="J357" i="2"/>
  <c r="M357" i="2" s="1"/>
  <c r="J37" i="2"/>
  <c r="M37" i="2" s="1"/>
  <c r="J912" i="2"/>
  <c r="M912" i="2" s="1"/>
  <c r="J281" i="2"/>
  <c r="M281" i="2" s="1"/>
  <c r="J890" i="2"/>
  <c r="M890" i="2" s="1"/>
  <c r="J148" i="2"/>
  <c r="M148" i="2" s="1"/>
  <c r="J845" i="2"/>
  <c r="M845" i="2" s="1"/>
  <c r="J728" i="2"/>
  <c r="M728" i="2" s="1"/>
  <c r="J934" i="2"/>
  <c r="M934" i="2" s="1"/>
  <c r="J91" i="2"/>
  <c r="M91" i="2" s="1"/>
  <c r="J36" i="2"/>
  <c r="M36" i="2" s="1"/>
  <c r="J882" i="2"/>
  <c r="M882" i="2" s="1"/>
  <c r="J44" i="2"/>
  <c r="M44" i="2" s="1"/>
  <c r="J318" i="2"/>
  <c r="M318" i="2" s="1"/>
  <c r="J524" i="2"/>
  <c r="M524" i="2" s="1"/>
  <c r="J956" i="2"/>
  <c r="M956" i="2" s="1"/>
  <c r="J821" i="2"/>
  <c r="M821" i="2" s="1"/>
  <c r="J923" i="2"/>
  <c r="M923" i="2" s="1"/>
  <c r="J765" i="2"/>
  <c r="M765" i="2" s="1"/>
  <c r="J798" i="2"/>
  <c r="M798" i="2" s="1"/>
  <c r="J39" i="2"/>
  <c r="M39" i="2" s="1"/>
  <c r="J873" i="2"/>
  <c r="M873" i="2" s="1"/>
  <c r="J283" i="2"/>
  <c r="M283" i="2" s="1"/>
  <c r="J942" i="2"/>
  <c r="M942" i="2" s="1"/>
  <c r="J935" i="2"/>
  <c r="M935" i="2" s="1"/>
  <c r="J40" i="2"/>
  <c r="M40" i="2" s="1"/>
  <c r="J602" i="2"/>
  <c r="M602" i="2" s="1"/>
  <c r="J964" i="2"/>
  <c r="M964" i="2" s="1"/>
  <c r="J487" i="2"/>
  <c r="M487" i="2" s="1"/>
  <c r="J127" i="2"/>
  <c r="M127" i="2" s="1"/>
  <c r="J453" i="2"/>
  <c r="M453" i="2" s="1"/>
  <c r="J980" i="2"/>
  <c r="M980" i="2" s="1"/>
  <c r="J445" i="2"/>
  <c r="M445" i="2" s="1"/>
  <c r="J940" i="2"/>
  <c r="M940" i="2" s="1"/>
  <c r="J587" i="2"/>
  <c r="M587" i="2" s="1"/>
  <c r="J806" i="2"/>
  <c r="M806" i="2" s="1"/>
  <c r="J58" i="2"/>
  <c r="M58" i="2" s="1"/>
  <c r="J558" i="2"/>
  <c r="M558" i="2" s="1"/>
  <c r="J908" i="2"/>
  <c r="M908" i="2" s="1"/>
  <c r="J513" i="2"/>
  <c r="M513" i="2" s="1"/>
  <c r="J129" i="2"/>
  <c r="M129" i="2" s="1"/>
  <c r="J321" i="2"/>
  <c r="M321" i="2" s="1"/>
  <c r="J138" i="2"/>
  <c r="M138" i="2" s="1"/>
  <c r="J692" i="2"/>
  <c r="M692" i="2" s="1"/>
  <c r="J710" i="2"/>
  <c r="M710" i="2" s="1"/>
  <c r="J324" i="2"/>
  <c r="M324" i="2" s="1"/>
  <c r="J761" i="2"/>
  <c r="M761" i="2" s="1"/>
  <c r="J531" i="2"/>
  <c r="M531" i="2" s="1"/>
  <c r="J591" i="2"/>
  <c r="M591" i="2" s="1"/>
  <c r="J46" i="2"/>
  <c r="M46" i="2" s="1"/>
  <c r="J47" i="2"/>
  <c r="M47" i="2" s="1"/>
  <c r="J877" i="2"/>
  <c r="M877" i="2" s="1"/>
  <c r="J249" i="2"/>
  <c r="M249" i="2" s="1"/>
  <c r="J301" i="2"/>
  <c r="M301" i="2" s="1"/>
  <c r="J305" i="2"/>
  <c r="M305" i="2" s="1"/>
  <c r="J292" i="2"/>
  <c r="M292" i="2" s="1"/>
  <c r="J227" i="2"/>
  <c r="M227" i="2" s="1"/>
  <c r="J320" i="2"/>
  <c r="M320" i="2" s="1"/>
  <c r="J744" i="2"/>
  <c r="M744" i="2" s="1"/>
  <c r="J460" i="2"/>
  <c r="M460" i="2" s="1"/>
  <c r="J477" i="2"/>
  <c r="M477" i="2" s="1"/>
  <c r="J78" i="2"/>
  <c r="M78" i="2" s="1"/>
  <c r="J335" i="2"/>
  <c r="M335" i="2" s="1"/>
  <c r="J975" i="2"/>
  <c r="M975" i="2" s="1"/>
  <c r="J450" i="2"/>
  <c r="M450" i="2" s="1"/>
  <c r="J717" i="2"/>
  <c r="M717" i="2" s="1"/>
  <c r="J982" i="2"/>
  <c r="M982" i="2" s="1"/>
  <c r="J793" i="2"/>
  <c r="M793" i="2" s="1"/>
  <c r="J390" i="2"/>
  <c r="M390" i="2" s="1"/>
  <c r="J522" i="2"/>
  <c r="M522" i="2" s="1"/>
  <c r="J434" i="2"/>
  <c r="M434" i="2" s="1"/>
  <c r="J675" i="2"/>
  <c r="M675" i="2" s="1"/>
  <c r="J490" i="2"/>
  <c r="M490" i="2" s="1"/>
  <c r="J933" i="2"/>
  <c r="M933" i="2" s="1"/>
  <c r="J334" i="2"/>
  <c r="M334" i="2" s="1"/>
  <c r="J515" i="2"/>
  <c r="M515" i="2" s="1"/>
  <c r="J952" i="2"/>
  <c r="M952" i="2" s="1"/>
  <c r="J667" i="2"/>
  <c r="M667" i="2" s="1"/>
  <c r="J121" i="2"/>
  <c r="M121" i="2" s="1"/>
  <c r="J662" i="2"/>
  <c r="M662" i="2" s="1"/>
  <c r="J60" i="2"/>
  <c r="M60" i="2" s="1"/>
  <c r="J125" i="2"/>
  <c r="M125" i="2" s="1"/>
  <c r="J131" i="2"/>
  <c r="M131" i="2" s="1"/>
  <c r="J240" i="2"/>
  <c r="M240" i="2" s="1"/>
  <c r="J963" i="2"/>
  <c r="M963" i="2" s="1"/>
  <c r="J839" i="2"/>
  <c r="M839" i="2" s="1"/>
  <c r="J770" i="2"/>
  <c r="M770" i="2" s="1"/>
  <c r="J133" i="2"/>
  <c r="M133" i="2" s="1"/>
  <c r="J362" i="2"/>
  <c r="M362" i="2" s="1"/>
  <c r="J176" i="2"/>
  <c r="M176" i="2" s="1"/>
  <c r="J827" i="2"/>
  <c r="M827" i="2" s="1"/>
  <c r="J547" i="2"/>
  <c r="M547" i="2" s="1"/>
  <c r="J72" i="2"/>
  <c r="M72" i="2" s="1"/>
  <c r="J402" i="2"/>
  <c r="M402" i="2" s="1"/>
  <c r="J970" i="2"/>
  <c r="M970" i="2" s="1"/>
  <c r="J555" i="2"/>
  <c r="M555" i="2" s="1"/>
  <c r="J23" i="2"/>
  <c r="M23" i="2" s="1"/>
  <c r="J483" i="2"/>
  <c r="M483" i="2" s="1"/>
  <c r="J989" i="2"/>
  <c r="M989" i="2" s="1"/>
  <c r="J151" i="2"/>
  <c r="M151" i="2" s="1"/>
  <c r="J544" i="2"/>
  <c r="M544" i="2" s="1"/>
  <c r="J111" i="2"/>
  <c r="M111" i="2" s="1"/>
  <c r="J693" i="2"/>
  <c r="M693" i="2" s="1"/>
  <c r="J510" i="2"/>
  <c r="M510" i="2" s="1"/>
  <c r="J657" i="2"/>
  <c r="M657" i="2" s="1"/>
  <c r="J262" i="2"/>
  <c r="M262" i="2" s="1"/>
  <c r="J909" i="2"/>
  <c r="M909" i="2" s="1"/>
  <c r="J34" i="2"/>
  <c r="M34" i="2" s="1"/>
  <c r="J677" i="2"/>
  <c r="M677" i="2" s="1"/>
  <c r="J548" i="2"/>
  <c r="M548" i="2" s="1"/>
  <c r="J386" i="2"/>
  <c r="M386" i="2" s="1"/>
  <c r="J836" i="2"/>
  <c r="M836" i="2" s="1"/>
  <c r="J730" i="2"/>
  <c r="M730" i="2" s="1"/>
  <c r="J196" i="2"/>
  <c r="M196" i="2" s="1"/>
  <c r="J175" i="2"/>
  <c r="M175" i="2" s="1"/>
  <c r="J300" i="2"/>
  <c r="M300" i="2" s="1"/>
  <c r="J56" i="2"/>
  <c r="M56" i="2" s="1"/>
  <c r="J178" i="2"/>
  <c r="M178" i="2" s="1"/>
  <c r="J992" i="2"/>
  <c r="M992" i="2" s="1"/>
  <c r="J638" i="2"/>
  <c r="M638" i="2" s="1"/>
  <c r="J182" i="2"/>
  <c r="M182" i="2" s="1"/>
  <c r="J930" i="2"/>
  <c r="M930" i="2" s="1"/>
  <c r="J542" i="2"/>
  <c r="M542" i="2" s="1"/>
  <c r="J991" i="2"/>
  <c r="M991" i="2" s="1"/>
  <c r="J709" i="2"/>
  <c r="M709" i="2" s="1"/>
  <c r="J294" i="2"/>
  <c r="M294" i="2" s="1"/>
  <c r="J2" i="2"/>
  <c r="M2" i="2" s="1"/>
  <c r="J720" i="2"/>
  <c r="M720" i="2" s="1"/>
  <c r="J859" i="2"/>
  <c r="M859" i="2" s="1"/>
  <c r="J588" i="2"/>
  <c r="M588" i="2" s="1"/>
  <c r="J950" i="2"/>
  <c r="M950" i="2" s="1"/>
  <c r="J468" i="2"/>
  <c r="M468" i="2" s="1"/>
  <c r="J258" i="2"/>
  <c r="M258" i="2" s="1"/>
  <c r="J540" i="2"/>
  <c r="M540" i="2" s="1"/>
  <c r="J387" i="2"/>
  <c r="M387" i="2" s="1"/>
  <c r="J830" i="2"/>
  <c r="M830" i="2" s="1"/>
  <c r="J57" i="2"/>
  <c r="M57" i="2" s="1"/>
  <c r="J375" i="2"/>
  <c r="M375" i="2" s="1"/>
  <c r="J239" i="2"/>
  <c r="M239" i="2" s="1"/>
  <c r="J180" i="2"/>
  <c r="M180" i="2" s="1"/>
  <c r="J539" i="2"/>
  <c r="M539" i="2" s="1"/>
  <c r="J104" i="2"/>
  <c r="M104" i="2" s="1"/>
  <c r="J223" i="2"/>
  <c r="M223" i="2" s="1"/>
  <c r="J584" i="2"/>
  <c r="M584" i="2" s="1"/>
  <c r="J153" i="2"/>
  <c r="M153" i="2" s="1"/>
  <c r="J346" i="2"/>
  <c r="M346" i="2" s="1"/>
  <c r="J944" i="2"/>
  <c r="M944" i="2" s="1"/>
  <c r="J627" i="2"/>
  <c r="M627" i="2" s="1"/>
  <c r="J485" i="2"/>
  <c r="M485" i="2" s="1"/>
  <c r="J352" i="2"/>
  <c r="M352" i="2" s="1"/>
  <c r="J399" i="2"/>
  <c r="M399" i="2" s="1"/>
  <c r="J955" i="2"/>
  <c r="M955" i="2" s="1"/>
  <c r="J902" i="2"/>
  <c r="M902" i="2" s="1"/>
  <c r="J898" i="2"/>
  <c r="M898" i="2" s="1"/>
  <c r="J73" i="2"/>
  <c r="M73" i="2" s="1"/>
  <c r="J90" i="2"/>
  <c r="M90" i="2" s="1"/>
  <c r="J889" i="2"/>
  <c r="M889" i="2" s="1"/>
  <c r="J846" i="2"/>
  <c r="M846" i="2" s="1"/>
  <c r="J395" i="2"/>
  <c r="M395" i="2" s="1"/>
  <c r="J597" i="2"/>
  <c r="M597" i="2" s="1"/>
  <c r="J644" i="2"/>
  <c r="M644" i="2" s="1"/>
  <c r="J814" i="2"/>
  <c r="M814" i="2" s="1"/>
  <c r="J984" i="2"/>
  <c r="M984" i="2" s="1"/>
  <c r="J905" i="2"/>
  <c r="M905" i="2" s="1"/>
  <c r="J790" i="2"/>
  <c r="M790" i="2" s="1"/>
  <c r="J968" i="2"/>
  <c r="M968" i="2" s="1"/>
  <c r="J136" i="2"/>
  <c r="M136" i="2" s="1"/>
  <c r="J665" i="2"/>
  <c r="M665" i="2" s="1"/>
  <c r="J899" i="2"/>
  <c r="M899" i="2" s="1"/>
  <c r="J595" i="2"/>
  <c r="M595" i="2" s="1"/>
  <c r="J382" i="2"/>
  <c r="M382" i="2" s="1"/>
  <c r="J921" i="2"/>
  <c r="M921" i="2" s="1"/>
  <c r="J98" i="2"/>
  <c r="M98" i="2" s="1"/>
  <c r="J339" i="2"/>
  <c r="M339" i="2" s="1"/>
  <c r="J776" i="2"/>
  <c r="M776" i="2" s="1"/>
  <c r="J872" i="2"/>
  <c r="M872" i="2" s="1"/>
  <c r="J775" i="2"/>
  <c r="M775" i="2" s="1"/>
  <c r="J436" i="2"/>
  <c r="M436" i="2" s="1"/>
  <c r="J739" i="2"/>
  <c r="M739" i="2" s="1"/>
  <c r="J661" i="2"/>
  <c r="M661" i="2" s="1"/>
  <c r="J455" i="2"/>
  <c r="M455" i="2" s="1"/>
  <c r="J67" i="2"/>
  <c r="M67" i="2" s="1"/>
  <c r="J517" i="2"/>
  <c r="M517" i="2" s="1"/>
  <c r="J562" i="2"/>
  <c r="M562" i="2" s="1"/>
  <c r="J501" i="2"/>
  <c r="M501" i="2" s="1"/>
  <c r="J398" i="2"/>
  <c r="M398" i="2" s="1"/>
  <c r="J892" i="2"/>
  <c r="M892" i="2" s="1"/>
  <c r="J884" i="2"/>
  <c r="M884" i="2" s="1"/>
  <c r="J272" i="2"/>
  <c r="M272" i="2" s="1"/>
  <c r="J435" i="2"/>
  <c r="M435" i="2" s="1"/>
  <c r="J719" i="2"/>
  <c r="M719" i="2" s="1"/>
  <c r="J31" i="2"/>
  <c r="M31" i="2" s="1"/>
  <c r="J691" i="2"/>
  <c r="M691" i="2" s="1"/>
  <c r="J843" i="2"/>
  <c r="M843" i="2" s="1"/>
  <c r="J284" i="2"/>
  <c r="M284" i="2" s="1"/>
  <c r="J174" i="2"/>
  <c r="M174" i="2" s="1"/>
  <c r="J415" i="2"/>
  <c r="M415" i="2" s="1"/>
  <c r="J784" i="2"/>
  <c r="M784" i="2" s="1"/>
  <c r="J5" i="2"/>
  <c r="M5" i="2" s="1"/>
  <c r="J658" i="2"/>
  <c r="M658" i="2" s="1"/>
  <c r="J199" i="2"/>
  <c r="M199" i="2" s="1"/>
  <c r="J507" i="2"/>
  <c r="M507" i="2" s="1"/>
  <c r="J219" i="2"/>
  <c r="M219" i="2" s="1"/>
  <c r="J754" i="2"/>
  <c r="M754" i="2" s="1"/>
  <c r="J594" i="2"/>
  <c r="M594" i="2" s="1"/>
  <c r="J108" i="2"/>
  <c r="M108" i="2" s="1"/>
  <c r="J29" i="2"/>
  <c r="M29" i="2" s="1"/>
  <c r="J749" i="2"/>
  <c r="M749" i="2" s="1"/>
  <c r="J55" i="2"/>
  <c r="M55" i="2" s="1"/>
  <c r="J93" i="2"/>
  <c r="M93" i="2" s="1"/>
  <c r="J575" i="2"/>
  <c r="M575" i="2" s="1"/>
  <c r="J581" i="2"/>
  <c r="M581" i="2" s="1"/>
  <c r="J92" i="2"/>
  <c r="M92" i="2" s="1"/>
  <c r="J637" i="2"/>
  <c r="M637" i="2" s="1"/>
  <c r="J857" i="2"/>
  <c r="M857" i="2" s="1"/>
  <c r="J152" i="2"/>
  <c r="M152" i="2" s="1"/>
  <c r="J636" i="2"/>
  <c r="M636" i="2" s="1"/>
  <c r="J290" i="2"/>
  <c r="M290" i="2" s="1"/>
  <c r="J304" i="2"/>
  <c r="M304" i="2" s="1"/>
  <c r="J355" i="2"/>
  <c r="M355" i="2" s="1"/>
  <c r="J844" i="2"/>
  <c r="M844" i="2" s="1"/>
  <c r="J901" i="2"/>
  <c r="M901" i="2" s="1"/>
  <c r="J746" i="2"/>
  <c r="M746" i="2" s="1"/>
  <c r="J546" i="2"/>
  <c r="M546" i="2" s="1"/>
  <c r="J286" i="2"/>
  <c r="M286" i="2" s="1"/>
  <c r="J920" i="2"/>
  <c r="M920" i="2" s="1"/>
  <c r="J818" i="2"/>
  <c r="M818" i="2" s="1"/>
  <c r="J22" i="2"/>
  <c r="M22" i="2" s="1"/>
  <c r="J363" i="2"/>
  <c r="M363" i="2" s="1"/>
  <c r="J410" i="2"/>
  <c r="M410" i="2" s="1"/>
  <c r="J348" i="2"/>
  <c r="M348" i="2" s="1"/>
  <c r="J20" i="2"/>
  <c r="M20" i="2" s="1"/>
  <c r="J701" i="2"/>
  <c r="M701" i="2" s="1"/>
  <c r="J269" i="2"/>
  <c r="M269" i="2" s="1"/>
  <c r="J377" i="2"/>
  <c r="M377" i="2" s="1"/>
  <c r="J977" i="2"/>
  <c r="M977" i="2" s="1"/>
  <c r="J476" i="2"/>
  <c r="M476" i="2" s="1"/>
  <c r="J253" i="2"/>
  <c r="M253" i="2" s="1"/>
  <c r="J394" i="2"/>
  <c r="M394" i="2" s="1"/>
  <c r="J317" i="2"/>
  <c r="M317" i="2" s="1"/>
  <c r="J600" i="2"/>
  <c r="M600" i="2" s="1"/>
  <c r="J323" i="2"/>
  <c r="M323" i="2" s="1"/>
  <c r="J397" i="2"/>
  <c r="M397" i="2" s="1"/>
  <c r="J209" i="2"/>
  <c r="M209" i="2" s="1"/>
  <c r="J146" i="2"/>
  <c r="M146" i="2" s="1"/>
  <c r="J914" i="2"/>
  <c r="M914" i="2" s="1"/>
  <c r="J703" i="2"/>
  <c r="M703" i="2" s="1"/>
  <c r="J652" i="2"/>
  <c r="M652" i="2" s="1"/>
  <c r="J68" i="2"/>
  <c r="M68" i="2" s="1"/>
  <c r="J556" i="2"/>
  <c r="M556" i="2" s="1"/>
  <c r="J927" i="2"/>
  <c r="M927" i="2" s="1"/>
  <c r="J867" i="2"/>
  <c r="M867" i="2" s="1"/>
  <c r="J139" i="2"/>
  <c r="M139" i="2" s="1"/>
  <c r="H913" i="2"/>
  <c r="H299" i="2"/>
  <c r="H642" i="2"/>
  <c r="H322" i="2"/>
  <c r="H826" i="2"/>
  <c r="H8" i="2"/>
  <c r="H915" i="2"/>
  <c r="H504" i="2"/>
  <c r="H823" i="2"/>
  <c r="H329" i="2"/>
  <c r="H551" i="2"/>
  <c r="H941" i="2"/>
  <c r="H802" i="2"/>
  <c r="H618" i="2"/>
  <c r="H247" i="2"/>
  <c r="H660" i="2"/>
  <c r="H96" i="2"/>
  <c r="H842" i="2"/>
  <c r="H649" i="2"/>
  <c r="H926" i="2"/>
  <c r="H250" i="2"/>
  <c r="H186" i="2"/>
  <c r="H922" i="2"/>
  <c r="H406" i="2"/>
  <c r="H976" i="2"/>
  <c r="H439" i="2"/>
  <c r="H292" i="2"/>
  <c r="H477" i="2"/>
  <c r="H423" i="2"/>
  <c r="H666" i="2"/>
  <c r="H771" i="2"/>
  <c r="H246" i="2"/>
  <c r="H509" i="2"/>
  <c r="H585" i="2"/>
  <c r="H101" i="2"/>
  <c r="H265" i="2"/>
  <c r="H446" i="2"/>
  <c r="H109" i="2"/>
  <c r="H535" i="2"/>
  <c r="H89" i="2"/>
  <c r="H328" i="2"/>
  <c r="H769" i="2"/>
  <c r="J367" i="2"/>
  <c r="M367" i="2" s="1"/>
  <c r="J608" i="2"/>
  <c r="M608" i="2" s="1"/>
  <c r="J948" i="2"/>
  <c r="M948" i="2" s="1"/>
  <c r="J82" i="2"/>
  <c r="M82" i="2" s="1"/>
  <c r="J561" i="2"/>
  <c r="M561" i="2" s="1"/>
  <c r="J30" i="2"/>
  <c r="M30" i="2" s="1"/>
  <c r="J874" i="2"/>
  <c r="M874" i="2" s="1"/>
  <c r="J366" i="2"/>
  <c r="M366" i="2" s="1"/>
  <c r="J837" i="2"/>
  <c r="M837" i="2" s="1"/>
  <c r="J7" i="2"/>
  <c r="M7" i="2" s="1"/>
  <c r="J16" i="2"/>
  <c r="M16" i="2" s="1"/>
  <c r="J697" i="2"/>
  <c r="M697" i="2" s="1"/>
  <c r="J527" i="2"/>
  <c r="M527" i="2" s="1"/>
  <c r="J38" i="2"/>
  <c r="M38" i="2" s="1"/>
  <c r="J574" i="2"/>
  <c r="M574" i="2" s="1"/>
  <c r="J145" i="2"/>
  <c r="M145" i="2" s="1"/>
  <c r="J282" i="2"/>
  <c r="M282" i="2" s="1"/>
  <c r="J192" i="2"/>
  <c r="M192" i="2" s="1"/>
  <c r="J880" i="2"/>
  <c r="M880" i="2" s="1"/>
  <c r="J242" i="2"/>
  <c r="M242" i="2" s="1"/>
  <c r="J204" i="2"/>
  <c r="M204" i="2" s="1"/>
  <c r="J345" i="2"/>
  <c r="M345" i="2" s="1"/>
  <c r="J525" i="2"/>
  <c r="M525" i="2" s="1"/>
  <c r="J160" i="2"/>
  <c r="M160" i="2" s="1"/>
  <c r="J917" i="2"/>
  <c r="M917" i="2" s="1"/>
  <c r="J656" i="2"/>
  <c r="M656" i="2" s="1"/>
  <c r="J273" i="2"/>
  <c r="M273" i="2" s="1"/>
  <c r="J777" i="2"/>
  <c r="M777" i="2" s="1"/>
  <c r="J187" i="2"/>
  <c r="M187" i="2" s="1"/>
  <c r="J904" i="2"/>
  <c r="M904" i="2" s="1"/>
  <c r="J580" i="2"/>
  <c r="M580" i="2" s="1"/>
  <c r="J523" i="2"/>
  <c r="M523" i="2" s="1"/>
  <c r="J107" i="2"/>
  <c r="M107" i="2" s="1"/>
  <c r="J579" i="2"/>
  <c r="M579" i="2" s="1"/>
  <c r="J168" i="2"/>
  <c r="M168" i="2" s="1"/>
  <c r="J598" i="2"/>
  <c r="M598" i="2" s="1"/>
  <c r="J759" i="2"/>
  <c r="M759" i="2" s="1"/>
  <c r="J42" i="2"/>
  <c r="M42" i="2" s="1"/>
  <c r="J295" i="2"/>
  <c r="M295" i="2" s="1"/>
  <c r="J163" i="2"/>
  <c r="M163" i="2" s="1"/>
  <c r="J109" i="2"/>
  <c r="M109" i="2" s="1"/>
  <c r="J270" i="2"/>
  <c r="M270" i="2" s="1"/>
  <c r="J535" i="2"/>
  <c r="M535" i="2" s="1"/>
  <c r="J824" i="2"/>
  <c r="M824" i="2" s="1"/>
  <c r="J89" i="2"/>
  <c r="M89" i="2" s="1"/>
  <c r="J748" i="2"/>
  <c r="M748" i="2" s="1"/>
  <c r="J965" i="2"/>
  <c r="M965" i="2" s="1"/>
  <c r="J680" i="2"/>
  <c r="M680" i="2" s="1"/>
  <c r="J734" i="2"/>
  <c r="M734" i="2" s="1"/>
  <c r="J370" i="2"/>
  <c r="M370" i="2" s="1"/>
  <c r="J81" i="2"/>
  <c r="M81" i="2" s="1"/>
  <c r="J617" i="2"/>
  <c r="M617" i="2" s="1"/>
  <c r="J371" i="2"/>
  <c r="M371" i="2" s="1"/>
  <c r="J521" i="2"/>
  <c r="M521" i="2" s="1"/>
  <c r="J217" i="2"/>
  <c r="M217" i="2" s="1"/>
  <c r="J437" i="2"/>
  <c r="M437" i="2" s="1"/>
  <c r="J238" i="2"/>
  <c r="M238" i="2" s="1"/>
  <c r="J971" i="2"/>
  <c r="M971" i="2" s="1"/>
  <c r="J293" i="2"/>
  <c r="M293" i="2" s="1"/>
  <c r="J328" i="2"/>
  <c r="M328" i="2" s="1"/>
  <c r="J62" i="2"/>
  <c r="M62" i="2" s="1"/>
  <c r="J769" i="2"/>
  <c r="M769" i="2" s="1"/>
  <c r="J568" i="2"/>
  <c r="M568" i="2" s="1"/>
  <c r="J563" i="2"/>
  <c r="M563" i="2" s="1"/>
  <c r="J315" i="2"/>
  <c r="M315" i="2" s="1"/>
  <c r="J232" i="2"/>
  <c r="M232" i="2" s="1"/>
  <c r="J960" i="2"/>
  <c r="M960" i="2" s="1"/>
  <c r="J333" i="2"/>
  <c r="M333" i="2" s="1"/>
  <c r="J361" i="2"/>
  <c r="M361" i="2" s="1"/>
  <c r="J706" i="2"/>
  <c r="M706" i="2" s="1"/>
  <c r="J255" i="2"/>
  <c r="M255" i="2" s="1"/>
  <c r="J526" i="2"/>
  <c r="M526" i="2" s="1"/>
  <c r="J344" i="2"/>
  <c r="M344" i="2" s="1"/>
  <c r="J688" i="2"/>
  <c r="M688" i="2" s="1"/>
  <c r="J265" i="2"/>
  <c r="M265" i="2" s="1"/>
  <c r="J497" i="2"/>
  <c r="M497" i="2" s="1"/>
  <c r="J446" i="2"/>
  <c r="M446" i="2" s="1"/>
  <c r="J310" i="2"/>
  <c r="M310" i="2" s="1"/>
  <c r="J4" i="2"/>
  <c r="M4" i="2" s="1"/>
  <c r="J147" i="2"/>
  <c r="M147" i="2" s="1"/>
  <c r="J567" i="2"/>
  <c r="M567" i="2" s="1"/>
  <c r="J275" i="2"/>
  <c r="M275" i="2" s="1"/>
  <c r="J774" i="2"/>
  <c r="M774" i="2" s="1"/>
  <c r="J316" i="2"/>
  <c r="M316" i="2" s="1"/>
  <c r="J669" i="2"/>
  <c r="M669" i="2" s="1"/>
  <c r="J732" i="2"/>
  <c r="M732" i="2" s="1"/>
  <c r="J429" i="2"/>
  <c r="M429" i="2" s="1"/>
  <c r="J311" i="2"/>
  <c r="M311" i="2" s="1"/>
  <c r="J961" i="2"/>
  <c r="M961" i="2" s="1"/>
  <c r="J417" i="2"/>
  <c r="M417" i="2" s="1"/>
  <c r="J313" i="2"/>
  <c r="M313" i="2" s="1"/>
  <c r="J849" i="2"/>
  <c r="M849" i="2" s="1"/>
  <c r="J906" i="2"/>
  <c r="M906" i="2" s="1"/>
  <c r="J443" i="2"/>
  <c r="M443" i="2" s="1"/>
  <c r="J896" i="2"/>
  <c r="M896" i="2" s="1"/>
  <c r="J628" i="2"/>
  <c r="M628" i="2" s="1"/>
  <c r="J757" i="2"/>
  <c r="M757" i="2" s="1"/>
  <c r="J910" i="2"/>
  <c r="M910" i="2" s="1"/>
  <c r="J755" i="2"/>
  <c r="M755" i="2" s="1"/>
  <c r="J943" i="2"/>
  <c r="M943" i="2" s="1"/>
  <c r="J425" i="2"/>
  <c r="M425" i="2" s="1"/>
  <c r="J474" i="2"/>
  <c r="M474" i="2" s="1"/>
  <c r="J10" i="2"/>
  <c r="M10" i="2" s="1"/>
  <c r="J64" i="2"/>
  <c r="M64" i="2" s="1"/>
  <c r="J903" i="2"/>
  <c r="M903" i="2" s="1"/>
  <c r="J94" i="2"/>
  <c r="M94" i="2" s="1"/>
  <c r="J233" i="2"/>
  <c r="M233" i="2" s="1"/>
  <c r="J858" i="2"/>
  <c r="M858" i="2" s="1"/>
  <c r="J409" i="2"/>
  <c r="M409" i="2" s="1"/>
  <c r="J440" i="2"/>
  <c r="M440" i="2" s="1"/>
  <c r="J946" i="2"/>
  <c r="M946" i="2" s="1"/>
  <c r="J668" i="2"/>
  <c r="M668" i="2" s="1"/>
  <c r="J261" i="2"/>
  <c r="M261" i="2" s="1"/>
  <c r="J24" i="2"/>
  <c r="M24" i="2" s="1"/>
  <c r="J994" i="2"/>
  <c r="M994" i="2" s="1"/>
  <c r="J841" i="2"/>
  <c r="M841" i="2" s="1"/>
  <c r="J433" i="2"/>
  <c r="M433" i="2" s="1"/>
  <c r="J351" i="2"/>
  <c r="M351" i="2" s="1"/>
  <c r="J654" i="2"/>
  <c r="M654" i="2" s="1"/>
  <c r="J99" i="2"/>
  <c r="M99" i="2" s="1"/>
  <c r="J758" i="2"/>
  <c r="M758" i="2" s="1"/>
  <c r="J694" i="2"/>
  <c r="M694" i="2" s="1"/>
  <c r="J947" i="2"/>
  <c r="M947" i="2" s="1"/>
  <c r="J260" i="2"/>
  <c r="M260" i="2" s="1"/>
  <c r="J492" i="2"/>
  <c r="M492" i="2" s="1"/>
  <c r="J900" i="2"/>
  <c r="M900" i="2" s="1"/>
  <c r="J183" i="2"/>
  <c r="M183" i="2" s="1"/>
  <c r="J664" i="2"/>
  <c r="M664" i="2" s="1"/>
  <c r="J897" i="2"/>
  <c r="M897" i="2" s="1"/>
  <c r="J756" i="2"/>
  <c r="M756" i="2" s="1"/>
  <c r="J987" i="2"/>
  <c r="M987" i="2" s="1"/>
  <c r="J571" i="2"/>
  <c r="M571" i="2" s="1"/>
  <c r="J376" i="2"/>
  <c r="M376" i="2" s="1"/>
  <c r="J114" i="2"/>
  <c r="M114" i="2" s="1"/>
  <c r="J350" i="2"/>
  <c r="M350" i="2" s="1"/>
  <c r="J783" i="2"/>
  <c r="M783" i="2" s="1"/>
  <c r="J635" i="2"/>
  <c r="M635" i="2" s="1"/>
  <c r="J631" i="2"/>
  <c r="M631" i="2" s="1"/>
  <c r="J220" i="2"/>
  <c r="M220" i="2" s="1"/>
  <c r="J786" i="2"/>
  <c r="M786" i="2" s="1"/>
  <c r="J745" i="2"/>
  <c r="M745" i="2" s="1"/>
  <c r="J678" i="2"/>
  <c r="M678" i="2" s="1"/>
  <c r="J554" i="2"/>
  <c r="M554" i="2" s="1"/>
  <c r="J188" i="2"/>
  <c r="M188" i="2" s="1"/>
  <c r="J248" i="2"/>
  <c r="M248" i="2" s="1"/>
  <c r="J800" i="2"/>
  <c r="M800" i="2" s="1"/>
  <c r="J340" i="2"/>
  <c r="M340" i="2" s="1"/>
  <c r="J203" i="2"/>
  <c r="M203" i="2" s="1"/>
  <c r="J400" i="2"/>
  <c r="M400" i="2" s="1"/>
  <c r="J297" i="2"/>
  <c r="M297" i="2" s="1"/>
  <c r="J405" i="2"/>
  <c r="M405" i="2" s="1"/>
  <c r="J391" i="2"/>
  <c r="M391" i="2" s="1"/>
  <c r="J601" i="2"/>
  <c r="M601" i="2" s="1"/>
  <c r="J52" i="2"/>
  <c r="M52" i="2" s="1"/>
  <c r="J685" i="2"/>
  <c r="M685" i="2" s="1"/>
  <c r="J620" i="2"/>
  <c r="M620" i="2" s="1"/>
  <c r="J610" i="2"/>
  <c r="M610" i="2" s="1"/>
  <c r="J354" i="2"/>
  <c r="M354" i="2" s="1"/>
  <c r="J228" i="2"/>
  <c r="M228" i="2" s="1"/>
  <c r="J695" i="2"/>
  <c r="M695" i="2" s="1"/>
  <c r="J202" i="2"/>
  <c r="M202" i="2" s="1"/>
  <c r="J159" i="2"/>
  <c r="M159" i="2" s="1"/>
  <c r="J325" i="2"/>
  <c r="M325" i="2" s="1"/>
  <c r="J264" i="2"/>
  <c r="M264" i="2" s="1"/>
  <c r="J97" i="2"/>
  <c r="M97" i="2" s="1"/>
  <c r="J271" i="2"/>
  <c r="M271" i="2" s="1"/>
  <c r="J167" i="2"/>
  <c r="M167" i="2" s="1"/>
  <c r="J307" i="2"/>
  <c r="M307" i="2" s="1"/>
  <c r="J359" i="2"/>
  <c r="M359" i="2" s="1"/>
  <c r="J161" i="2"/>
  <c r="M161" i="2" s="1"/>
  <c r="J278" i="2"/>
  <c r="M278" i="2" s="1"/>
  <c r="J285" i="2"/>
  <c r="M285" i="2" s="1"/>
  <c r="J430" i="2"/>
  <c r="M430" i="2" s="1"/>
  <c r="J341" i="2"/>
  <c r="M341" i="2" s="1"/>
  <c r="J470" i="2"/>
  <c r="M470" i="2" s="1"/>
  <c r="J715" i="2"/>
  <c r="M715" i="2" s="1"/>
  <c r="J25" i="2"/>
  <c r="M25" i="2" s="1"/>
  <c r="J528" i="2"/>
  <c r="M528" i="2" s="1"/>
  <c r="J820" i="2"/>
  <c r="M820" i="2" s="1"/>
  <c r="J80" i="2"/>
  <c r="M80" i="2" s="1"/>
  <c r="J349" i="2"/>
  <c r="M349" i="2" s="1"/>
  <c r="J416" i="2"/>
  <c r="M416" i="2" s="1"/>
  <c r="J573" i="2"/>
  <c r="M573" i="2" s="1"/>
  <c r="J639" i="2"/>
  <c r="M639" i="2" s="1"/>
  <c r="J813" i="2"/>
  <c r="M813" i="2" s="1"/>
  <c r="J645" i="2"/>
  <c r="M645" i="2" s="1"/>
  <c r="J173" i="2"/>
  <c r="M173" i="2" s="1"/>
  <c r="J835" i="2"/>
  <c r="M835" i="2" s="1"/>
  <c r="J925" i="2"/>
  <c r="M925" i="2" s="1"/>
  <c r="J810" i="2"/>
  <c r="M810" i="2" s="1"/>
  <c r="J812" i="2"/>
  <c r="M812" i="2" s="1"/>
  <c r="J966" i="2"/>
  <c r="M966" i="2" s="1"/>
  <c r="J868" i="2"/>
  <c r="M868" i="2" s="1"/>
  <c r="J212" i="2"/>
  <c r="M212" i="2" s="1"/>
  <c r="J653" i="2"/>
  <c r="M653" i="2" s="1"/>
  <c r="J516" i="2"/>
  <c r="M516" i="2" s="1"/>
  <c r="J981" i="2"/>
  <c r="M981" i="2" s="1"/>
  <c r="J267" i="2"/>
  <c r="M267" i="2" s="1"/>
  <c r="J886" i="2"/>
  <c r="M886" i="2" s="1"/>
  <c r="J50" i="2"/>
  <c r="M50" i="2" s="1"/>
  <c r="J861" i="2"/>
  <c r="M861" i="2" s="1"/>
  <c r="J687" i="2"/>
  <c r="M687" i="2" s="1"/>
  <c r="J672" i="2"/>
  <c r="M672" i="2" s="1"/>
  <c r="J614" i="2"/>
  <c r="M614" i="2" s="1"/>
  <c r="J855" i="2"/>
  <c r="M855" i="2" s="1"/>
  <c r="J686" i="2"/>
  <c r="M686" i="2" s="1"/>
  <c r="J374" i="2"/>
  <c r="M374" i="2" s="1"/>
  <c r="J28" i="2"/>
  <c r="M28" i="2" s="1"/>
  <c r="J388" i="2"/>
  <c r="M388" i="2" s="1"/>
  <c r="J49" i="2"/>
  <c r="M49" i="2" s="1"/>
  <c r="J312" i="2"/>
  <c r="M312" i="2" s="1"/>
  <c r="J576" i="2"/>
  <c r="M576" i="2" s="1"/>
  <c r="J438" i="2"/>
  <c r="M438" i="2" s="1"/>
  <c r="J519" i="2"/>
  <c r="M519" i="2" s="1"/>
  <c r="J916" i="2"/>
  <c r="M916" i="2" s="1"/>
  <c r="J95" i="2"/>
  <c r="M95" i="2" s="1"/>
  <c r="J327" i="2"/>
  <c r="M327" i="2" s="1"/>
  <c r="J251" i="2"/>
  <c r="M251" i="2" s="1"/>
  <c r="J441" i="2"/>
  <c r="M441" i="2" s="1"/>
  <c r="J852" i="2"/>
  <c r="M852" i="2" s="1"/>
  <c r="J191" i="2"/>
  <c r="M191" i="2" s="1"/>
  <c r="J221" i="2"/>
  <c r="M221" i="2" s="1"/>
  <c r="J86" i="2"/>
  <c r="M86" i="2" s="1"/>
  <c r="J983" i="2"/>
  <c r="M983" i="2" s="1"/>
  <c r="J432" i="2"/>
  <c r="M432" i="2" s="1"/>
  <c r="J229" i="2"/>
  <c r="M229" i="2" s="1"/>
  <c r="J937" i="2"/>
  <c r="M937" i="2" s="1"/>
  <c r="J6" i="2"/>
  <c r="M6" i="2" s="1"/>
  <c r="J848" i="2"/>
  <c r="M848" i="2" s="1"/>
  <c r="J296" i="2"/>
  <c r="M296" i="2" s="1"/>
  <c r="J372" i="2"/>
  <c r="M372" i="2" s="1"/>
  <c r="J197" i="2"/>
  <c r="M197" i="2" s="1"/>
  <c r="J141" i="2"/>
  <c r="M141" i="2" s="1"/>
  <c r="J670" i="2"/>
  <c r="M670" i="2" s="1"/>
  <c r="J959" i="2"/>
  <c r="M959" i="2" s="1"/>
  <c r="J404" i="2"/>
  <c r="M404" i="2" s="1"/>
  <c r="J481" i="2"/>
  <c r="M481" i="2" s="1"/>
  <c r="J225" i="2"/>
  <c r="M225" i="2" s="1"/>
  <c r="J592" i="2"/>
  <c r="M592" i="2" s="1"/>
  <c r="J330" i="2"/>
  <c r="M330" i="2" s="1"/>
  <c r="J41" i="2"/>
  <c r="M41" i="2" s="1"/>
  <c r="J33" i="2"/>
  <c r="M33" i="2" s="1"/>
  <c r="J875" i="2"/>
  <c r="M875" i="2" s="1"/>
  <c r="J393" i="2"/>
  <c r="M393" i="2" s="1"/>
  <c r="J369" i="2"/>
  <c r="M369" i="2" s="1"/>
  <c r="J804" i="2"/>
  <c r="M804" i="2" s="1"/>
  <c r="J727" i="2"/>
  <c r="M727" i="2" s="1"/>
  <c r="J499" i="2"/>
  <c r="M499" i="2" s="1"/>
  <c r="J165" i="2"/>
  <c r="M165" i="2" s="1"/>
  <c r="J578" i="2"/>
  <c r="M578" i="2" s="1"/>
  <c r="J103" i="2"/>
  <c r="M103" i="2" s="1"/>
  <c r="J894" i="2"/>
  <c r="M894" i="2" s="1"/>
  <c r="J259" i="2"/>
  <c r="M259" i="2" s="1"/>
  <c r="J569" i="2"/>
  <c r="M569" i="2" s="1"/>
  <c r="J538" i="2"/>
  <c r="M538" i="2" s="1"/>
  <c r="J641" i="2"/>
  <c r="M641" i="2" s="1"/>
  <c r="J274" i="2"/>
  <c r="M274" i="2" s="1"/>
  <c r="J572" i="2"/>
  <c r="M572" i="2" s="1"/>
  <c r="J71" i="2"/>
  <c r="M71" i="2" s="1"/>
  <c r="J380" i="2"/>
  <c r="M380" i="2" s="1"/>
  <c r="J795" i="2"/>
  <c r="M795" i="2" s="1"/>
  <c r="J502" i="2"/>
  <c r="M502" i="2" s="1"/>
  <c r="J816" i="2"/>
  <c r="M816" i="2" s="1"/>
  <c r="J726" i="2"/>
  <c r="M726" i="2" s="1"/>
  <c r="J630" i="2"/>
  <c r="M630" i="2" s="1"/>
  <c r="J604" i="2"/>
  <c r="M604" i="2" s="1"/>
  <c r="J467" i="2"/>
  <c r="M467" i="2" s="1"/>
  <c r="J768" i="2"/>
  <c r="M768" i="2" s="1"/>
  <c r="J508" i="2"/>
  <c r="M508" i="2" s="1"/>
  <c r="J130" i="2"/>
  <c r="M130" i="2" s="1"/>
  <c r="J876" i="2"/>
  <c r="M876" i="2" s="1"/>
  <c r="J796" i="2"/>
  <c r="M796" i="2" s="1"/>
  <c r="J613" i="2"/>
  <c r="M613" i="2" s="1"/>
  <c r="J549" i="2"/>
  <c r="M549" i="2" s="1"/>
  <c r="J457" i="2"/>
  <c r="M457" i="2" s="1"/>
  <c r="J128" i="2"/>
  <c r="M128" i="2" s="1"/>
  <c r="J565" i="2"/>
  <c r="M565" i="2" s="1"/>
  <c r="J817" i="2"/>
  <c r="M817" i="2" s="1"/>
  <c r="J737" i="2"/>
  <c r="M737" i="2" s="1"/>
  <c r="J632" i="2"/>
  <c r="M632" i="2" s="1"/>
  <c r="J723" i="2"/>
  <c r="M723" i="2" s="1"/>
  <c r="J803" i="2"/>
  <c r="M803" i="2" s="1"/>
  <c r="J725" i="2"/>
  <c r="M725" i="2" s="1"/>
  <c r="J237" i="2"/>
  <c r="M237" i="2" s="1"/>
  <c r="J998" i="2"/>
  <c r="M998" i="2" s="1"/>
  <c r="J142" i="2"/>
  <c r="M142" i="2" s="1"/>
  <c r="J682" i="2"/>
  <c r="M682" i="2" s="1"/>
  <c r="J420" i="2"/>
  <c r="M420" i="2" s="1"/>
  <c r="J838" i="2"/>
  <c r="M838" i="2" s="1"/>
  <c r="J605" i="2"/>
  <c r="M605" i="2" s="1"/>
  <c r="J254" i="2"/>
  <c r="M254" i="2" s="1"/>
  <c r="J582" i="2"/>
  <c r="M582" i="2" s="1"/>
  <c r="J831" i="2"/>
  <c r="M831" i="2" s="1"/>
  <c r="J422" i="2"/>
  <c r="M422" i="2" s="1"/>
  <c r="J302" i="2"/>
  <c r="M302" i="2" s="1"/>
  <c r="J938" i="2"/>
  <c r="M938" i="2" s="1"/>
  <c r="J465" i="2"/>
  <c r="M465" i="2" s="1"/>
  <c r="J120" i="2"/>
  <c r="M120" i="2" s="1"/>
  <c r="J498" i="2"/>
  <c r="M498" i="2" s="1"/>
  <c r="J863" i="2"/>
  <c r="M863" i="2" s="1"/>
  <c r="J711" i="2"/>
  <c r="M711" i="2" s="1"/>
  <c r="J132" i="2"/>
  <c r="M132" i="2" s="1"/>
  <c r="J911" i="2"/>
  <c r="M911" i="2" s="1"/>
  <c r="J871" i="2"/>
  <c r="M871" i="2" s="1"/>
  <c r="J794" i="2"/>
  <c r="M794" i="2" s="1"/>
  <c r="J564" i="2"/>
  <c r="M564" i="2" s="1"/>
  <c r="J342" i="2"/>
  <c r="M342" i="2" s="1"/>
  <c r="J993" i="2"/>
  <c r="M993" i="2" s="1"/>
  <c r="J368" i="2"/>
  <c r="M368" i="2" s="1"/>
  <c r="J15" i="2"/>
  <c r="M15" i="2" s="1"/>
  <c r="J919" i="2"/>
  <c r="M919" i="2" s="1"/>
  <c r="J164" i="2"/>
  <c r="M164" i="2" s="1"/>
  <c r="J702" i="2"/>
  <c r="M702" i="2" s="1"/>
  <c r="J331" i="2"/>
  <c r="M331" i="2" s="1"/>
  <c r="J615" i="2"/>
  <c r="M615" i="2" s="1"/>
  <c r="J860" i="2"/>
  <c r="M860" i="2" s="1"/>
  <c r="J263" i="2"/>
  <c r="M263" i="2" s="1"/>
  <c r="J306" i="2"/>
  <c r="M306" i="2" s="1"/>
  <c r="J144" i="2"/>
  <c r="M144" i="2" s="1"/>
  <c r="J612" i="2"/>
  <c r="M612" i="2" s="1"/>
  <c r="J411" i="2"/>
  <c r="M411" i="2" s="1"/>
  <c r="J279" i="2"/>
  <c r="M279" i="2" s="1"/>
  <c r="J473" i="2"/>
  <c r="M473" i="2" s="1"/>
  <c r="J915" i="2"/>
  <c r="M915" i="2" s="1"/>
  <c r="J995" i="2"/>
  <c r="M995" i="2" s="1"/>
  <c r="J504" i="2"/>
  <c r="M504" i="2" s="1"/>
  <c r="J449" i="2"/>
  <c r="M449" i="2" s="1"/>
  <c r="J599" i="2"/>
  <c r="M599" i="2" s="1"/>
  <c r="J493" i="2"/>
  <c r="M493" i="2" s="1"/>
  <c r="J113" i="2"/>
  <c r="M113" i="2" s="1"/>
  <c r="J158" i="2"/>
  <c r="M158" i="2" s="1"/>
  <c r="J268" i="2"/>
  <c r="M268" i="2" s="1"/>
  <c r="J491" i="2"/>
  <c r="M491" i="2" s="1"/>
  <c r="J724" i="2"/>
  <c r="M724" i="2" s="1"/>
  <c r="J216" i="2"/>
  <c r="M216" i="2" s="1"/>
  <c r="J762" i="2"/>
  <c r="M762" i="2" s="1"/>
  <c r="J458" i="2"/>
  <c r="M458" i="2" s="1"/>
  <c r="J505" i="2"/>
  <c r="M505" i="2" s="1"/>
  <c r="J195" i="2"/>
  <c r="M195" i="2" s="1"/>
  <c r="J21" i="2"/>
  <c r="M21" i="2" s="1"/>
  <c r="J823" i="2"/>
  <c r="M823" i="2" s="1"/>
  <c r="J929" i="2"/>
  <c r="M929" i="2" s="1"/>
  <c r="J329" i="2"/>
  <c r="M329" i="2" s="1"/>
  <c r="J589" i="2"/>
  <c r="M589" i="2" s="1"/>
  <c r="J551" i="2"/>
  <c r="M551" i="2" s="1"/>
  <c r="J213" i="2"/>
  <c r="M213" i="2" s="1"/>
  <c r="J413" i="2"/>
  <c r="M413" i="2" s="1"/>
  <c r="J962" i="2"/>
  <c r="M962" i="2" s="1"/>
  <c r="J733" i="2"/>
  <c r="M733" i="2" s="1"/>
  <c r="J215" i="2"/>
  <c r="M215" i="2" s="1"/>
  <c r="J566" i="2"/>
  <c r="M566" i="2" s="1"/>
  <c r="J969" i="2"/>
  <c r="M969" i="2" s="1"/>
  <c r="J607" i="2"/>
  <c r="M607" i="2" s="1"/>
  <c r="J8" i="2"/>
  <c r="M8" i="2" s="1"/>
  <c r="J469" i="2"/>
  <c r="M469" i="2" s="1"/>
  <c r="J454" i="2"/>
  <c r="M454" i="2" s="1"/>
  <c r="J463" i="2"/>
  <c r="M463" i="2" s="1"/>
  <c r="J18" i="2"/>
  <c r="M18" i="2" s="1"/>
  <c r="J626" i="2"/>
  <c r="M626" i="2" s="1"/>
  <c r="J788" i="2"/>
  <c r="M788" i="2" s="1"/>
  <c r="J337" i="2"/>
  <c r="M337" i="2" s="1"/>
  <c r="J655" i="2"/>
  <c r="M655" i="2" s="1"/>
  <c r="J157" i="2"/>
  <c r="M157" i="2" s="1"/>
  <c r="J384" i="2"/>
  <c r="M384" i="2" s="1"/>
  <c r="J593" i="2"/>
  <c r="M593" i="2" s="1"/>
  <c r="J847" i="2"/>
  <c r="M847" i="2" s="1"/>
  <c r="J659" i="2"/>
  <c r="M659" i="2" s="1"/>
  <c r="J134" i="2"/>
  <c r="M134" i="2" s="1"/>
  <c r="J721" i="2"/>
  <c r="M721" i="2" s="1"/>
  <c r="J373" i="2"/>
  <c r="M373" i="2" s="1"/>
  <c r="J464" i="2"/>
  <c r="M464" i="2" s="1"/>
  <c r="J452" i="2"/>
  <c r="M452" i="2" s="1"/>
  <c r="J117" i="2"/>
  <c r="M117" i="2" s="1"/>
  <c r="J819" i="2"/>
  <c r="M819" i="2" s="1"/>
  <c r="J550" i="2"/>
  <c r="M550" i="2" s="1"/>
  <c r="J236" i="2"/>
  <c r="M236" i="2" s="1"/>
  <c r="J85" i="2"/>
  <c r="M85" i="2" s="1"/>
  <c r="J112" i="2"/>
  <c r="M112" i="2" s="1"/>
  <c r="J122" i="2"/>
  <c r="M122" i="2" s="1"/>
  <c r="J616" i="2"/>
  <c r="M616" i="2" s="1"/>
  <c r="J895" i="2"/>
  <c r="M895" i="2" s="1"/>
  <c r="J149" i="2"/>
  <c r="M149" i="2" s="1"/>
  <c r="J211" i="2"/>
  <c r="M211" i="2" s="1"/>
  <c r="J190" i="2"/>
  <c r="M190" i="2" s="1"/>
  <c r="J738" i="2"/>
  <c r="M738" i="2" s="1"/>
  <c r="J66" i="2"/>
  <c r="M66" i="2" s="1"/>
  <c r="J51" i="2"/>
  <c r="M51" i="2" s="1"/>
  <c r="J797" i="2"/>
  <c r="M797" i="2" s="1"/>
  <c r="J883" i="2"/>
  <c r="M883" i="2" s="1"/>
  <c r="J84" i="2"/>
  <c r="M84" i="2" s="1"/>
  <c r="J742" i="2"/>
  <c r="M742" i="2" s="1"/>
  <c r="J347" i="2"/>
  <c r="M347" i="2" s="1"/>
  <c r="J834" i="2"/>
  <c r="M834" i="2" s="1"/>
  <c r="J740" i="2"/>
  <c r="M740" i="2" s="1"/>
  <c r="J986" i="2"/>
  <c r="M986" i="2" s="1"/>
  <c r="J177" i="2"/>
  <c r="M177" i="2" s="1"/>
  <c r="J881" i="2"/>
  <c r="M881" i="2" s="1"/>
  <c r="J808" i="2"/>
  <c r="M808" i="2" s="1"/>
  <c r="J805" i="2"/>
  <c r="M805" i="2" s="1"/>
  <c r="J586" i="2"/>
  <c r="M586" i="2" s="1"/>
  <c r="J869" i="2"/>
  <c r="M869" i="2" s="1"/>
  <c r="J512" i="2"/>
  <c r="M512" i="2" s="1"/>
  <c r="J193" i="2"/>
  <c r="M193" i="2" s="1"/>
  <c r="J537" i="2"/>
  <c r="M537" i="2" s="1"/>
  <c r="J850" i="2"/>
  <c r="M850" i="2" s="1"/>
  <c r="J651" i="2"/>
  <c r="M651" i="2" s="1"/>
  <c r="J590" i="2"/>
  <c r="M590" i="2" s="1"/>
  <c r="J853" i="2"/>
  <c r="M853" i="2" s="1"/>
  <c r="J496" i="2"/>
  <c r="M496" i="2" s="1"/>
  <c r="J45" i="2"/>
  <c r="M45" i="2" s="1"/>
  <c r="J385" i="2"/>
  <c r="M385" i="2" s="1"/>
  <c r="J996" i="2"/>
  <c r="M996" i="2" s="1"/>
  <c r="J205" i="2"/>
  <c r="M205" i="2" s="1"/>
  <c r="J241" i="2"/>
  <c r="M241" i="2" s="1"/>
  <c r="J736" i="2"/>
  <c r="M736" i="2" s="1"/>
  <c r="J536" i="2"/>
  <c r="M536" i="2" s="1"/>
  <c r="J606" i="2"/>
  <c r="M606" i="2" s="1"/>
  <c r="J456" i="2"/>
  <c r="M456" i="2" s="1"/>
  <c r="J647" i="2"/>
  <c r="M647" i="2" s="1"/>
  <c r="J866" i="2"/>
  <c r="M866" i="2" s="1"/>
  <c r="J206" i="2"/>
  <c r="M206" i="2" s="1"/>
  <c r="J43" i="2"/>
  <c r="M43" i="2" s="1"/>
  <c r="J534" i="2"/>
  <c r="M534" i="2" s="1"/>
  <c r="J671" i="2"/>
  <c r="M671" i="2" s="1"/>
  <c r="J712" i="2"/>
  <c r="M712" i="2" s="1"/>
  <c r="J181" i="2"/>
  <c r="M181" i="2" s="1"/>
  <c r="J389" i="2"/>
  <c r="M389" i="2" s="1"/>
  <c r="J289" i="2"/>
  <c r="M289" i="2" s="1"/>
  <c r="J319" i="2"/>
  <c r="M319" i="2" s="1"/>
  <c r="J743" i="2"/>
  <c r="M743" i="2" s="1"/>
  <c r="J222" i="2"/>
  <c r="M222" i="2" s="1"/>
  <c r="J716" i="2"/>
  <c r="M716" i="2" s="1"/>
  <c r="J741" i="2"/>
  <c r="M741" i="2" s="1"/>
  <c r="J200" i="2"/>
  <c r="M200" i="2" s="1"/>
  <c r="J985" i="2"/>
  <c r="M985" i="2" s="1"/>
  <c r="J708" i="2"/>
  <c r="M708" i="2" s="1"/>
  <c r="J822" i="2"/>
  <c r="M822" i="2" s="1"/>
  <c r="J426" i="2"/>
  <c r="M426" i="2" s="1"/>
  <c r="J532" i="2"/>
  <c r="M532" i="2" s="1"/>
  <c r="J244" i="2"/>
  <c r="M244" i="2" s="1"/>
  <c r="J207" i="2"/>
  <c r="M207" i="2" s="1"/>
  <c r="J309" i="2"/>
  <c r="M309" i="2" s="1"/>
  <c r="J529" i="2"/>
  <c r="M529" i="2" s="1"/>
  <c r="J480" i="2"/>
  <c r="M480" i="2" s="1"/>
  <c r="J226" i="2"/>
  <c r="M226" i="2" s="1"/>
  <c r="J511" i="2"/>
  <c r="M511" i="2" s="1"/>
  <c r="J356" i="2"/>
  <c r="M356" i="2" s="1"/>
  <c r="J448" i="2"/>
  <c r="M448" i="2" s="1"/>
  <c r="J70" i="2"/>
  <c r="M70" i="2" s="1"/>
  <c r="J747" i="2"/>
  <c r="M747" i="2" s="1"/>
  <c r="J299" i="2"/>
  <c r="M299" i="2" s="1"/>
  <c r="J609" i="2"/>
  <c r="M609" i="2" s="1"/>
  <c r="J642" i="2"/>
  <c r="M642" i="2" s="1"/>
  <c r="J530" i="2"/>
  <c r="M530" i="2" s="1"/>
  <c r="J179" i="2"/>
  <c r="M179" i="2" s="1"/>
  <c r="J792" i="2"/>
  <c r="M792" i="2" s="1"/>
  <c r="J650" i="2"/>
  <c r="M650" i="2" s="1"/>
  <c r="J722" i="2"/>
  <c r="M722" i="2" s="1"/>
  <c r="J322" i="2"/>
  <c r="M322" i="2" s="1"/>
  <c r="J545" i="2"/>
  <c r="M545" i="2" s="1"/>
  <c r="J826" i="2"/>
  <c r="M826" i="2" s="1"/>
  <c r="J888" i="2"/>
  <c r="M888" i="2" s="1"/>
  <c r="J879" i="2"/>
  <c r="M879" i="2" s="1"/>
  <c r="J298" i="2"/>
  <c r="M298" i="2" s="1"/>
  <c r="J752" i="2"/>
  <c r="M752" i="2" s="1"/>
  <c r="J972" i="2"/>
  <c r="M972" i="2" s="1"/>
  <c r="J851" i="2"/>
  <c r="M851" i="2" s="1"/>
  <c r="J936" i="2"/>
  <c r="M936" i="2" s="1"/>
  <c r="J156" i="2"/>
  <c r="M156" i="2" s="1"/>
  <c r="J700" i="2"/>
  <c r="M700" i="2" s="1"/>
  <c r="J155" i="2"/>
  <c r="M155" i="2" s="1"/>
  <c r="J570" i="2"/>
  <c r="M570" i="2" s="1"/>
  <c r="J815" i="2"/>
  <c r="M815" i="2" s="1"/>
  <c r="J913" i="2"/>
  <c r="M913" i="2" s="1"/>
  <c r="J214" i="2"/>
  <c r="M214" i="2" s="1"/>
  <c r="J116" i="2"/>
  <c r="M116" i="2" s="1"/>
  <c r="J629" i="2"/>
  <c r="M629" i="2" s="1"/>
  <c r="J887" i="2"/>
  <c r="M887" i="2" s="1"/>
  <c r="J79" i="2"/>
  <c r="M79" i="2" s="1"/>
  <c r="J506" i="2"/>
  <c r="M506" i="2" s="1"/>
  <c r="J489" i="2"/>
  <c r="M489" i="2" s="1"/>
  <c r="J974" i="2"/>
  <c r="M974" i="2" s="1"/>
  <c r="J713" i="2"/>
  <c r="M713" i="2" s="1"/>
  <c r="J999" i="2"/>
  <c r="M999" i="2" s="1"/>
  <c r="J787" i="2"/>
  <c r="M787" i="2" s="1"/>
  <c r="J198" i="2"/>
  <c r="M198" i="2" s="1"/>
  <c r="J603" i="2"/>
  <c r="M603" i="2" s="1"/>
  <c r="J789" i="2"/>
  <c r="M789" i="2" s="1"/>
  <c r="J696" i="2"/>
  <c r="M696" i="2" s="1"/>
  <c r="J500" i="2"/>
  <c r="M500" i="2" s="1"/>
  <c r="J32" i="2"/>
  <c r="M32" i="2" s="1"/>
  <c r="J753" i="2"/>
  <c r="M753" i="2" s="1"/>
  <c r="J885" i="2"/>
  <c r="M885" i="2" s="1"/>
  <c r="J421" i="2"/>
  <c r="M421" i="2" s="1"/>
  <c r="J353" i="2"/>
  <c r="M353" i="2" s="1"/>
  <c r="J854" i="2"/>
  <c r="M854" i="2" s="1"/>
  <c r="J801" i="2"/>
  <c r="M801" i="2" s="1"/>
  <c r="J231" i="2"/>
  <c r="M231" i="2" s="1"/>
  <c r="J126" i="2"/>
  <c r="M126" i="2" s="1"/>
  <c r="J559" i="2"/>
  <c r="M559" i="2" s="1"/>
  <c r="J172" i="2"/>
  <c r="M172" i="2" s="1"/>
  <c r="J503" i="2"/>
  <c r="M503" i="2" s="1"/>
  <c r="J640" i="2"/>
  <c r="M640" i="2" s="1"/>
  <c r="J170" i="2"/>
  <c r="M170" i="2" s="1"/>
  <c r="J760" i="2"/>
  <c r="M760" i="2" s="1"/>
  <c r="J766" i="2"/>
  <c r="M766" i="2" s="1"/>
  <c r="J59" i="2"/>
  <c r="M59" i="2" s="1"/>
  <c r="J864" i="2"/>
  <c r="M864" i="2" s="1"/>
  <c r="J484" i="2"/>
  <c r="M484" i="2" s="1"/>
  <c r="J967" i="2"/>
  <c r="M967" i="2" s="1"/>
  <c r="J110" i="2"/>
  <c r="M110" i="2" s="1"/>
  <c r="J459" i="2"/>
  <c r="M459" i="2" s="1"/>
  <c r="J941" i="2"/>
  <c r="M941" i="2" s="1"/>
  <c r="J865" i="2"/>
  <c r="M865" i="2" s="1"/>
  <c r="J802" i="2"/>
  <c r="M802" i="2" s="1"/>
  <c r="J840" i="2"/>
  <c r="M840" i="2" s="1"/>
  <c r="J557" i="2"/>
  <c r="M557" i="2" s="1"/>
  <c r="J392" i="2"/>
  <c r="M392" i="2" s="1"/>
  <c r="J676" i="2"/>
  <c r="M676" i="2" s="1"/>
  <c r="J431" i="2"/>
  <c r="M431" i="2" s="1"/>
  <c r="J625" i="2"/>
  <c r="M625" i="2" s="1"/>
  <c r="J461" i="2"/>
  <c r="M461" i="2" s="1"/>
  <c r="J471" i="2"/>
  <c r="M471" i="2" s="1"/>
  <c r="J378" i="2"/>
  <c r="M378" i="2" s="1"/>
  <c r="J611" i="2"/>
  <c r="M611" i="2" s="1"/>
  <c r="J235" i="2"/>
  <c r="M235" i="2" s="1"/>
  <c r="J61" i="2"/>
  <c r="M61" i="2" s="1"/>
  <c r="J957" i="2"/>
  <c r="M957" i="2" s="1"/>
  <c r="J53" i="2"/>
  <c r="M53" i="2" s="1"/>
  <c r="J924" i="2"/>
  <c r="M924" i="2" s="1"/>
  <c r="J782" i="2"/>
  <c r="M782" i="2" s="1"/>
  <c r="J779" i="2"/>
  <c r="M779" i="2" s="1"/>
  <c r="J618" i="2"/>
  <c r="M618" i="2" s="1"/>
  <c r="J763" i="2"/>
  <c r="M763" i="2" s="1"/>
  <c r="J247" i="2"/>
  <c r="M247" i="2" s="1"/>
  <c r="J486" i="2"/>
  <c r="M486" i="2" s="1"/>
  <c r="J379" i="2"/>
  <c r="M379" i="2" s="1"/>
  <c r="J27" i="2"/>
  <c r="M27" i="2" s="1"/>
  <c r="J514" i="2"/>
  <c r="M514" i="2" s="1"/>
  <c r="J54" i="2"/>
  <c r="M54" i="2" s="1"/>
  <c r="J169" i="2"/>
  <c r="M169" i="2" s="1"/>
  <c r="J154" i="2"/>
  <c r="M154" i="2" s="1"/>
  <c r="J541" i="2"/>
  <c r="M541" i="2" s="1"/>
  <c r="J660" i="2"/>
  <c r="M660" i="2" s="1"/>
  <c r="J646" i="2"/>
  <c r="M646" i="2" s="1"/>
  <c r="J96" i="2"/>
  <c r="M96" i="2" s="1"/>
  <c r="J928" i="2"/>
  <c r="M928" i="2" s="1"/>
  <c r="J596" i="2"/>
  <c r="M596" i="2" s="1"/>
  <c r="J266" i="2"/>
  <c r="M266" i="2" s="1"/>
  <c r="J689" i="2"/>
  <c r="M689" i="2" s="1"/>
  <c r="J828" i="2"/>
  <c r="M828" i="2" s="1"/>
  <c r="J953" i="2"/>
  <c r="M953" i="2" s="1"/>
  <c r="J553" i="2"/>
  <c r="M553" i="2" s="1"/>
  <c r="J932" i="2"/>
  <c r="M932" i="2" s="1"/>
  <c r="J623" i="2"/>
  <c r="M623" i="2" s="1"/>
  <c r="J218" i="2"/>
  <c r="M218" i="2" s="1"/>
  <c r="J332" i="2"/>
  <c r="M332" i="2" s="1"/>
  <c r="J360" i="2"/>
  <c r="M360" i="2" s="1"/>
  <c r="J83" i="2"/>
  <c r="M83" i="2" s="1"/>
  <c r="J17" i="2"/>
  <c r="M17" i="2" s="1"/>
  <c r="J673" i="2"/>
  <c r="M673" i="2" s="1"/>
  <c r="J162" i="2"/>
  <c r="M162" i="2" s="1"/>
  <c r="J842" i="2"/>
  <c r="M842" i="2" s="1"/>
  <c r="J256" i="2"/>
  <c r="M256" i="2" s="1"/>
  <c r="J444" i="2"/>
  <c r="M444" i="2" s="1"/>
  <c r="J643" i="2"/>
  <c r="M643" i="2" s="1"/>
  <c r="J649" i="2"/>
  <c r="M649" i="2" s="1"/>
  <c r="J124" i="2"/>
  <c r="M124" i="2" s="1"/>
  <c r="J383" i="2"/>
  <c r="M383" i="2" s="1"/>
  <c r="J118" i="2"/>
  <c r="M118" i="2" s="1"/>
  <c r="J988" i="2"/>
  <c r="M988" i="2" s="1"/>
  <c r="J140" i="2"/>
  <c r="M140" i="2" s="1"/>
  <c r="J973" i="2"/>
  <c r="M973" i="2" s="1"/>
  <c r="J533" i="2"/>
  <c r="M533" i="2" s="1"/>
  <c r="J3" i="2"/>
  <c r="M3" i="2" s="1"/>
  <c r="J926" i="2"/>
  <c r="M926" i="2" s="1"/>
  <c r="J699" i="2"/>
  <c r="M699" i="2" s="1"/>
  <c r="J250" i="2"/>
  <c r="M250" i="2" s="1"/>
  <c r="J718" i="2"/>
  <c r="M718" i="2" s="1"/>
  <c r="J186" i="2"/>
  <c r="M186" i="2" s="1"/>
  <c r="J88" i="2"/>
  <c r="M88" i="2" s="1"/>
  <c r="J135" i="2"/>
  <c r="M135" i="2" s="1"/>
  <c r="J11" i="2"/>
  <c r="M11" i="2" s="1"/>
  <c r="J166" i="2"/>
  <c r="M166" i="2" s="1"/>
  <c r="J87" i="2"/>
  <c r="M87" i="2" s="1"/>
  <c r="J412" i="2"/>
  <c r="M412" i="2" s="1"/>
  <c r="J102" i="2"/>
  <c r="M102" i="2" s="1"/>
  <c r="J679" i="2"/>
  <c r="M679" i="2" s="1"/>
  <c r="J773" i="2"/>
  <c r="M773" i="2" s="1"/>
  <c r="J252" i="2"/>
  <c r="M252" i="2" s="1"/>
  <c r="J243" i="2"/>
  <c r="M243" i="2" s="1"/>
  <c r="J891" i="2"/>
  <c r="M891" i="2" s="1"/>
  <c r="J698" i="2"/>
  <c r="M698" i="2" s="1"/>
  <c r="J731" i="2"/>
  <c r="M731" i="2" s="1"/>
  <c r="J439" i="2"/>
  <c r="M439" i="2" s="1"/>
  <c r="J780" i="2"/>
  <c r="M780" i="2" s="1"/>
  <c r="J951" i="2"/>
  <c r="M951" i="2" s="1"/>
  <c r="J684" i="2"/>
  <c r="M684" i="2" s="1"/>
  <c r="J343" i="2"/>
  <c r="M343" i="2" s="1"/>
  <c r="J224" i="2"/>
  <c r="M224" i="2" s="1"/>
  <c r="J277" i="2"/>
  <c r="M277" i="2" s="1"/>
  <c r="J77" i="2"/>
  <c r="M77" i="2" s="1"/>
  <c r="J119" i="2"/>
  <c r="M119" i="2" s="1"/>
  <c r="J690" i="2"/>
  <c r="M690" i="2" s="1"/>
  <c r="J423" i="2"/>
  <c r="M423" i="2" s="1"/>
  <c r="J288" i="2"/>
  <c r="M288" i="2" s="1"/>
  <c r="J666" i="2"/>
  <c r="M666" i="2" s="1"/>
  <c r="J403" i="2"/>
  <c r="M403" i="2" s="1"/>
  <c r="J714" i="2"/>
  <c r="M714" i="2" s="1"/>
  <c r="J704" i="2"/>
  <c r="M704" i="2" s="1"/>
  <c r="J543" i="2"/>
  <c r="M543" i="2" s="1"/>
  <c r="J408" i="2"/>
  <c r="M408" i="2" s="1"/>
  <c r="J954" i="2"/>
  <c r="M954" i="2" s="1"/>
  <c r="J552" i="2"/>
  <c r="M552" i="2" s="1"/>
  <c r="J648" i="2"/>
  <c r="M648" i="2" s="1"/>
  <c r="J811" i="2"/>
  <c r="M811" i="2" s="1"/>
  <c r="J12" i="2"/>
  <c r="M12" i="2" s="1"/>
  <c r="J750" i="2"/>
  <c r="M750" i="2" s="1"/>
  <c r="J63" i="2"/>
  <c r="M63" i="2" s="1"/>
  <c r="J76" i="2"/>
  <c r="M76" i="2" s="1"/>
  <c r="J518" i="2"/>
  <c r="M518" i="2" s="1"/>
  <c r="J771" i="2"/>
  <c r="M771" i="2" s="1"/>
  <c r="J427" i="2"/>
  <c r="M427" i="2" s="1"/>
  <c r="J246" i="2"/>
  <c r="M246" i="2" s="1"/>
  <c r="J809" i="2"/>
  <c r="M809" i="2" s="1"/>
  <c r="J509" i="2"/>
  <c r="M509" i="2" s="1"/>
  <c r="J833" i="2"/>
  <c r="M833" i="2" s="1"/>
  <c r="J100" i="2"/>
  <c r="M100" i="2" s="1"/>
  <c r="J634" i="2"/>
  <c r="M634" i="2" s="1"/>
  <c r="J115" i="2"/>
  <c r="M115" i="2" s="1"/>
  <c r="J381" i="2"/>
  <c r="M381" i="2" s="1"/>
  <c r="J19" i="2"/>
  <c r="M19" i="2" s="1"/>
  <c r="J48" i="2"/>
  <c r="M48" i="2" s="1"/>
  <c r="J683" i="2"/>
  <c r="M683" i="2" s="1"/>
  <c r="J585" i="2"/>
  <c r="M585" i="2" s="1"/>
  <c r="J707" i="2"/>
  <c r="M707" i="2" s="1"/>
  <c r="J621" i="2"/>
  <c r="M621" i="2" s="1"/>
  <c r="J1000" i="2"/>
  <c r="M1000" i="2" s="1"/>
  <c r="J101" i="2"/>
  <c r="M101" i="2" s="1"/>
  <c r="J171" i="2"/>
  <c r="M171" i="2" s="1"/>
  <c r="J958" i="2"/>
  <c r="M958" i="2" s="1"/>
  <c r="J979" i="2"/>
  <c r="M979" i="2" s="1"/>
  <c r="J624" i="2"/>
  <c r="M624" i="2" s="1"/>
  <c r="J729" i="2"/>
  <c r="M729" i="2" s="1"/>
  <c r="J414" i="2"/>
  <c r="M414" i="2" s="1"/>
  <c r="J185" i="2"/>
  <c r="M185" i="2" s="1"/>
  <c r="J26" i="2"/>
  <c r="M26" i="2" s="1"/>
  <c r="J210" i="2"/>
  <c r="M210" i="2" s="1"/>
  <c r="J907" i="2"/>
  <c r="M907" i="2" s="1"/>
  <c r="J681" i="2"/>
  <c r="M681" i="2" s="1"/>
  <c r="J807" i="2"/>
  <c r="M807" i="2" s="1"/>
  <c r="J785" i="2"/>
  <c r="M785" i="2" s="1"/>
  <c r="J280" i="2"/>
  <c r="M280" i="2" s="1"/>
  <c r="J137" i="2"/>
  <c r="M137" i="2" s="1"/>
  <c r="J778" i="2"/>
  <c r="M778" i="2" s="1"/>
  <c r="J922" i="2"/>
  <c r="M922" i="2" s="1"/>
  <c r="J287" i="2"/>
  <c r="M287" i="2" s="1"/>
  <c r="J406" i="2"/>
  <c r="M406" i="2" s="1"/>
  <c r="J194" i="2"/>
  <c r="M194" i="2" s="1"/>
  <c r="J14" i="2"/>
  <c r="M14" i="2" s="1"/>
  <c r="J234" i="2"/>
  <c r="M234" i="2" s="1"/>
  <c r="J829" i="2"/>
  <c r="M829" i="2" s="1"/>
  <c r="J990" i="2"/>
  <c r="M990" i="2" s="1"/>
  <c r="J976" i="2"/>
  <c r="M976" i="2" s="1"/>
  <c r="J396" i="2"/>
  <c r="M396" i="2" s="1"/>
  <c r="J488" i="2"/>
  <c r="M488" i="2" s="1"/>
  <c r="L816" i="2" l="1"/>
  <c r="N816" i="2" s="1"/>
  <c r="T816" i="2" s="1"/>
  <c r="L890" i="2"/>
  <c r="N890" i="2" s="1"/>
  <c r="T890" i="2" s="1"/>
  <c r="L963" i="2"/>
  <c r="N963" i="2" s="1"/>
  <c r="T963" i="2" s="1"/>
  <c r="L515" i="2"/>
  <c r="N515" i="2" s="1"/>
  <c r="T515" i="2" s="1"/>
  <c r="L526" i="2"/>
  <c r="N526" i="2" s="1"/>
  <c r="T526" i="2" s="1"/>
  <c r="L293" i="2"/>
  <c r="N293" i="2" s="1"/>
  <c r="T293" i="2" s="1"/>
  <c r="L561" i="2"/>
  <c r="N561" i="2" s="1"/>
  <c r="T561" i="2" s="1"/>
  <c r="L194" i="2"/>
  <c r="N194" i="2" s="1"/>
  <c r="T194" i="2" s="1"/>
  <c r="L954" i="2"/>
  <c r="N954" i="2" s="1"/>
  <c r="T954" i="2" s="1"/>
  <c r="L11" i="2"/>
  <c r="N11" i="2" s="1"/>
  <c r="T11" i="2" s="1"/>
  <c r="L279" i="2"/>
  <c r="N279" i="2" s="1"/>
  <c r="T279" i="2" s="1"/>
  <c r="L15" i="2"/>
  <c r="N15" i="2" s="1"/>
  <c r="T15" i="2" s="1"/>
  <c r="L936" i="2"/>
  <c r="N936" i="2" s="1"/>
  <c r="T936" i="2" s="1"/>
  <c r="L70" i="2"/>
  <c r="N70" i="2" s="1"/>
  <c r="T70" i="2" s="1"/>
  <c r="L181" i="2"/>
  <c r="N181" i="2" s="1"/>
  <c r="T181" i="2" s="1"/>
  <c r="L440" i="2"/>
  <c r="N440" i="2" s="1"/>
  <c r="T440" i="2" s="1"/>
  <c r="L117" i="2"/>
  <c r="N117" i="2" s="1"/>
  <c r="T117" i="2" s="1"/>
  <c r="L229" i="2"/>
  <c r="N229" i="2" s="1"/>
  <c r="T229" i="2" s="1"/>
  <c r="L672" i="2"/>
  <c r="N672" i="2" s="1"/>
  <c r="T672" i="2" s="1"/>
  <c r="L307" i="2"/>
  <c r="N307" i="2" s="1"/>
  <c r="T307" i="2" s="1"/>
  <c r="L554" i="2"/>
  <c r="N554" i="2" s="1"/>
  <c r="T554" i="2" s="1"/>
  <c r="L918" i="2"/>
  <c r="N918" i="2" s="1"/>
  <c r="T918" i="2" s="1"/>
  <c r="L174" i="2"/>
  <c r="N174" i="2" s="1"/>
  <c r="T174" i="2" s="1"/>
  <c r="L275" i="2"/>
  <c r="N275" i="2" s="1"/>
  <c r="T275" i="2" s="1"/>
  <c r="L777" i="2"/>
  <c r="N777" i="2" s="1"/>
  <c r="T777" i="2" s="1"/>
  <c r="L427" i="2"/>
  <c r="N427" i="2" s="1"/>
  <c r="T427" i="2" s="1"/>
  <c r="L158" i="2"/>
  <c r="N158" i="2" s="1"/>
  <c r="T158" i="2" s="1"/>
  <c r="L694" i="2"/>
  <c r="N694" i="2" s="1"/>
  <c r="T694" i="2" s="1"/>
  <c r="L385" i="2"/>
  <c r="N385" i="2" s="1"/>
  <c r="T385" i="2" s="1"/>
  <c r="L327" i="2"/>
  <c r="N327" i="2" s="1"/>
  <c r="T327" i="2" s="1"/>
  <c r="L685" i="2"/>
  <c r="N685" i="2" s="1"/>
  <c r="T685" i="2" s="1"/>
  <c r="L9" i="2"/>
  <c r="N9" i="2" s="1"/>
  <c r="T9" i="2" s="1"/>
  <c r="L67" i="2"/>
  <c r="N67" i="2" s="1"/>
  <c r="T67" i="2" s="1"/>
  <c r="L594" i="2"/>
  <c r="N594" i="2" s="1"/>
  <c r="T594" i="2" s="1"/>
  <c r="L370" i="2"/>
  <c r="N370" i="2" s="1"/>
  <c r="T370" i="2" s="1"/>
  <c r="L26" i="2"/>
  <c r="N26" i="2" s="1"/>
  <c r="T26" i="2" s="1"/>
  <c r="L8" i="2"/>
  <c r="N8" i="2" s="1"/>
  <c r="T8" i="2" s="1"/>
  <c r="L465" i="2"/>
  <c r="N465" i="2" s="1"/>
  <c r="T465" i="2" s="1"/>
  <c r="L351" i="2"/>
  <c r="N351" i="2" s="1"/>
  <c r="T351" i="2" s="1"/>
  <c r="L757" i="2"/>
  <c r="N757" i="2" s="1"/>
  <c r="T757" i="2" s="1"/>
  <c r="L349" i="2"/>
  <c r="N349" i="2" s="1"/>
  <c r="T349" i="2" s="1"/>
  <c r="L314" i="2"/>
  <c r="N314" i="2" s="1"/>
  <c r="T314" i="2" s="1"/>
  <c r="L133" i="2"/>
  <c r="N133" i="2" s="1"/>
  <c r="T133" i="2" s="1"/>
  <c r="L814" i="2"/>
  <c r="N814" i="2" s="1"/>
  <c r="T814" i="2" s="1"/>
  <c r="L303" i="2"/>
  <c r="N303" i="2" s="1"/>
  <c r="T303" i="2" s="1"/>
  <c r="L163" i="2"/>
  <c r="N163" i="2" s="1"/>
  <c r="T163" i="2" s="1"/>
  <c r="L585" i="2"/>
  <c r="N585" i="2" s="1"/>
  <c r="T585" i="2" s="1"/>
  <c r="L589" i="2"/>
  <c r="N589" i="2" s="1"/>
  <c r="T589" i="2" s="1"/>
  <c r="L214" i="2"/>
  <c r="N214" i="2" s="1"/>
  <c r="T214" i="2" s="1"/>
  <c r="L994" i="2"/>
  <c r="N994" i="2" s="1"/>
  <c r="T994" i="2" s="1"/>
  <c r="L895" i="2"/>
  <c r="N895" i="2" s="1"/>
  <c r="T895" i="2" s="1"/>
  <c r="L868" i="2"/>
  <c r="N868" i="2" s="1"/>
  <c r="T868" i="2" s="1"/>
  <c r="L756" i="2"/>
  <c r="N756" i="2" s="1"/>
  <c r="T756" i="2" s="1"/>
  <c r="L522" i="2"/>
  <c r="N522" i="2" s="1"/>
  <c r="T522" i="2" s="1"/>
  <c r="L339" i="2"/>
  <c r="N339" i="2" s="1"/>
  <c r="T339" i="2" s="1"/>
  <c r="L178" i="2"/>
  <c r="N178" i="2" s="1"/>
  <c r="T178" i="2" s="1"/>
  <c r="L578" i="2"/>
  <c r="N578" i="2" s="1"/>
  <c r="T578" i="2" s="1"/>
  <c r="L46" i="2"/>
  <c r="N46" i="2" s="1"/>
  <c r="T46" i="2" s="1"/>
  <c r="L632" i="2"/>
  <c r="N632" i="2" s="1"/>
  <c r="T632" i="2" s="1"/>
  <c r="L45" i="2"/>
  <c r="N45" i="2" s="1"/>
  <c r="T45" i="2" s="1"/>
  <c r="L278" i="2"/>
  <c r="N278" i="2" s="1"/>
  <c r="T278" i="2" s="1"/>
  <c r="L671" i="2"/>
  <c r="N671" i="2" s="1"/>
  <c r="T671" i="2" s="1"/>
  <c r="L428" i="2"/>
  <c r="N428" i="2" s="1"/>
  <c r="T428" i="2" s="1"/>
  <c r="L754" i="2"/>
  <c r="N754" i="2" s="1"/>
  <c r="T754" i="2" s="1"/>
  <c r="L295" i="2"/>
  <c r="N295" i="2" s="1"/>
  <c r="T295" i="2" s="1"/>
  <c r="L185" i="2"/>
  <c r="N185" i="2" s="1"/>
  <c r="T185" i="2" s="1"/>
  <c r="L88" i="2"/>
  <c r="N88" i="2" s="1"/>
  <c r="T88" i="2" s="1"/>
  <c r="L113" i="2"/>
  <c r="N113" i="2" s="1"/>
  <c r="T113" i="2" s="1"/>
  <c r="L900" i="2"/>
  <c r="N900" i="2" s="1"/>
  <c r="T900" i="2" s="1"/>
  <c r="L712" i="2"/>
  <c r="N712" i="2" s="1"/>
  <c r="T712" i="2" s="1"/>
  <c r="L616" i="2"/>
  <c r="N616" i="2" s="1"/>
  <c r="T616" i="2" s="1"/>
  <c r="L687" i="2"/>
  <c r="N687" i="2" s="1"/>
  <c r="T687" i="2" s="1"/>
  <c r="L52" i="2"/>
  <c r="N52" i="2" s="1"/>
  <c r="T52" i="2" s="1"/>
  <c r="L184" i="2"/>
  <c r="N184" i="2" s="1"/>
  <c r="T184" i="2" s="1"/>
  <c r="L451" i="2"/>
  <c r="N451" i="2" s="1"/>
  <c r="T451" i="2" s="1"/>
  <c r="L455" i="2"/>
  <c r="N455" i="2" s="1"/>
  <c r="T455" i="2" s="1"/>
  <c r="L57" i="2"/>
  <c r="N57" i="2" s="1"/>
  <c r="T57" i="2" s="1"/>
  <c r="L461" i="2"/>
  <c r="N461" i="2" s="1"/>
  <c r="T461" i="2" s="1"/>
  <c r="L556" i="2"/>
  <c r="N556" i="2" s="1"/>
  <c r="T556" i="2" s="1"/>
  <c r="L847" i="2"/>
  <c r="N847" i="2" s="1"/>
  <c r="T847" i="2" s="1"/>
  <c r="L450" i="2"/>
  <c r="N450" i="2" s="1"/>
  <c r="T450" i="2" s="1"/>
  <c r="L3" i="2"/>
  <c r="N3" i="2" s="1"/>
  <c r="T3" i="2" s="1"/>
  <c r="L128" i="2"/>
  <c r="N128" i="2" s="1"/>
  <c r="T128" i="2" s="1"/>
  <c r="L59" i="2"/>
  <c r="N59" i="2" s="1"/>
  <c r="T59" i="2" s="1"/>
  <c r="L875" i="2"/>
  <c r="N875" i="2" s="1"/>
  <c r="T875" i="2" s="1"/>
  <c r="L25" i="2"/>
  <c r="N25" i="2" s="1"/>
  <c r="T25" i="2" s="1"/>
  <c r="L435" i="2"/>
  <c r="N435" i="2" s="1"/>
  <c r="T435" i="2" s="1"/>
  <c r="L558" i="2"/>
  <c r="N558" i="2" s="1"/>
  <c r="T558" i="2" s="1"/>
  <c r="L76" i="2"/>
  <c r="N76" i="2" s="1"/>
  <c r="T76" i="2" s="1"/>
  <c r="L270" i="2"/>
  <c r="N270" i="2" s="1"/>
  <c r="T270" i="2" s="1"/>
  <c r="L467" i="2"/>
  <c r="N467" i="2" s="1"/>
  <c r="T467" i="2" s="1"/>
  <c r="L272" i="2"/>
  <c r="N272" i="2" s="1"/>
  <c r="T272" i="2" s="1"/>
  <c r="L219" i="2"/>
  <c r="N219" i="2" s="1"/>
  <c r="T219" i="2" s="1"/>
  <c r="L42" i="2"/>
  <c r="N42" i="2" s="1"/>
  <c r="T42" i="2" s="1"/>
  <c r="L381" i="2"/>
  <c r="N381" i="2" s="1"/>
  <c r="T381" i="2" s="1"/>
  <c r="L969" i="2"/>
  <c r="N969" i="2" s="1"/>
  <c r="T969" i="2" s="1"/>
  <c r="L422" i="2"/>
  <c r="N422" i="2" s="1"/>
  <c r="T422" i="2" s="1"/>
  <c r="L464" i="2"/>
  <c r="N464" i="2" s="1"/>
  <c r="T464" i="2" s="1"/>
  <c r="L651" i="2"/>
  <c r="N651" i="2" s="1"/>
  <c r="T651" i="2" s="1"/>
  <c r="L983" i="2"/>
  <c r="N983" i="2" s="1"/>
  <c r="T983" i="2" s="1"/>
  <c r="L271" i="2"/>
  <c r="N271" i="2" s="1"/>
  <c r="T271" i="2" s="1"/>
  <c r="L338" i="2"/>
  <c r="N338" i="2" s="1"/>
  <c r="T338" i="2" s="1"/>
  <c r="L291" i="2"/>
  <c r="N291" i="2" s="1"/>
  <c r="T291" i="2" s="1"/>
  <c r="L357" i="2"/>
  <c r="N357" i="2" s="1"/>
  <c r="T357" i="2" s="1"/>
  <c r="L921" i="2"/>
  <c r="N921" i="2" s="1"/>
  <c r="T921" i="2" s="1"/>
  <c r="L364" i="2"/>
  <c r="N364" i="2" s="1"/>
  <c r="T364" i="2" s="1"/>
  <c r="L840" i="2"/>
  <c r="N840" i="2" s="1"/>
  <c r="T840" i="2" s="1"/>
  <c r="L68" i="2"/>
  <c r="N68" i="2" s="1"/>
  <c r="T68" i="2" s="1"/>
  <c r="L384" i="2"/>
  <c r="N384" i="2" s="1"/>
  <c r="T384" i="2" s="1"/>
  <c r="L531" i="2"/>
  <c r="N531" i="2" s="1"/>
  <c r="T531" i="2" s="1"/>
  <c r="L689" i="2"/>
  <c r="N689" i="2" s="1"/>
  <c r="T689" i="2" s="1"/>
  <c r="L773" i="2"/>
  <c r="N773" i="2" s="1"/>
  <c r="T773" i="2" s="1"/>
  <c r="L549" i="2"/>
  <c r="N549" i="2" s="1"/>
  <c r="T549" i="2" s="1"/>
  <c r="L916" i="2"/>
  <c r="N916" i="2" s="1"/>
  <c r="T916" i="2" s="1"/>
  <c r="L121" i="2"/>
  <c r="N121" i="2" s="1"/>
  <c r="T121" i="2" s="1"/>
  <c r="L56" i="2"/>
  <c r="N56" i="2" s="1"/>
  <c r="T56" i="2" s="1"/>
  <c r="L345" i="2"/>
  <c r="N345" i="2" s="1"/>
  <c r="T345" i="2" s="1"/>
  <c r="L494" i="2"/>
  <c r="N494" i="2" s="1"/>
  <c r="T494" i="2" s="1"/>
  <c r="L744" i="2"/>
  <c r="N744" i="2" s="1"/>
  <c r="T744" i="2" s="1"/>
  <c r="L647" i="2"/>
  <c r="N647" i="2" s="1"/>
  <c r="T647" i="2" s="1"/>
  <c r="L930" i="2"/>
  <c r="N930" i="2" s="1"/>
  <c r="T930" i="2" s="1"/>
  <c r="L703" i="2"/>
  <c r="N703" i="2" s="1"/>
  <c r="T703" i="2" s="1"/>
  <c r="L333" i="2"/>
  <c r="N333" i="2" s="1"/>
  <c r="T333" i="2" s="1"/>
  <c r="L976" i="2"/>
  <c r="N976" i="2" s="1"/>
  <c r="T976" i="2" s="1"/>
  <c r="L63" i="2"/>
  <c r="N63" i="2" s="1"/>
  <c r="T63" i="2" s="1"/>
  <c r="L458" i="2"/>
  <c r="N458" i="2" s="1"/>
  <c r="T458" i="2" s="1"/>
  <c r="L401" i="2"/>
  <c r="N401" i="2" s="1"/>
  <c r="T401" i="2" s="1"/>
  <c r="L373" i="2"/>
  <c r="N373" i="2" s="1"/>
  <c r="T373" i="2" s="1"/>
  <c r="L261" i="2"/>
  <c r="N261" i="2" s="1"/>
  <c r="T261" i="2" s="1"/>
  <c r="L372" i="2"/>
  <c r="N372" i="2" s="1"/>
  <c r="T372" i="2" s="1"/>
  <c r="L50" i="2"/>
  <c r="N50" i="2" s="1"/>
  <c r="T50" i="2" s="1"/>
  <c r="L405" i="2"/>
  <c r="N405" i="2" s="1"/>
  <c r="T405" i="2" s="1"/>
  <c r="L150" i="2"/>
  <c r="N150" i="2" s="1"/>
  <c r="T150" i="2" s="1"/>
  <c r="L739" i="2"/>
  <c r="N739" i="2" s="1"/>
  <c r="T739" i="2" s="1"/>
  <c r="L387" i="2"/>
  <c r="N387" i="2" s="1"/>
  <c r="T387" i="2" s="1"/>
  <c r="L941" i="2"/>
  <c r="N941" i="2" s="1"/>
  <c r="T941" i="2" s="1"/>
  <c r="L652" i="2"/>
  <c r="N652" i="2" s="1"/>
  <c r="T652" i="2" s="1"/>
  <c r="L337" i="2"/>
  <c r="N337" i="2" s="1"/>
  <c r="T337" i="2" s="1"/>
  <c r="L761" i="2"/>
  <c r="N761" i="2" s="1"/>
  <c r="T761" i="2" s="1"/>
  <c r="L864" i="2"/>
  <c r="N864" i="2" s="1"/>
  <c r="T864" i="2" s="1"/>
  <c r="L96" i="2"/>
  <c r="N96" i="2" s="1"/>
  <c r="T96" i="2" s="1"/>
  <c r="L794" i="2"/>
  <c r="N794" i="2" s="1"/>
  <c r="T794" i="2" s="1"/>
  <c r="L576" i="2"/>
  <c r="N576" i="2" s="1"/>
  <c r="T576" i="2" s="1"/>
  <c r="L735" i="2"/>
  <c r="N735" i="2" s="1"/>
  <c r="T735" i="2" s="1"/>
  <c r="L230" i="2"/>
  <c r="N230" i="2" s="1"/>
  <c r="T230" i="2" s="1"/>
  <c r="L874" i="2"/>
  <c r="N874" i="2" s="1"/>
  <c r="T874" i="2" s="1"/>
  <c r="L905" i="2"/>
  <c r="N905" i="2" s="1"/>
  <c r="T905" i="2" s="1"/>
  <c r="L320" i="2"/>
  <c r="N320" i="2" s="1"/>
  <c r="T320" i="2" s="1"/>
  <c r="L24" i="2"/>
  <c r="N24" i="2" s="1"/>
  <c r="T24" i="2" s="1"/>
  <c r="L149" i="2"/>
  <c r="N149" i="2" s="1"/>
  <c r="T149" i="2" s="1"/>
  <c r="L146" i="2"/>
  <c r="N146" i="2" s="1"/>
  <c r="T146" i="2" s="1"/>
  <c r="L93" i="2"/>
  <c r="N93" i="2" s="1"/>
  <c r="T93" i="2" s="1"/>
  <c r="L397" i="2"/>
  <c r="N397" i="2" s="1"/>
  <c r="T397" i="2" s="1"/>
  <c r="L446" i="2"/>
  <c r="N446" i="2" s="1"/>
  <c r="T446" i="2" s="1"/>
  <c r="L960" i="2"/>
  <c r="N960" i="2" s="1"/>
  <c r="T960" i="2" s="1"/>
  <c r="L217" i="2"/>
  <c r="N217" i="2" s="1"/>
  <c r="T217" i="2" s="1"/>
  <c r="L748" i="2"/>
  <c r="N748" i="2" s="1"/>
  <c r="T748" i="2" s="1"/>
  <c r="L598" i="2"/>
  <c r="N598" i="2" s="1"/>
  <c r="T598" i="2" s="1"/>
  <c r="L242" i="2"/>
  <c r="N242" i="2" s="1"/>
  <c r="T242" i="2" s="1"/>
  <c r="L990" i="2"/>
  <c r="N990" i="2" s="1"/>
  <c r="T990" i="2" s="1"/>
  <c r="L280" i="2"/>
  <c r="N280" i="2" s="1"/>
  <c r="T280" i="2" s="1"/>
  <c r="L979" i="2"/>
  <c r="N979" i="2" s="1"/>
  <c r="T979" i="2" s="1"/>
  <c r="L634" i="2"/>
  <c r="N634" i="2" s="1"/>
  <c r="T634" i="2" s="1"/>
  <c r="L750" i="2"/>
  <c r="N750" i="2" s="1"/>
  <c r="T750" i="2" s="1"/>
  <c r="L77" i="2"/>
  <c r="N77" i="2" s="1"/>
  <c r="T77" i="2" s="1"/>
  <c r="L626" i="2"/>
  <c r="N626" i="2" s="1"/>
  <c r="T626" i="2" s="1"/>
  <c r="L215" i="2"/>
  <c r="N215" i="2" s="1"/>
  <c r="T215" i="2" s="1"/>
  <c r="L762" i="2"/>
  <c r="N762" i="2" s="1"/>
  <c r="T762" i="2" s="1"/>
  <c r="L504" i="2"/>
  <c r="N504" i="2" s="1"/>
  <c r="T504" i="2" s="1"/>
  <c r="L860" i="2"/>
  <c r="N860" i="2" s="1"/>
  <c r="T860" i="2" s="1"/>
  <c r="L871" i="2"/>
  <c r="N871" i="2" s="1"/>
  <c r="T871" i="2" s="1"/>
  <c r="L582" i="2"/>
  <c r="N582" i="2" s="1"/>
  <c r="T582" i="2" s="1"/>
  <c r="L155" i="2"/>
  <c r="N155" i="2" s="1"/>
  <c r="T155" i="2" s="1"/>
  <c r="L879" i="2"/>
  <c r="N879" i="2" s="1"/>
  <c r="T879" i="2" s="1"/>
  <c r="L179" i="2"/>
  <c r="N179" i="2" s="1"/>
  <c r="T179" i="2" s="1"/>
  <c r="L511" i="2"/>
  <c r="N511" i="2" s="1"/>
  <c r="T511" i="2" s="1"/>
  <c r="L426" i="2"/>
  <c r="N426" i="2" s="1"/>
  <c r="T426" i="2" s="1"/>
  <c r="L721" i="2"/>
  <c r="N721" i="2" s="1"/>
  <c r="T721" i="2" s="1"/>
  <c r="L206" i="2"/>
  <c r="N206" i="2" s="1"/>
  <c r="T206" i="2" s="1"/>
  <c r="L537" i="2"/>
  <c r="N537" i="2" s="1"/>
  <c r="T537" i="2" s="1"/>
  <c r="L64" i="2"/>
  <c r="N64" i="2" s="1"/>
  <c r="T64" i="2" s="1"/>
  <c r="L311" i="2"/>
  <c r="N311" i="2" s="1"/>
  <c r="T311" i="2" s="1"/>
  <c r="L85" i="2"/>
  <c r="N85" i="2" s="1"/>
  <c r="T85" i="2" s="1"/>
  <c r="L296" i="2"/>
  <c r="N296" i="2" s="1"/>
  <c r="T296" i="2" s="1"/>
  <c r="L221" i="2"/>
  <c r="N221" i="2" s="1"/>
  <c r="T221" i="2" s="1"/>
  <c r="L388" i="2"/>
  <c r="N388" i="2" s="1"/>
  <c r="T388" i="2" s="1"/>
  <c r="L267" i="2"/>
  <c r="N267" i="2" s="1"/>
  <c r="T267" i="2" s="1"/>
  <c r="L813" i="2"/>
  <c r="N813" i="2" s="1"/>
  <c r="T813" i="2" s="1"/>
  <c r="L341" i="2"/>
  <c r="N341" i="2" s="1"/>
  <c r="T341" i="2" s="1"/>
  <c r="L159" i="2"/>
  <c r="N159" i="2" s="1"/>
  <c r="T159" i="2" s="1"/>
  <c r="L297" i="2"/>
  <c r="N297" i="2" s="1"/>
  <c r="T297" i="2" s="1"/>
  <c r="L350" i="2"/>
  <c r="N350" i="2" s="1"/>
  <c r="T350" i="2" s="1"/>
  <c r="L475" i="2"/>
  <c r="N475" i="2" s="1"/>
  <c r="T475" i="2" s="1"/>
  <c r="L989" i="2"/>
  <c r="N989" i="2" s="1"/>
  <c r="T989" i="2" s="1"/>
  <c r="L878" i="2"/>
  <c r="N878" i="2" s="1"/>
  <c r="T878" i="2" s="1"/>
  <c r="L72" i="2"/>
  <c r="N72" i="2" s="1"/>
  <c r="T72" i="2" s="1"/>
  <c r="L583" i="2"/>
  <c r="N583" i="2" s="1"/>
  <c r="T583" i="2" s="1"/>
  <c r="L770" i="2"/>
  <c r="N770" i="2" s="1"/>
  <c r="T770" i="2" s="1"/>
  <c r="L893" i="2"/>
  <c r="N893" i="2" s="1"/>
  <c r="T893" i="2" s="1"/>
  <c r="L560" i="2"/>
  <c r="N560" i="2" s="1"/>
  <c r="T560" i="2" s="1"/>
  <c r="L514" i="2"/>
  <c r="N514" i="2" s="1"/>
  <c r="T514" i="2" s="1"/>
  <c r="L587" i="2"/>
  <c r="N587" i="2" s="1"/>
  <c r="T587" i="2" s="1"/>
  <c r="L884" i="2"/>
  <c r="N884" i="2" s="1"/>
  <c r="T884" i="2" s="1"/>
  <c r="L436" i="2"/>
  <c r="N436" i="2" s="1"/>
  <c r="T436" i="2" s="1"/>
  <c r="L665" i="2"/>
  <c r="N665" i="2" s="1"/>
  <c r="T665" i="2" s="1"/>
  <c r="L73" i="2"/>
  <c r="N73" i="2" s="1"/>
  <c r="T73" i="2" s="1"/>
  <c r="L346" i="2"/>
  <c r="N346" i="2" s="1"/>
  <c r="T346" i="2" s="1"/>
  <c r="L540" i="2"/>
  <c r="N540" i="2" s="1"/>
  <c r="T540" i="2" s="1"/>
  <c r="L182" i="2"/>
  <c r="N182" i="2" s="1"/>
  <c r="T182" i="2" s="1"/>
  <c r="L201" i="2"/>
  <c r="N201" i="2" s="1"/>
  <c r="T201" i="2" s="1"/>
  <c r="L679" i="2"/>
  <c r="N679" i="2" s="1"/>
  <c r="T679" i="2" s="1"/>
  <c r="L54" i="2"/>
  <c r="N54" i="2" s="1"/>
  <c r="T54" i="2" s="1"/>
  <c r="L967" i="2"/>
  <c r="N967" i="2" s="1"/>
  <c r="T967" i="2" s="1"/>
  <c r="L489" i="2"/>
  <c r="N489" i="2" s="1"/>
  <c r="T489" i="2" s="1"/>
  <c r="L630" i="2"/>
  <c r="N630" i="2" s="1"/>
  <c r="T630" i="2" s="1"/>
  <c r="L273" i="2"/>
  <c r="N273" i="2" s="1"/>
  <c r="T273" i="2" s="1"/>
  <c r="L209" i="2"/>
  <c r="N209" i="2" s="1"/>
  <c r="T209" i="2" s="1"/>
  <c r="L920" i="2"/>
  <c r="N920" i="2" s="1"/>
  <c r="T920" i="2" s="1"/>
  <c r="L186" i="2"/>
  <c r="N186" i="2" s="1"/>
  <c r="T186" i="2" s="1"/>
  <c r="L782" i="2"/>
  <c r="N782" i="2" s="1"/>
  <c r="T782" i="2" s="1"/>
  <c r="L503" i="2"/>
  <c r="N503" i="2" s="1"/>
  <c r="T503" i="2" s="1"/>
  <c r="L188" i="2"/>
  <c r="N188" i="2" s="1"/>
  <c r="T188" i="2" s="1"/>
  <c r="L165" i="2"/>
  <c r="N165" i="2" s="1"/>
  <c r="T165" i="2" s="1"/>
  <c r="L805" i="2"/>
  <c r="N805" i="2" s="1"/>
  <c r="T805" i="2" s="1"/>
  <c r="L305" i="2"/>
  <c r="N305" i="2" s="1"/>
  <c r="T305" i="2" s="1"/>
  <c r="L986" i="2"/>
  <c r="N986" i="2" s="1"/>
  <c r="T986" i="2" s="1"/>
  <c r="L806" i="2"/>
  <c r="N806" i="2" s="1"/>
  <c r="T806" i="2" s="1"/>
  <c r="L602" i="2"/>
  <c r="N602" i="2" s="1"/>
  <c r="T602" i="2" s="1"/>
  <c r="L444" i="2"/>
  <c r="N444" i="2" s="1"/>
  <c r="T444" i="2" s="1"/>
  <c r="L154" i="2"/>
  <c r="N154" i="2" s="1"/>
  <c r="T154" i="2" s="1"/>
  <c r="L170" i="2"/>
  <c r="N170" i="2" s="1"/>
  <c r="T170" i="2" s="1"/>
  <c r="L788" i="2"/>
  <c r="N788" i="2" s="1"/>
  <c r="T788" i="2" s="1"/>
  <c r="L380" i="2"/>
  <c r="N380" i="2" s="1"/>
  <c r="T380" i="2" s="1"/>
  <c r="L988" i="2"/>
  <c r="N988" i="2" s="1"/>
  <c r="T988" i="2" s="1"/>
  <c r="L169" i="2"/>
  <c r="N169" i="2" s="1"/>
  <c r="T169" i="2" s="1"/>
  <c r="L789" i="2"/>
  <c r="N789" i="2" s="1"/>
  <c r="T789" i="2" s="1"/>
  <c r="L195" i="2"/>
  <c r="N195" i="2" s="1"/>
  <c r="T195" i="2" s="1"/>
  <c r="L911" i="2"/>
  <c r="N911" i="2" s="1"/>
  <c r="T911" i="2" s="1"/>
  <c r="L508" i="2"/>
  <c r="N508" i="2" s="1"/>
  <c r="T508" i="2" s="1"/>
  <c r="L815" i="2"/>
  <c r="N815" i="2" s="1"/>
  <c r="T815" i="2" s="1"/>
  <c r="L389" i="2"/>
  <c r="N389" i="2" s="1"/>
  <c r="T389" i="2" s="1"/>
  <c r="L869" i="2"/>
  <c r="N869" i="2" s="1"/>
  <c r="T869" i="2" s="1"/>
  <c r="L600" i="2"/>
  <c r="N600" i="2" s="1"/>
  <c r="T600" i="2" s="1"/>
  <c r="L49" i="2"/>
  <c r="N49" i="2" s="1"/>
  <c r="T49" i="2" s="1"/>
  <c r="L203" i="2"/>
  <c r="N203" i="2" s="1"/>
  <c r="T203" i="2" s="1"/>
  <c r="L765" i="2"/>
  <c r="N765" i="2" s="1"/>
  <c r="T765" i="2" s="1"/>
  <c r="L91" i="2"/>
  <c r="N91" i="2" s="1"/>
  <c r="T91" i="2" s="1"/>
  <c r="L281" i="2"/>
  <c r="N281" i="2" s="1"/>
  <c r="T281" i="2" s="1"/>
  <c r="L933" i="2"/>
  <c r="N933" i="2" s="1"/>
  <c r="T933" i="2" s="1"/>
  <c r="L382" i="2"/>
  <c r="N382" i="2" s="1"/>
  <c r="T382" i="2" s="1"/>
  <c r="L239" i="2"/>
  <c r="N239" i="2" s="1"/>
  <c r="T239" i="2" s="1"/>
  <c r="L836" i="2"/>
  <c r="N836" i="2" s="1"/>
  <c r="T836" i="2" s="1"/>
  <c r="L367" i="2"/>
  <c r="N367" i="2" s="1"/>
  <c r="T367" i="2" s="1"/>
  <c r="L666" i="2"/>
  <c r="N666" i="2" s="1"/>
  <c r="T666" i="2" s="1"/>
  <c r="L394" i="2"/>
  <c r="N394" i="2" s="1"/>
  <c r="T394" i="2" s="1"/>
  <c r="L48" i="2"/>
  <c r="N48" i="2" s="1"/>
  <c r="T48" i="2" s="1"/>
  <c r="L476" i="2"/>
  <c r="N476" i="2" s="1"/>
  <c r="T476" i="2" s="1"/>
  <c r="L328" i="2"/>
  <c r="N328" i="2" s="1"/>
  <c r="T328" i="2" s="1"/>
  <c r="L544" i="2"/>
  <c r="N544" i="2" s="1"/>
  <c r="T544" i="2" s="1"/>
  <c r="L125" i="2"/>
  <c r="N125" i="2" s="1"/>
  <c r="T125" i="2" s="1"/>
  <c r="L846" i="2"/>
  <c r="N846" i="2" s="1"/>
  <c r="T846" i="2" s="1"/>
  <c r="L939" i="2"/>
  <c r="N939" i="2" s="1"/>
  <c r="T939" i="2" s="1"/>
  <c r="L282" i="2"/>
  <c r="N282" i="2" s="1"/>
  <c r="T282" i="2" s="1"/>
  <c r="L907" i="2"/>
  <c r="N907" i="2" s="1"/>
  <c r="T907" i="2" s="1"/>
  <c r="L249" i="2"/>
  <c r="N249" i="2" s="1"/>
  <c r="T249" i="2" s="1"/>
  <c r="L533" i="2"/>
  <c r="N533" i="2" s="1"/>
  <c r="T533" i="2" s="1"/>
  <c r="L676" i="2"/>
  <c r="N676" i="2" s="1"/>
  <c r="T676" i="2" s="1"/>
  <c r="L528" i="2"/>
  <c r="N528" i="2" s="1"/>
  <c r="T528" i="2" s="1"/>
  <c r="L946" i="2"/>
  <c r="N946" i="2" s="1"/>
  <c r="T946" i="2" s="1"/>
  <c r="L929" i="2"/>
  <c r="N929" i="2" s="1"/>
  <c r="T929" i="2" s="1"/>
  <c r="L850" i="2"/>
  <c r="N850" i="2" s="1"/>
  <c r="T850" i="2" s="1"/>
  <c r="L674" i="2"/>
  <c r="N674" i="2" s="1"/>
  <c r="T674" i="2" s="1"/>
  <c r="L82" i="2"/>
  <c r="N82" i="2" s="1"/>
  <c r="T82" i="2" s="1"/>
  <c r="L799" i="2"/>
  <c r="N799" i="2" s="1"/>
  <c r="T799" i="2" s="1"/>
  <c r="L438" i="2"/>
  <c r="N438" i="2" s="1"/>
  <c r="T438" i="2" s="1"/>
  <c r="L399" i="2"/>
  <c r="N399" i="2" s="1"/>
  <c r="T399" i="2" s="1"/>
  <c r="L677" i="2"/>
  <c r="N677" i="2" s="1"/>
  <c r="T677" i="2" s="1"/>
  <c r="L885" i="2"/>
  <c r="N885" i="2" s="1"/>
  <c r="T885" i="2" s="1"/>
  <c r="L977" i="2"/>
  <c r="N977" i="2" s="1"/>
  <c r="T977" i="2" s="1"/>
  <c r="L696" i="2"/>
  <c r="N696" i="2" s="1"/>
  <c r="T696" i="2" s="1"/>
  <c r="L227" i="2"/>
  <c r="N227" i="2" s="1"/>
  <c r="T227" i="2" s="1"/>
  <c r="L127" i="2"/>
  <c r="N127" i="2" s="1"/>
  <c r="T127" i="2" s="1"/>
  <c r="L392" i="2"/>
  <c r="N392" i="2" s="1"/>
  <c r="T392" i="2" s="1"/>
  <c r="L932" i="2"/>
  <c r="N932" i="2" s="1"/>
  <c r="T932" i="2" s="1"/>
  <c r="L612" i="2"/>
  <c r="N612" i="2" s="1"/>
  <c r="T612" i="2" s="1"/>
  <c r="L888" i="2"/>
  <c r="N888" i="2" s="1"/>
  <c r="T888" i="2" s="1"/>
  <c r="L173" i="2"/>
  <c r="N173" i="2" s="1"/>
  <c r="T173" i="2" s="1"/>
  <c r="L619" i="2"/>
  <c r="N619" i="2" s="1"/>
  <c r="T619" i="2" s="1"/>
  <c r="L542" i="2"/>
  <c r="N542" i="2" s="1"/>
  <c r="T542" i="2" s="1"/>
  <c r="L138" i="2"/>
  <c r="N138" i="2" s="1"/>
  <c r="T138" i="2" s="1"/>
  <c r="L769" i="2"/>
  <c r="N769" i="2" s="1"/>
  <c r="T769" i="2" s="1"/>
  <c r="L176" i="2"/>
  <c r="N176" i="2" s="1"/>
  <c r="T176" i="2" s="1"/>
  <c r="L688" i="2"/>
  <c r="N688" i="2" s="1"/>
  <c r="T688" i="2" s="1"/>
  <c r="L618" i="2"/>
  <c r="N618" i="2" s="1"/>
  <c r="T618" i="2" s="1"/>
  <c r="L826" i="2"/>
  <c r="N826" i="2" s="1"/>
  <c r="T826" i="2" s="1"/>
  <c r="L538" i="2"/>
  <c r="N538" i="2" s="1"/>
  <c r="T538" i="2" s="1"/>
  <c r="L971" i="2"/>
  <c r="N971" i="2" s="1"/>
  <c r="T971" i="2" s="1"/>
  <c r="L406" i="2"/>
  <c r="N406" i="2" s="1"/>
  <c r="T406" i="2" s="1"/>
  <c r="L543" i="2"/>
  <c r="N543" i="2" s="1"/>
  <c r="T543" i="2" s="1"/>
  <c r="L144" i="2"/>
  <c r="N144" i="2" s="1"/>
  <c r="T144" i="2" s="1"/>
  <c r="L758" i="2"/>
  <c r="N758" i="2" s="1"/>
  <c r="T758" i="2" s="1"/>
  <c r="L200" i="2"/>
  <c r="N200" i="2" s="1"/>
  <c r="T200" i="2" s="1"/>
  <c r="L628" i="2"/>
  <c r="N628" i="2" s="1"/>
  <c r="T628" i="2" s="1"/>
  <c r="L95" i="2"/>
  <c r="N95" i="2" s="1"/>
  <c r="T95" i="2" s="1"/>
  <c r="L167" i="2"/>
  <c r="N167" i="2" s="1"/>
  <c r="T167" i="2" s="1"/>
  <c r="L923" i="2"/>
  <c r="N923" i="2" s="1"/>
  <c r="T923" i="2" s="1"/>
  <c r="L75" i="2"/>
  <c r="N75" i="2" s="1"/>
  <c r="T75" i="2" s="1"/>
  <c r="L577" i="2"/>
  <c r="N577" i="2" s="1"/>
  <c r="T577" i="2" s="1"/>
  <c r="L98" i="2"/>
  <c r="N98" i="2" s="1"/>
  <c r="T98" i="2" s="1"/>
  <c r="L13" i="2"/>
  <c r="N13" i="2" s="1"/>
  <c r="T13" i="2" s="1"/>
  <c r="L17" i="2"/>
  <c r="N17" i="2" s="1"/>
  <c r="T17" i="2" s="1"/>
  <c r="L33" i="2"/>
  <c r="N33" i="2" s="1"/>
  <c r="T33" i="2" s="1"/>
  <c r="L290" i="2"/>
  <c r="N290" i="2" s="1"/>
  <c r="T290" i="2" s="1"/>
  <c r="L604" i="2"/>
  <c r="N604" i="2" s="1"/>
  <c r="T604" i="2" s="1"/>
  <c r="L513" i="2"/>
  <c r="N513" i="2" s="1"/>
  <c r="T513" i="2" s="1"/>
  <c r="L198" i="2"/>
  <c r="N198" i="2" s="1"/>
  <c r="T198" i="2" s="1"/>
  <c r="L733" i="2"/>
  <c r="N733" i="2" s="1"/>
  <c r="T733" i="2" s="1"/>
  <c r="L961" i="2"/>
  <c r="N961" i="2" s="1"/>
  <c r="T961" i="2" s="1"/>
  <c r="L657" i="2"/>
  <c r="N657" i="2" s="1"/>
  <c r="T657" i="2" s="1"/>
  <c r="L326" i="2"/>
  <c r="N326" i="2" s="1"/>
  <c r="T326" i="2" s="1"/>
  <c r="L187" i="2"/>
  <c r="N187" i="2" s="1"/>
  <c r="T187" i="2" s="1"/>
  <c r="L527" i="2"/>
  <c r="N527" i="2" s="1"/>
  <c r="T527" i="2" s="1"/>
  <c r="L199" i="2"/>
  <c r="N199" i="2" s="1"/>
  <c r="T199" i="2" s="1"/>
  <c r="L391" i="2"/>
  <c r="N391" i="2" s="1"/>
  <c r="T391" i="2" s="1"/>
  <c r="L532" i="2"/>
  <c r="N532" i="2" s="1"/>
  <c r="T532" i="2" s="1"/>
  <c r="L407" i="2"/>
  <c r="N407" i="2" s="1"/>
  <c r="T407" i="2" s="1"/>
  <c r="L4" i="2"/>
  <c r="N4" i="2" s="1"/>
  <c r="T4" i="2" s="1"/>
  <c r="L680" i="2"/>
  <c r="N680" i="2" s="1"/>
  <c r="T680" i="2" s="1"/>
  <c r="L414" i="2"/>
  <c r="N414" i="2" s="1"/>
  <c r="T414" i="2" s="1"/>
  <c r="L718" i="2"/>
  <c r="N718" i="2" s="1"/>
  <c r="T718" i="2" s="1"/>
  <c r="L306" i="2"/>
  <c r="N306" i="2" s="1"/>
  <c r="T306" i="2" s="1"/>
  <c r="L650" i="2"/>
  <c r="N650" i="2" s="1"/>
  <c r="T650" i="2" s="1"/>
  <c r="L534" i="2"/>
  <c r="N534" i="2" s="1"/>
  <c r="T534" i="2" s="1"/>
  <c r="L122" i="2"/>
  <c r="N122" i="2" s="1"/>
  <c r="T122" i="2" s="1"/>
  <c r="L861" i="2"/>
  <c r="N861" i="2" s="1"/>
  <c r="T861" i="2" s="1"/>
  <c r="L601" i="2"/>
  <c r="N601" i="2" s="1"/>
  <c r="T601" i="2" s="1"/>
  <c r="L23" i="2"/>
  <c r="N23" i="2" s="1"/>
  <c r="T23" i="2" s="1"/>
  <c r="L667" i="2"/>
  <c r="N667" i="2" s="1"/>
  <c r="T667" i="2" s="1"/>
  <c r="L661" i="2"/>
  <c r="N661" i="2" s="1"/>
  <c r="T661" i="2" s="1"/>
  <c r="L830" i="2"/>
  <c r="N830" i="2" s="1"/>
  <c r="T830" i="2" s="1"/>
  <c r="L360" i="2"/>
  <c r="N360" i="2" s="1"/>
  <c r="T360" i="2" s="1"/>
  <c r="L404" i="2"/>
  <c r="N404" i="2" s="1"/>
  <c r="T404" i="2" s="1"/>
  <c r="L486" i="2"/>
  <c r="N486" i="2" s="1"/>
  <c r="T486" i="2" s="1"/>
  <c r="L795" i="2"/>
  <c r="N795" i="2" s="1"/>
  <c r="T795" i="2" s="1"/>
  <c r="L908" i="2"/>
  <c r="N908" i="2" s="1"/>
  <c r="T908" i="2" s="1"/>
  <c r="L110" i="2"/>
  <c r="N110" i="2" s="1"/>
  <c r="T110" i="2" s="1"/>
  <c r="L596" i="2"/>
  <c r="N596" i="2" s="1"/>
  <c r="T596" i="2" s="1"/>
  <c r="L331" i="2"/>
  <c r="N331" i="2" s="1"/>
  <c r="T331" i="2" s="1"/>
  <c r="L590" i="2"/>
  <c r="N590" i="2" s="1"/>
  <c r="T590" i="2" s="1"/>
  <c r="L705" i="2"/>
  <c r="N705" i="2" s="1"/>
  <c r="T705" i="2" s="1"/>
  <c r="L398" i="2"/>
  <c r="N398" i="2" s="1"/>
  <c r="T398" i="2" s="1"/>
  <c r="L145" i="2"/>
  <c r="N145" i="2" s="1"/>
  <c r="T145" i="2" s="1"/>
  <c r="L366" i="2"/>
  <c r="N366" i="2" s="1"/>
  <c r="T366" i="2" s="1"/>
  <c r="L462" i="2"/>
  <c r="N462" i="2" s="1"/>
  <c r="T462" i="2" s="1"/>
  <c r="L611" i="2"/>
  <c r="N611" i="2" s="1"/>
  <c r="T611" i="2" s="1"/>
  <c r="L433" i="2"/>
  <c r="N433" i="2" s="1"/>
  <c r="T433" i="2" s="1"/>
  <c r="L51" i="2"/>
  <c r="N51" i="2" s="1"/>
  <c r="T51" i="2" s="1"/>
  <c r="L507" i="2"/>
  <c r="N507" i="2" s="1"/>
  <c r="T507" i="2" s="1"/>
  <c r="L759" i="2"/>
  <c r="N759" i="2" s="1"/>
  <c r="T759" i="2" s="1"/>
  <c r="L137" i="2"/>
  <c r="N137" i="2" s="1"/>
  <c r="T137" i="2" s="1"/>
  <c r="L119" i="2"/>
  <c r="N119" i="2" s="1"/>
  <c r="T119" i="2" s="1"/>
  <c r="L449" i="2"/>
  <c r="N449" i="2" s="1"/>
  <c r="T449" i="2" s="1"/>
  <c r="L570" i="2"/>
  <c r="N570" i="2" s="1"/>
  <c r="T570" i="2" s="1"/>
  <c r="L244" i="2"/>
  <c r="N244" i="2" s="1"/>
  <c r="T244" i="2" s="1"/>
  <c r="L94" i="2"/>
  <c r="N94" i="2" s="1"/>
  <c r="T94" i="2" s="1"/>
  <c r="L312" i="2"/>
  <c r="N312" i="2" s="1"/>
  <c r="T312" i="2" s="1"/>
  <c r="L264" i="2"/>
  <c r="N264" i="2" s="1"/>
  <c r="T264" i="2" s="1"/>
  <c r="L151" i="2"/>
  <c r="N151" i="2" s="1"/>
  <c r="T151" i="2" s="1"/>
  <c r="L882" i="2"/>
  <c r="N882" i="2" s="1"/>
  <c r="T882" i="2" s="1"/>
  <c r="L767" i="2"/>
  <c r="N767" i="2" s="1"/>
  <c r="T767" i="2" s="1"/>
  <c r="L31" i="2"/>
  <c r="N31" i="2" s="1"/>
  <c r="T31" i="2" s="1"/>
  <c r="L944" i="2"/>
  <c r="N944" i="2" s="1"/>
  <c r="T944" i="2" s="1"/>
  <c r="L891" i="2"/>
  <c r="N891" i="2" s="1"/>
  <c r="T891" i="2" s="1"/>
  <c r="L876" i="2"/>
  <c r="N876" i="2" s="1"/>
  <c r="T876" i="2" s="1"/>
  <c r="L637" i="2"/>
  <c r="N637" i="2" s="1"/>
  <c r="T637" i="2" s="1"/>
  <c r="L975" i="2"/>
  <c r="N975" i="2" s="1"/>
  <c r="T975" i="2" s="1"/>
  <c r="L964" i="2"/>
  <c r="N964" i="2" s="1"/>
  <c r="T964" i="2" s="1"/>
  <c r="L655" i="2"/>
  <c r="N655" i="2" s="1"/>
  <c r="T655" i="2" s="1"/>
  <c r="L172" i="2"/>
  <c r="N172" i="2" s="1"/>
  <c r="T172" i="2" s="1"/>
  <c r="L116" i="2"/>
  <c r="N116" i="2" s="1"/>
  <c r="T116" i="2" s="1"/>
  <c r="L948" i="2"/>
  <c r="N948" i="2" s="1"/>
  <c r="T948" i="2" s="1"/>
  <c r="L106" i="2"/>
  <c r="N106" i="2" s="1"/>
  <c r="T106" i="2" s="1"/>
  <c r="L104" i="2"/>
  <c r="N104" i="2" s="1"/>
  <c r="T104" i="2" s="1"/>
  <c r="L192" i="2"/>
  <c r="N192" i="2" s="1"/>
  <c r="T192" i="2" s="1"/>
  <c r="L798" i="2"/>
  <c r="N798" i="2" s="1"/>
  <c r="T798" i="2" s="1"/>
  <c r="L424" i="2"/>
  <c r="N424" i="2" s="1"/>
  <c r="T424" i="2" s="1"/>
  <c r="L412" i="2"/>
  <c r="N412" i="2" s="1"/>
  <c r="T412" i="2" s="1"/>
  <c r="L456" i="2"/>
  <c r="N456" i="2" s="1"/>
  <c r="T456" i="2" s="1"/>
  <c r="L223" i="2"/>
  <c r="N223" i="2" s="1"/>
  <c r="T223" i="2" s="1"/>
  <c r="L418" i="2"/>
  <c r="N418" i="2" s="1"/>
  <c r="T418" i="2" s="1"/>
  <c r="L55" i="2"/>
  <c r="N55" i="2" s="1"/>
  <c r="T55" i="2" s="1"/>
  <c r="L377" i="2"/>
  <c r="N377" i="2" s="1"/>
  <c r="T377" i="2" s="1"/>
  <c r="L497" i="2"/>
  <c r="N497" i="2" s="1"/>
  <c r="T497" i="2" s="1"/>
  <c r="L315" i="2"/>
  <c r="N315" i="2" s="1"/>
  <c r="T315" i="2" s="1"/>
  <c r="L521" i="2"/>
  <c r="N521" i="2" s="1"/>
  <c r="T521" i="2" s="1"/>
  <c r="L89" i="2"/>
  <c r="N89" i="2" s="1"/>
  <c r="T89" i="2" s="1"/>
  <c r="L107" i="2"/>
  <c r="N107" i="2" s="1"/>
  <c r="T107" i="2" s="1"/>
  <c r="L574" i="2"/>
  <c r="N574" i="2" s="1"/>
  <c r="T574" i="2" s="1"/>
  <c r="L829" i="2"/>
  <c r="N829" i="2" s="1"/>
  <c r="T829" i="2" s="1"/>
  <c r="L785" i="2"/>
  <c r="N785" i="2" s="1"/>
  <c r="T785" i="2" s="1"/>
  <c r="L101" i="2"/>
  <c r="N101" i="2" s="1"/>
  <c r="T101" i="2" s="1"/>
  <c r="L509" i="2"/>
  <c r="N509" i="2" s="1"/>
  <c r="T509" i="2" s="1"/>
  <c r="L811" i="2"/>
  <c r="N811" i="2" s="1"/>
  <c r="T811" i="2" s="1"/>
  <c r="L731" i="2"/>
  <c r="N731" i="2" s="1"/>
  <c r="T731" i="2" s="1"/>
  <c r="L18" i="2"/>
  <c r="N18" i="2" s="1"/>
  <c r="T18" i="2" s="1"/>
  <c r="L413" i="2"/>
  <c r="N413" i="2" s="1"/>
  <c r="T413" i="2" s="1"/>
  <c r="L216" i="2"/>
  <c r="N216" i="2" s="1"/>
  <c r="T216" i="2" s="1"/>
  <c r="L995" i="2"/>
  <c r="N995" i="2" s="1"/>
  <c r="T995" i="2" s="1"/>
  <c r="L702" i="2"/>
  <c r="N702" i="2" s="1"/>
  <c r="T702" i="2" s="1"/>
  <c r="L132" i="2"/>
  <c r="N132" i="2" s="1"/>
  <c r="T132" i="2" s="1"/>
  <c r="L286" i="2"/>
  <c r="N286" i="2" s="1"/>
  <c r="T286" i="2" s="1"/>
  <c r="L260" i="2"/>
  <c r="N260" i="2" s="1"/>
  <c r="T260" i="2" s="1"/>
  <c r="L452" i="2"/>
  <c r="N452" i="2" s="1"/>
  <c r="T452" i="2" s="1"/>
  <c r="L530" i="2"/>
  <c r="N530" i="2" s="1"/>
  <c r="T530" i="2" s="1"/>
  <c r="L226" i="2"/>
  <c r="N226" i="2" s="1"/>
  <c r="T226" i="2" s="1"/>
  <c r="L708" i="2"/>
  <c r="N708" i="2" s="1"/>
  <c r="T708" i="2" s="1"/>
  <c r="L743" i="2"/>
  <c r="N743" i="2" s="1"/>
  <c r="T743" i="2" s="1"/>
  <c r="L606" i="2"/>
  <c r="N606" i="2" s="1"/>
  <c r="T606" i="2" s="1"/>
  <c r="L193" i="2"/>
  <c r="N193" i="2" s="1"/>
  <c r="T193" i="2" s="1"/>
  <c r="L474" i="2"/>
  <c r="N474" i="2" s="1"/>
  <c r="T474" i="2" s="1"/>
  <c r="L732" i="2"/>
  <c r="N732" i="2" s="1"/>
  <c r="T732" i="2" s="1"/>
  <c r="L236" i="2"/>
  <c r="N236" i="2" s="1"/>
  <c r="T236" i="2" s="1"/>
  <c r="L848" i="2"/>
  <c r="N848" i="2" s="1"/>
  <c r="T848" i="2" s="1"/>
  <c r="L191" i="2"/>
  <c r="N191" i="2" s="1"/>
  <c r="T191" i="2" s="1"/>
  <c r="L28" i="2"/>
  <c r="N28" i="2" s="1"/>
  <c r="T28" i="2" s="1"/>
  <c r="L981" i="2"/>
  <c r="N981" i="2" s="1"/>
  <c r="T981" i="2" s="1"/>
  <c r="L639" i="2"/>
  <c r="N639" i="2" s="1"/>
  <c r="T639" i="2" s="1"/>
  <c r="L285" i="2"/>
  <c r="N285" i="2" s="1"/>
  <c r="T285" i="2" s="1"/>
  <c r="L202" i="2"/>
  <c r="N202" i="2" s="1"/>
  <c r="T202" i="2" s="1"/>
  <c r="L400" i="2"/>
  <c r="N400" i="2" s="1"/>
  <c r="T400" i="2" s="1"/>
  <c r="L114" i="2"/>
  <c r="N114" i="2" s="1"/>
  <c r="T114" i="2" s="1"/>
  <c r="L419" i="2"/>
  <c r="N419" i="2" s="1"/>
  <c r="T419" i="2" s="1"/>
  <c r="L781" i="2"/>
  <c r="N781" i="2" s="1"/>
  <c r="T781" i="2" s="1"/>
  <c r="L772" i="2"/>
  <c r="N772" i="2" s="1"/>
  <c r="T772" i="2" s="1"/>
  <c r="L482" i="2"/>
  <c r="N482" i="2" s="1"/>
  <c r="T482" i="2" s="1"/>
  <c r="L495" i="2"/>
  <c r="N495" i="2" s="1"/>
  <c r="T495" i="2" s="1"/>
  <c r="L728" i="2"/>
  <c r="N728" i="2" s="1"/>
  <c r="T728" i="2" s="1"/>
  <c r="L245" i="2"/>
  <c r="N245" i="2" s="1"/>
  <c r="T245" i="2" s="1"/>
  <c r="L912" i="2"/>
  <c r="N912" i="2" s="1"/>
  <c r="T912" i="2" s="1"/>
  <c r="L254" i="2"/>
  <c r="N254" i="2" s="1"/>
  <c r="T254" i="2" s="1"/>
  <c r="L658" i="2"/>
  <c r="N658" i="2" s="1"/>
  <c r="T658" i="2" s="1"/>
  <c r="L892" i="2"/>
  <c r="N892" i="2" s="1"/>
  <c r="T892" i="2" s="1"/>
  <c r="L775" i="2"/>
  <c r="N775" i="2" s="1"/>
  <c r="T775" i="2" s="1"/>
  <c r="L136" i="2"/>
  <c r="N136" i="2" s="1"/>
  <c r="T136" i="2" s="1"/>
  <c r="L898" i="2"/>
  <c r="N898" i="2" s="1"/>
  <c r="T898" i="2" s="1"/>
  <c r="L153" i="2"/>
  <c r="N153" i="2" s="1"/>
  <c r="T153" i="2" s="1"/>
  <c r="L258" i="2"/>
  <c r="N258" i="2" s="1"/>
  <c r="T258" i="2" s="1"/>
  <c r="L638" i="2"/>
  <c r="N638" i="2" s="1"/>
  <c r="T638" i="2" s="1"/>
  <c r="L730" i="2"/>
  <c r="N730" i="2" s="1"/>
  <c r="T730" i="2" s="1"/>
  <c r="L135" i="2"/>
  <c r="N135" i="2" s="1"/>
  <c r="T135" i="2" s="1"/>
  <c r="L379" i="2"/>
  <c r="N379" i="2" s="1"/>
  <c r="T379" i="2" s="1"/>
  <c r="L640" i="2"/>
  <c r="N640" i="2" s="1"/>
  <c r="T640" i="2" s="1"/>
  <c r="L593" i="2"/>
  <c r="N593" i="2" s="1"/>
  <c r="T593" i="2" s="1"/>
  <c r="L502" i="2"/>
  <c r="N502" i="2" s="1"/>
  <c r="T502" i="2" s="1"/>
  <c r="L880" i="2"/>
  <c r="N880" i="2" s="1"/>
  <c r="T880" i="2" s="1"/>
  <c r="L323" i="2"/>
  <c r="N323" i="2" s="1"/>
  <c r="T323" i="2" s="1"/>
  <c r="L546" i="2"/>
  <c r="N546" i="2" s="1"/>
  <c r="T546" i="2" s="1"/>
  <c r="L649" i="2"/>
  <c r="N649" i="2" s="1"/>
  <c r="T649" i="2" s="1"/>
  <c r="L61" i="2"/>
  <c r="N61" i="2" s="1"/>
  <c r="T61" i="2" s="1"/>
  <c r="L231" i="2"/>
  <c r="N231" i="2" s="1"/>
  <c r="T231" i="2" s="1"/>
  <c r="L863" i="2"/>
  <c r="N863" i="2" s="1"/>
  <c r="T863" i="2" s="1"/>
  <c r="L330" i="2"/>
  <c r="N330" i="2" s="1"/>
  <c r="T330" i="2" s="1"/>
  <c r="L78" i="2"/>
  <c r="N78" i="2" s="1"/>
  <c r="T78" i="2" s="1"/>
  <c r="L881" i="2"/>
  <c r="N881" i="2" s="1"/>
  <c r="T881" i="2" s="1"/>
  <c r="L324" i="2"/>
  <c r="N324" i="2" s="1"/>
  <c r="T324" i="2" s="1"/>
  <c r="L834" i="2"/>
  <c r="N834" i="2" s="1"/>
  <c r="T834" i="2" s="1"/>
  <c r="L935" i="2"/>
  <c r="N935" i="2" s="1"/>
  <c r="T935" i="2" s="1"/>
  <c r="L842" i="2"/>
  <c r="N842" i="2" s="1"/>
  <c r="T842" i="2" s="1"/>
  <c r="L27" i="2"/>
  <c r="N27" i="2" s="1"/>
  <c r="T27" i="2" s="1"/>
  <c r="L559" i="2"/>
  <c r="N559" i="2" s="1"/>
  <c r="T559" i="2" s="1"/>
  <c r="L993" i="2"/>
  <c r="N993" i="2" s="1"/>
  <c r="T993" i="2" s="1"/>
  <c r="L641" i="2"/>
  <c r="N641" i="2" s="1"/>
  <c r="T641" i="2" s="1"/>
  <c r="L118" i="2"/>
  <c r="N118" i="2" s="1"/>
  <c r="T118" i="2" s="1"/>
  <c r="L53" i="2"/>
  <c r="N53" i="2" s="1"/>
  <c r="T53" i="2" s="1"/>
  <c r="L787" i="2"/>
  <c r="N787" i="2" s="1"/>
  <c r="T787" i="2" s="1"/>
  <c r="L505" i="2"/>
  <c r="N505" i="2" s="1"/>
  <c r="T505" i="2" s="1"/>
  <c r="L711" i="2"/>
  <c r="N711" i="2" s="1"/>
  <c r="T711" i="2" s="1"/>
  <c r="L894" i="2"/>
  <c r="N894" i="2" s="1"/>
  <c r="T894" i="2" s="1"/>
  <c r="L492" i="2"/>
  <c r="N492" i="2" s="1"/>
  <c r="T492" i="2" s="1"/>
  <c r="L536" i="2"/>
  <c r="N536" i="2" s="1"/>
  <c r="T536" i="2" s="1"/>
  <c r="L943" i="2"/>
  <c r="N943" i="2" s="1"/>
  <c r="T943" i="2" s="1"/>
  <c r="L883" i="2"/>
  <c r="N883" i="2" s="1"/>
  <c r="T883" i="2" s="1"/>
  <c r="L374" i="2"/>
  <c r="N374" i="2" s="1"/>
  <c r="T374" i="2" s="1"/>
  <c r="L745" i="2"/>
  <c r="N745" i="2" s="1"/>
  <c r="T745" i="2" s="1"/>
  <c r="L832" i="2"/>
  <c r="N832" i="2" s="1"/>
  <c r="T832" i="2" s="1"/>
  <c r="L845" i="2"/>
  <c r="N845" i="2" s="1"/>
  <c r="T845" i="2" s="1"/>
  <c r="L447" i="2"/>
  <c r="N447" i="2" s="1"/>
  <c r="T447" i="2" s="1"/>
  <c r="L92" i="2"/>
  <c r="N92" i="2" s="1"/>
  <c r="T92" i="2" s="1"/>
  <c r="L595" i="2"/>
  <c r="N595" i="2" s="1"/>
  <c r="T595" i="2" s="1"/>
  <c r="L720" i="2"/>
  <c r="N720" i="2" s="1"/>
  <c r="T720" i="2" s="1"/>
  <c r="L276" i="2"/>
  <c r="N276" i="2" s="1"/>
  <c r="T276" i="2" s="1"/>
  <c r="L914" i="2"/>
  <c r="N914" i="2" s="1"/>
  <c r="T914" i="2" s="1"/>
  <c r="L690" i="2"/>
  <c r="N690" i="2" s="1"/>
  <c r="T690" i="2" s="1"/>
  <c r="L410" i="2"/>
  <c r="N410" i="2" s="1"/>
  <c r="T410" i="2" s="1"/>
  <c r="L833" i="2"/>
  <c r="N833" i="2" s="1"/>
  <c r="T833" i="2" s="1"/>
  <c r="L857" i="2"/>
  <c r="N857" i="2" s="1"/>
  <c r="T857" i="2" s="1"/>
  <c r="L579" i="2"/>
  <c r="N579" i="2" s="1"/>
  <c r="T579" i="2" s="1"/>
  <c r="L821" i="2"/>
  <c r="N821" i="2" s="1"/>
  <c r="T821" i="2" s="1"/>
  <c r="L478" i="2"/>
  <c r="N478" i="2" s="1"/>
  <c r="T478" i="2" s="1"/>
  <c r="L950" i="2"/>
  <c r="N950" i="2" s="1"/>
  <c r="T950" i="2" s="1"/>
  <c r="L810" i="2"/>
  <c r="N810" i="2" s="1"/>
  <c r="T810" i="2" s="1"/>
  <c r="L38" i="2"/>
  <c r="N38" i="2" s="1"/>
  <c r="T38" i="2" s="1"/>
  <c r="L624" i="2"/>
  <c r="N624" i="2" s="1"/>
  <c r="T624" i="2" s="1"/>
  <c r="L940" i="2"/>
  <c r="N940" i="2" s="1"/>
  <c r="T940" i="2" s="1"/>
  <c r="L162" i="2"/>
  <c r="N162" i="2" s="1"/>
  <c r="T162" i="2" s="1"/>
  <c r="L157" i="2"/>
  <c r="N157" i="2" s="1"/>
  <c r="T157" i="2" s="1"/>
  <c r="L99" i="2"/>
  <c r="N99" i="2" s="1"/>
  <c r="T99" i="2" s="1"/>
  <c r="L903" i="2"/>
  <c r="N903" i="2" s="1"/>
  <c r="T903" i="2" s="1"/>
  <c r="L71" i="2"/>
  <c r="N71" i="2" s="1"/>
  <c r="T71" i="2" s="1"/>
  <c r="L233" i="2"/>
  <c r="N233" i="2" s="1"/>
  <c r="T233" i="2" s="1"/>
  <c r="L105" i="2"/>
  <c r="N105" i="2" s="1"/>
  <c r="T105" i="2" s="1"/>
  <c r="L252" i="2"/>
  <c r="N252" i="2" s="1"/>
  <c r="T252" i="2" s="1"/>
  <c r="L922" i="2"/>
  <c r="N922" i="2" s="1"/>
  <c r="T922" i="2" s="1"/>
  <c r="L663" i="2"/>
  <c r="N663" i="2" s="1"/>
  <c r="T663" i="2" s="1"/>
  <c r="L189" i="2"/>
  <c r="N189" i="2" s="1"/>
  <c r="T189" i="2" s="1"/>
  <c r="L235" i="2"/>
  <c r="N235" i="2" s="1"/>
  <c r="T235" i="2" s="1"/>
  <c r="L605" i="2"/>
  <c r="N605" i="2" s="1"/>
  <c r="T605" i="2" s="1"/>
  <c r="L304" i="2"/>
  <c r="N304" i="2" s="1"/>
  <c r="T304" i="2" s="1"/>
  <c r="L802" i="2"/>
  <c r="N802" i="2" s="1"/>
  <c r="T802" i="2" s="1"/>
  <c r="L224" i="2"/>
  <c r="N224" i="2" s="1"/>
  <c r="T224" i="2" s="1"/>
  <c r="L129" i="2"/>
  <c r="N129" i="2" s="1"/>
  <c r="T129" i="2" s="1"/>
  <c r="L623" i="2"/>
  <c r="N623" i="2" s="1"/>
  <c r="T623" i="2" s="1"/>
  <c r="L41" i="2"/>
  <c r="N41" i="2" s="1"/>
  <c r="T41" i="2" s="1"/>
  <c r="L454" i="2"/>
  <c r="N454" i="2" s="1"/>
  <c r="T454" i="2" s="1"/>
  <c r="L369" i="2"/>
  <c r="N369" i="2" s="1"/>
  <c r="T369" i="2" s="1"/>
  <c r="L443" i="2"/>
  <c r="N443" i="2" s="1"/>
  <c r="T443" i="2" s="1"/>
  <c r="L183" i="2"/>
  <c r="N183" i="2" s="1"/>
  <c r="T183" i="2" s="1"/>
  <c r="L60" i="2"/>
  <c r="N60" i="2" s="1"/>
  <c r="T60" i="2" s="1"/>
  <c r="L719" i="2"/>
  <c r="N719" i="2" s="1"/>
  <c r="T719" i="2" s="1"/>
  <c r="L62" i="2"/>
  <c r="N62" i="2" s="1"/>
  <c r="T62" i="2" s="1"/>
  <c r="L321" i="2"/>
  <c r="N321" i="2" s="1"/>
  <c r="T321" i="2" s="1"/>
  <c r="L807" i="2"/>
  <c r="N807" i="2" s="1"/>
  <c r="T807" i="2" s="1"/>
  <c r="L709" i="2"/>
  <c r="N709" i="2" s="1"/>
  <c r="T709" i="2" s="1"/>
  <c r="L704" i="2"/>
  <c r="N704" i="2" s="1"/>
  <c r="T704" i="2" s="1"/>
  <c r="L457" i="2"/>
  <c r="N457" i="2" s="1"/>
  <c r="T457" i="2" s="1"/>
  <c r="L177" i="2"/>
  <c r="N177" i="2" s="1"/>
  <c r="T177" i="2" s="1"/>
  <c r="L726" i="2"/>
  <c r="N726" i="2" s="1"/>
  <c r="T726" i="2" s="1"/>
  <c r="L693" i="2"/>
  <c r="N693" i="2" s="1"/>
  <c r="T693" i="2" s="1"/>
  <c r="L255" i="2"/>
  <c r="N255" i="2" s="1"/>
  <c r="T255" i="2" s="1"/>
  <c r="L734" i="2"/>
  <c r="N734" i="2" s="1"/>
  <c r="T734" i="2" s="1"/>
  <c r="L488" i="2"/>
  <c r="N488" i="2" s="1"/>
  <c r="T488" i="2" s="1"/>
  <c r="L19" i="2"/>
  <c r="N19" i="2" s="1"/>
  <c r="T19" i="2" s="1"/>
  <c r="L607" i="2"/>
  <c r="N607" i="2" s="1"/>
  <c r="T607" i="2" s="1"/>
  <c r="L368" i="2"/>
  <c r="N368" i="2" s="1"/>
  <c r="T368" i="2" s="1"/>
  <c r="L947" i="2"/>
  <c r="N947" i="2" s="1"/>
  <c r="T947" i="2" s="1"/>
  <c r="L309" i="2"/>
  <c r="N309" i="2" s="1"/>
  <c r="T309" i="2" s="1"/>
  <c r="L853" i="2"/>
  <c r="N853" i="2" s="1"/>
  <c r="T853" i="2" s="1"/>
  <c r="L432" i="2"/>
  <c r="N432" i="2" s="1"/>
  <c r="T432" i="2" s="1"/>
  <c r="L925" i="2"/>
  <c r="N925" i="2" s="1"/>
  <c r="T925" i="2" s="1"/>
  <c r="L220" i="2"/>
  <c r="N220" i="2" s="1"/>
  <c r="T220" i="2" s="1"/>
  <c r="L524" i="2"/>
  <c r="N524" i="2" s="1"/>
  <c r="T524" i="2" s="1"/>
  <c r="L472" i="2"/>
  <c r="N472" i="2" s="1"/>
  <c r="T472" i="2" s="1"/>
  <c r="L393" i="2"/>
  <c r="N393" i="2" s="1"/>
  <c r="T393" i="2" s="1"/>
  <c r="L644" i="2"/>
  <c r="N644" i="2" s="1"/>
  <c r="T644" i="2" s="1"/>
  <c r="L35" i="2"/>
  <c r="N35" i="2" s="1"/>
  <c r="T35" i="2" s="1"/>
  <c r="L32" i="2"/>
  <c r="N32" i="2" s="1"/>
  <c r="T32" i="2" s="1"/>
  <c r="L269" i="2"/>
  <c r="N269" i="2" s="1"/>
  <c r="T269" i="2" s="1"/>
  <c r="L459" i="2"/>
  <c r="N459" i="2" s="1"/>
  <c r="T459" i="2" s="1"/>
  <c r="L292" i="2"/>
  <c r="N292" i="2" s="1"/>
  <c r="T292" i="2" s="1"/>
  <c r="L742" i="2"/>
  <c r="N742" i="2" s="1"/>
  <c r="T742" i="2" s="1"/>
  <c r="L865" i="2"/>
  <c r="N865" i="2" s="1"/>
  <c r="T865" i="2" s="1"/>
  <c r="L266" i="2"/>
  <c r="N266" i="2" s="1"/>
  <c r="T266" i="2" s="1"/>
  <c r="L565" i="2"/>
  <c r="N565" i="2" s="1"/>
  <c r="T565" i="2" s="1"/>
  <c r="L747" i="2"/>
  <c r="N747" i="2" s="1"/>
  <c r="T747" i="2" s="1"/>
  <c r="L852" i="2"/>
  <c r="N852" i="2" s="1"/>
  <c r="T852" i="2" s="1"/>
  <c r="L662" i="2"/>
  <c r="N662" i="2" s="1"/>
  <c r="T662" i="2" s="1"/>
  <c r="L862" i="2"/>
  <c r="N862" i="2" s="1"/>
  <c r="T862" i="2" s="1"/>
  <c r="L81" i="2"/>
  <c r="N81" i="2" s="1"/>
  <c r="T81" i="2" s="1"/>
  <c r="L335" i="2"/>
  <c r="N335" i="2" s="1"/>
  <c r="T335" i="2" s="1"/>
  <c r="L358" i="2"/>
  <c r="N358" i="2" s="1"/>
  <c r="T358" i="2" s="1"/>
  <c r="L403" i="2"/>
  <c r="N403" i="2" s="1"/>
  <c r="T403" i="2" s="1"/>
  <c r="L957" i="2"/>
  <c r="N957" i="2" s="1"/>
  <c r="T957" i="2" s="1"/>
  <c r="L340" i="2"/>
  <c r="N340" i="2" s="1"/>
  <c r="T340" i="2" s="1"/>
  <c r="L716" i="2"/>
  <c r="N716" i="2" s="1"/>
  <c r="T716" i="2" s="1"/>
  <c r="L581" i="2"/>
  <c r="N581" i="2" s="1"/>
  <c r="T581" i="2" s="1"/>
  <c r="L238" i="2"/>
  <c r="N238" i="2" s="1"/>
  <c r="T238" i="2" s="1"/>
  <c r="L396" i="2"/>
  <c r="N396" i="2" s="1"/>
  <c r="T396" i="2" s="1"/>
  <c r="L518" i="2"/>
  <c r="N518" i="2" s="1"/>
  <c r="T518" i="2" s="1"/>
  <c r="L823" i="2"/>
  <c r="N823" i="2" s="1"/>
  <c r="T823" i="2" s="1"/>
  <c r="L342" i="2"/>
  <c r="N342" i="2" s="1"/>
  <c r="T342" i="2" s="1"/>
  <c r="L972" i="2"/>
  <c r="N972" i="2" s="1"/>
  <c r="T972" i="2" s="1"/>
  <c r="L741" i="2"/>
  <c r="N741" i="2" s="1"/>
  <c r="T741" i="2" s="1"/>
  <c r="L849" i="2"/>
  <c r="N849" i="2" s="1"/>
  <c r="T849" i="2" s="1"/>
  <c r="L519" i="2"/>
  <c r="N519" i="2" s="1"/>
  <c r="T519" i="2" s="1"/>
  <c r="L715" i="2"/>
  <c r="N715" i="2" s="1"/>
  <c r="T715" i="2" s="1"/>
  <c r="L631" i="2"/>
  <c r="N631" i="2" s="1"/>
  <c r="T631" i="2" s="1"/>
  <c r="L997" i="2"/>
  <c r="N997" i="2" s="1"/>
  <c r="T997" i="2" s="1"/>
  <c r="L148" i="2"/>
  <c r="N148" i="2" s="1"/>
  <c r="T148" i="2" s="1"/>
  <c r="L691" i="2"/>
  <c r="N691" i="2" s="1"/>
  <c r="T691" i="2" s="1"/>
  <c r="L597" i="2"/>
  <c r="N597" i="2" s="1"/>
  <c r="T597" i="2" s="1"/>
  <c r="L300" i="2"/>
  <c r="N300" i="2" s="1"/>
  <c r="T300" i="2" s="1"/>
  <c r="L999" i="2"/>
  <c r="N999" i="2" s="1"/>
  <c r="T999" i="2" s="1"/>
  <c r="L348" i="2"/>
  <c r="N348" i="2" s="1"/>
  <c r="T348" i="2" s="1"/>
  <c r="L484" i="2"/>
  <c r="N484" i="2" s="1"/>
  <c r="T484" i="2" s="1"/>
  <c r="L808" i="2"/>
  <c r="N808" i="2" s="1"/>
  <c r="T808" i="2" s="1"/>
  <c r="L140" i="2"/>
  <c r="N140" i="2" s="1"/>
  <c r="T140" i="2" s="1"/>
  <c r="L79" i="2"/>
  <c r="N79" i="2" s="1"/>
  <c r="T79" i="2" s="1"/>
  <c r="L760" i="2"/>
  <c r="N760" i="2" s="1"/>
  <c r="T760" i="2" s="1"/>
  <c r="L592" i="2"/>
  <c r="N592" i="2" s="1"/>
  <c r="T592" i="2" s="1"/>
  <c r="L429" i="2"/>
  <c r="N429" i="2" s="1"/>
  <c r="T429" i="2" s="1"/>
  <c r="L257" i="2"/>
  <c r="N257" i="2" s="1"/>
  <c r="T257" i="2" s="1"/>
  <c r="L584" i="2"/>
  <c r="N584" i="2" s="1"/>
  <c r="T584" i="2" s="1"/>
  <c r="L656" i="2"/>
  <c r="N656" i="2" s="1"/>
  <c r="T656" i="2" s="1"/>
  <c r="L445" i="2"/>
  <c r="N445" i="2" s="1"/>
  <c r="T445" i="2" s="1"/>
  <c r="L5" i="2"/>
  <c r="N5" i="2" s="1"/>
  <c r="T5" i="2" s="1"/>
  <c r="L783" i="2"/>
  <c r="N783" i="2" s="1"/>
  <c r="T783" i="2" s="1"/>
  <c r="L103" i="2"/>
  <c r="N103" i="2" s="1"/>
  <c r="T103" i="2" s="1"/>
  <c r="L949" i="2"/>
  <c r="N949" i="2" s="1"/>
  <c r="T949" i="2" s="1"/>
  <c r="L310" i="2"/>
  <c r="N310" i="2" s="1"/>
  <c r="T310" i="2" s="1"/>
  <c r="L437" i="2"/>
  <c r="N437" i="2" s="1"/>
  <c r="T437" i="2" s="1"/>
  <c r="L204" i="2"/>
  <c r="N204" i="2" s="1"/>
  <c r="T204" i="2" s="1"/>
  <c r="L115" i="2"/>
  <c r="N115" i="2" s="1"/>
  <c r="T115" i="2" s="1"/>
  <c r="L699" i="2"/>
  <c r="N699" i="2" s="1"/>
  <c r="T699" i="2" s="1"/>
  <c r="L263" i="2"/>
  <c r="N263" i="2" s="1"/>
  <c r="T263" i="2" s="1"/>
  <c r="L752" i="2"/>
  <c r="N752" i="2" s="1"/>
  <c r="T752" i="2" s="1"/>
  <c r="L43" i="2"/>
  <c r="N43" i="2" s="1"/>
  <c r="T43" i="2" s="1"/>
  <c r="L417" i="2"/>
  <c r="N417" i="2" s="1"/>
  <c r="T417" i="2" s="1"/>
  <c r="L86" i="2"/>
  <c r="N86" i="2" s="1"/>
  <c r="T86" i="2" s="1"/>
  <c r="L470" i="2"/>
  <c r="N470" i="2" s="1"/>
  <c r="T470" i="2" s="1"/>
  <c r="L635" i="2"/>
  <c r="N635" i="2" s="1"/>
  <c r="T635" i="2" s="1"/>
  <c r="L318" i="2"/>
  <c r="N318" i="2" s="1"/>
  <c r="T318" i="2" s="1"/>
  <c r="L931" i="2"/>
  <c r="N931" i="2" s="1"/>
  <c r="T931" i="2" s="1"/>
  <c r="L143" i="2"/>
  <c r="N143" i="2" s="1"/>
  <c r="T143" i="2" s="1"/>
  <c r="L899" i="2"/>
  <c r="N899" i="2" s="1"/>
  <c r="T899" i="2" s="1"/>
  <c r="L825" i="2"/>
  <c r="N825" i="2" s="1"/>
  <c r="T825" i="2" s="1"/>
  <c r="L828" i="2"/>
  <c r="N828" i="2" s="1"/>
  <c r="T828" i="2" s="1"/>
  <c r="L523" i="2"/>
  <c r="N523" i="2" s="1"/>
  <c r="T523" i="2" s="1"/>
  <c r="L247" i="2"/>
  <c r="N247" i="2" s="1"/>
  <c r="T247" i="2" s="1"/>
  <c r="L274" i="2"/>
  <c r="N274" i="2" s="1"/>
  <c r="T274" i="2" s="1"/>
  <c r="L58" i="2"/>
  <c r="N58" i="2" s="1"/>
  <c r="T58" i="2" s="1"/>
  <c r="L383" i="2"/>
  <c r="N383" i="2" s="1"/>
  <c r="T383" i="2" s="1"/>
  <c r="L768" i="2"/>
  <c r="N768" i="2" s="1"/>
  <c r="T768" i="2" s="1"/>
  <c r="L796" i="2"/>
  <c r="N796" i="2" s="1"/>
  <c r="T796" i="2" s="1"/>
  <c r="L512" i="2"/>
  <c r="N512" i="2" s="1"/>
  <c r="T512" i="2" s="1"/>
  <c r="L620" i="2"/>
  <c r="N620" i="2" s="1"/>
  <c r="T620" i="2" s="1"/>
  <c r="L123" i="2"/>
  <c r="N123" i="2" s="1"/>
  <c r="T123" i="2" s="1"/>
  <c r="L30" i="2"/>
  <c r="N30" i="2" s="1"/>
  <c r="T30" i="2" s="1"/>
  <c r="L867" i="2"/>
  <c r="N867" i="2" s="1"/>
  <c r="T867" i="2" s="1"/>
  <c r="L131" i="2"/>
  <c r="N131" i="2" s="1"/>
  <c r="T131" i="2" s="1"/>
  <c r="L287" i="2"/>
  <c r="N287" i="2" s="1"/>
  <c r="T287" i="2" s="1"/>
  <c r="L431" i="2"/>
  <c r="N431" i="2" s="1"/>
  <c r="T431" i="2" s="1"/>
  <c r="L603" i="2"/>
  <c r="N603" i="2" s="1"/>
  <c r="T603" i="2" s="1"/>
  <c r="L196" i="2"/>
  <c r="N196" i="2" s="1"/>
  <c r="T196" i="2" s="1"/>
  <c r="L510" i="2"/>
  <c r="N510" i="2" s="1"/>
  <c r="T510" i="2" s="1"/>
  <c r="L749" i="2"/>
  <c r="N749" i="2" s="1"/>
  <c r="T749" i="2" s="1"/>
  <c r="L669" i="2"/>
  <c r="N669" i="2" s="1"/>
  <c r="T669" i="2" s="1"/>
  <c r="L265" i="2"/>
  <c r="N265" i="2" s="1"/>
  <c r="T265" i="2" s="1"/>
  <c r="L563" i="2"/>
  <c r="N563" i="2" s="1"/>
  <c r="T563" i="2" s="1"/>
  <c r="L371" i="2"/>
  <c r="N371" i="2" s="1"/>
  <c r="T371" i="2" s="1"/>
  <c r="L824" i="2"/>
  <c r="N824" i="2" s="1"/>
  <c r="T824" i="2" s="1"/>
  <c r="L580" i="2"/>
  <c r="N580" i="2" s="1"/>
  <c r="T580" i="2" s="1"/>
  <c r="L697" i="2"/>
  <c r="N697" i="2" s="1"/>
  <c r="T697" i="2" s="1"/>
  <c r="L234" i="2"/>
  <c r="N234" i="2" s="1"/>
  <c r="T234" i="2" s="1"/>
  <c r="L681" i="2"/>
  <c r="N681" i="2" s="1"/>
  <c r="T681" i="2" s="1"/>
  <c r="L1000" i="2"/>
  <c r="N1000" i="2" s="1"/>
  <c r="T1000" i="2" s="1"/>
  <c r="L809" i="2"/>
  <c r="N809" i="2" s="1"/>
  <c r="T809" i="2" s="1"/>
  <c r="L648" i="2"/>
  <c r="N648" i="2" s="1"/>
  <c r="T648" i="2" s="1"/>
  <c r="L243" i="2"/>
  <c r="N243" i="2" s="1"/>
  <c r="T243" i="2" s="1"/>
  <c r="L463" i="2"/>
  <c r="N463" i="2" s="1"/>
  <c r="T463" i="2" s="1"/>
  <c r="L213" i="2"/>
  <c r="N213" i="2" s="1"/>
  <c r="T213" i="2" s="1"/>
  <c r="L491" i="2"/>
  <c r="N491" i="2" s="1"/>
  <c r="T491" i="2" s="1"/>
  <c r="L915" i="2"/>
  <c r="N915" i="2" s="1"/>
  <c r="T915" i="2" s="1"/>
  <c r="L164" i="2"/>
  <c r="N164" i="2" s="1"/>
  <c r="T164" i="2" s="1"/>
  <c r="L498" i="2"/>
  <c r="N498" i="2" s="1"/>
  <c r="T498" i="2" s="1"/>
  <c r="L887" i="2"/>
  <c r="N887" i="2" s="1"/>
  <c r="T887" i="2" s="1"/>
  <c r="L700" i="2"/>
  <c r="N700" i="2" s="1"/>
  <c r="T700" i="2" s="1"/>
  <c r="L545" i="2"/>
  <c r="N545" i="2" s="1"/>
  <c r="T545" i="2" s="1"/>
  <c r="L642" i="2"/>
  <c r="N642" i="2" s="1"/>
  <c r="T642" i="2" s="1"/>
  <c r="L480" i="2"/>
  <c r="N480" i="2" s="1"/>
  <c r="T480" i="2" s="1"/>
  <c r="L985" i="2"/>
  <c r="N985" i="2" s="1"/>
  <c r="T985" i="2" s="1"/>
  <c r="L319" i="2"/>
  <c r="N319" i="2" s="1"/>
  <c r="T319" i="2" s="1"/>
  <c r="L736" i="2"/>
  <c r="N736" i="2" s="1"/>
  <c r="T736" i="2" s="1"/>
  <c r="L586" i="2"/>
  <c r="N586" i="2" s="1"/>
  <c r="T586" i="2" s="1"/>
  <c r="L425" i="2"/>
  <c r="N425" i="2" s="1"/>
  <c r="T425" i="2" s="1"/>
  <c r="L710" i="2"/>
  <c r="N710" i="2" s="1"/>
  <c r="T710" i="2" s="1"/>
  <c r="L550" i="2"/>
  <c r="N550" i="2" s="1"/>
  <c r="T550" i="2" s="1"/>
  <c r="L6" i="2"/>
  <c r="N6" i="2" s="1"/>
  <c r="T6" i="2" s="1"/>
  <c r="L441" i="2"/>
  <c r="N441" i="2" s="1"/>
  <c r="T441" i="2" s="1"/>
  <c r="L855" i="2"/>
  <c r="N855" i="2" s="1"/>
  <c r="T855" i="2" s="1"/>
  <c r="L516" i="2"/>
  <c r="N516" i="2" s="1"/>
  <c r="T516" i="2" s="1"/>
  <c r="L573" i="2"/>
  <c r="N573" i="2" s="1"/>
  <c r="T573" i="2" s="1"/>
  <c r="L161" i="2"/>
  <c r="N161" i="2" s="1"/>
  <c r="T161" i="2" s="1"/>
  <c r="L695" i="2"/>
  <c r="N695" i="2" s="1"/>
  <c r="T695" i="2" s="1"/>
  <c r="L800" i="2"/>
  <c r="N800" i="2" s="1"/>
  <c r="T800" i="2" s="1"/>
  <c r="L376" i="2"/>
  <c r="N376" i="2" s="1"/>
  <c r="T376" i="2" s="1"/>
  <c r="L111" i="2"/>
  <c r="N111" i="2" s="1"/>
  <c r="T111" i="2" s="1"/>
  <c r="L956" i="2"/>
  <c r="N956" i="2" s="1"/>
  <c r="T956" i="2" s="1"/>
  <c r="L555" i="2"/>
  <c r="N555" i="2" s="1"/>
  <c r="T555" i="2" s="1"/>
  <c r="L547" i="2"/>
  <c r="N547" i="2" s="1"/>
  <c r="T547" i="2" s="1"/>
  <c r="L36" i="2"/>
  <c r="N36" i="2" s="1"/>
  <c r="T36" i="2" s="1"/>
  <c r="L839" i="2"/>
  <c r="N839" i="2" s="1"/>
  <c r="T839" i="2" s="1"/>
  <c r="L622" i="2"/>
  <c r="N622" i="2" s="1"/>
  <c r="T622" i="2" s="1"/>
  <c r="L791" i="2"/>
  <c r="N791" i="2" s="1"/>
  <c r="T791" i="2" s="1"/>
  <c r="L142" i="2"/>
  <c r="N142" i="2" s="1"/>
  <c r="T142" i="2" s="1"/>
  <c r="L784" i="2"/>
  <c r="N784" i="2" s="1"/>
  <c r="T784" i="2" s="1"/>
  <c r="L501" i="2"/>
  <c r="N501" i="2" s="1"/>
  <c r="T501" i="2" s="1"/>
  <c r="L872" i="2"/>
  <c r="N872" i="2" s="1"/>
  <c r="T872" i="2" s="1"/>
  <c r="L968" i="2"/>
  <c r="N968" i="2" s="1"/>
  <c r="T968" i="2" s="1"/>
  <c r="L902" i="2"/>
  <c r="N902" i="2" s="1"/>
  <c r="T902" i="2" s="1"/>
  <c r="L539" i="2"/>
  <c r="N539" i="2" s="1"/>
  <c r="T539" i="2" s="1"/>
  <c r="L468" i="2"/>
  <c r="N468" i="2" s="1"/>
  <c r="T468" i="2" s="1"/>
  <c r="L520" i="2"/>
  <c r="N520" i="2" s="1"/>
  <c r="T520" i="2" s="1"/>
  <c r="L386" i="2"/>
  <c r="N386" i="2" s="1"/>
  <c r="T386" i="2" s="1"/>
  <c r="L926" i="2"/>
  <c r="N926" i="2" s="1"/>
  <c r="T926" i="2" s="1"/>
  <c r="L763" i="2"/>
  <c r="N763" i="2" s="1"/>
  <c r="T763" i="2" s="1"/>
  <c r="L126" i="2"/>
  <c r="N126" i="2" s="1"/>
  <c r="T126" i="2" s="1"/>
  <c r="L664" i="2"/>
  <c r="N664" i="2" s="1"/>
  <c r="T664" i="2" s="1"/>
  <c r="L572" i="2"/>
  <c r="N572" i="2" s="1"/>
  <c r="T572" i="2" s="1"/>
  <c r="L7" i="2"/>
  <c r="N7" i="2" s="1"/>
  <c r="T7" i="2" s="1"/>
  <c r="L317" i="2"/>
  <c r="N317" i="2" s="1"/>
  <c r="T317" i="2" s="1"/>
  <c r="L746" i="2"/>
  <c r="N746" i="2" s="1"/>
  <c r="T746" i="2" s="1"/>
  <c r="L83" i="2"/>
  <c r="N83" i="2" s="1"/>
  <c r="T83" i="2" s="1"/>
  <c r="L625" i="2"/>
  <c r="N625" i="2" s="1"/>
  <c r="T625" i="2" s="1"/>
  <c r="L353" i="2"/>
  <c r="N353" i="2" s="1"/>
  <c r="T353" i="2" s="1"/>
  <c r="L838" i="2"/>
  <c r="N838" i="2" s="1"/>
  <c r="T838" i="2" s="1"/>
  <c r="L40" i="2"/>
  <c r="N40" i="2" s="1"/>
  <c r="T40" i="2" s="1"/>
  <c r="L477" i="2"/>
  <c r="N477" i="2" s="1"/>
  <c r="T477" i="2" s="1"/>
  <c r="L877" i="2"/>
  <c r="N877" i="2" s="1"/>
  <c r="T877" i="2" s="1"/>
  <c r="L692" i="2"/>
  <c r="N692" i="2" s="1"/>
  <c r="T692" i="2" s="1"/>
  <c r="L347" i="2"/>
  <c r="N347" i="2" s="1"/>
  <c r="T347" i="2" s="1"/>
  <c r="L942" i="2"/>
  <c r="N942" i="2" s="1"/>
  <c r="T942" i="2" s="1"/>
  <c r="L673" i="2"/>
  <c r="N673" i="2" s="1"/>
  <c r="T673" i="2" s="1"/>
  <c r="L924" i="2"/>
  <c r="N924" i="2" s="1"/>
  <c r="T924" i="2" s="1"/>
  <c r="L801" i="2"/>
  <c r="N801" i="2" s="1"/>
  <c r="T801" i="2" s="1"/>
  <c r="L831" i="2"/>
  <c r="N831" i="2" s="1"/>
  <c r="T831" i="2" s="1"/>
  <c r="L259" i="2"/>
  <c r="N259" i="2" s="1"/>
  <c r="T259" i="2" s="1"/>
  <c r="L643" i="2"/>
  <c r="N643" i="2" s="1"/>
  <c r="T643" i="2" s="1"/>
  <c r="L378" i="2"/>
  <c r="N378" i="2" s="1"/>
  <c r="T378" i="2" s="1"/>
  <c r="L974" i="2"/>
  <c r="N974" i="2" s="1"/>
  <c r="T974" i="2" s="1"/>
  <c r="L724" i="2"/>
  <c r="N724" i="2" s="1"/>
  <c r="T724" i="2" s="1"/>
  <c r="L237" i="2"/>
  <c r="N237" i="2" s="1"/>
  <c r="T237" i="2" s="1"/>
  <c r="L727" i="2"/>
  <c r="N727" i="2" s="1"/>
  <c r="T727" i="2" s="1"/>
  <c r="L851" i="2"/>
  <c r="N851" i="2" s="1"/>
  <c r="T851" i="2" s="1"/>
  <c r="L241" i="2"/>
  <c r="N241" i="2" s="1"/>
  <c r="T241" i="2" s="1"/>
  <c r="L755" i="2"/>
  <c r="N755" i="2" s="1"/>
  <c r="T755" i="2" s="1"/>
  <c r="L797" i="2"/>
  <c r="N797" i="2" s="1"/>
  <c r="T797" i="2" s="1"/>
  <c r="L886" i="2"/>
  <c r="N886" i="2" s="1"/>
  <c r="T886" i="2" s="1"/>
  <c r="L786" i="2"/>
  <c r="N786" i="2" s="1"/>
  <c r="T786" i="2" s="1"/>
  <c r="L483" i="2"/>
  <c r="N483" i="2" s="1"/>
  <c r="T483" i="2" s="1"/>
  <c r="L240" i="2"/>
  <c r="N240" i="2" s="1"/>
  <c r="T240" i="2" s="1"/>
  <c r="L37" i="2"/>
  <c r="N37" i="2" s="1"/>
  <c r="T37" i="2" s="1"/>
  <c r="L108" i="2"/>
  <c r="N108" i="2" s="1"/>
  <c r="T108" i="2" s="1"/>
  <c r="L790" i="2"/>
  <c r="N790" i="2" s="1"/>
  <c r="T790" i="2" s="1"/>
  <c r="L336" i="2"/>
  <c r="N336" i="2" s="1"/>
  <c r="T336" i="2" s="1"/>
  <c r="L548" i="2"/>
  <c r="N548" i="2" s="1"/>
  <c r="T548" i="2" s="1"/>
  <c r="L701" i="2"/>
  <c r="N701" i="2" s="1"/>
  <c r="T701" i="2" s="1"/>
  <c r="L301" i="2"/>
  <c r="N301" i="2" s="1"/>
  <c r="T301" i="2" s="1"/>
  <c r="L901" i="2"/>
  <c r="N901" i="2" s="1"/>
  <c r="T901" i="2" s="1"/>
  <c r="L684" i="2"/>
  <c r="N684" i="2" s="1"/>
  <c r="T684" i="2" s="1"/>
  <c r="L958" i="2"/>
  <c r="N958" i="2" s="1"/>
  <c r="T958" i="2" s="1"/>
  <c r="L160" i="2"/>
  <c r="N160" i="2" s="1"/>
  <c r="T160" i="2" s="1"/>
  <c r="L434" i="2"/>
  <c r="N434" i="2" s="1"/>
  <c r="T434" i="2" s="1"/>
  <c r="L952" i="2"/>
  <c r="N952" i="2" s="1"/>
  <c r="T952" i="2" s="1"/>
  <c r="L588" i="2"/>
  <c r="N588" i="2" s="1"/>
  <c r="T588" i="2" s="1"/>
  <c r="L354" i="2"/>
  <c r="N354" i="2" s="1"/>
  <c r="T354" i="2" s="1"/>
  <c r="L818" i="2"/>
  <c r="N818" i="2" s="1"/>
  <c r="T818" i="2" s="1"/>
  <c r="L171" i="2"/>
  <c r="N171" i="2" s="1"/>
  <c r="T171" i="2" s="1"/>
  <c r="L84" i="2"/>
  <c r="N84" i="2" s="1"/>
  <c r="T84" i="2" s="1"/>
  <c r="L646" i="2"/>
  <c r="N646" i="2" s="1"/>
  <c r="T646" i="2" s="1"/>
  <c r="L820" i="2"/>
  <c r="N820" i="2" s="1"/>
  <c r="T820" i="2" s="1"/>
  <c r="L299" i="2"/>
  <c r="N299" i="2" s="1"/>
  <c r="T299" i="2" s="1"/>
  <c r="L10" i="2"/>
  <c r="N10" i="2" s="1"/>
  <c r="T10" i="2" s="1"/>
  <c r="L225" i="2"/>
  <c r="N225" i="2" s="1"/>
  <c r="T225" i="2" s="1"/>
  <c r="L738" i="2"/>
  <c r="N738" i="2" s="1"/>
  <c r="T738" i="2" s="1"/>
  <c r="L308" i="2"/>
  <c r="N308" i="2" s="1"/>
  <c r="T308" i="2" s="1"/>
  <c r="L250" i="2"/>
  <c r="N250" i="2" s="1"/>
  <c r="T250" i="2" s="1"/>
  <c r="L722" i="2"/>
  <c r="N722" i="2" s="1"/>
  <c r="T722" i="2" s="1"/>
  <c r="L16" i="2"/>
  <c r="N16" i="2" s="1"/>
  <c r="T16" i="2" s="1"/>
  <c r="L375" i="2"/>
  <c r="N375" i="2" s="1"/>
  <c r="T375" i="2" s="1"/>
  <c r="L124" i="2"/>
  <c r="N124" i="2" s="1"/>
  <c r="T124" i="2" s="1"/>
  <c r="L927" i="2"/>
  <c r="N927" i="2" s="1"/>
  <c r="T927" i="2" s="1"/>
  <c r="L953" i="2"/>
  <c r="N953" i="2" s="1"/>
  <c r="T953" i="2" s="1"/>
  <c r="L130" i="2"/>
  <c r="N130" i="2" s="1"/>
  <c r="T130" i="2" s="1"/>
  <c r="L166" i="2"/>
  <c r="N166" i="2" s="1"/>
  <c r="T166" i="2" s="1"/>
  <c r="L500" i="2"/>
  <c r="N500" i="2" s="1"/>
  <c r="T500" i="2" s="1"/>
  <c r="L471" i="2"/>
  <c r="N471" i="2" s="1"/>
  <c r="T471" i="2" s="1"/>
  <c r="L737" i="2"/>
  <c r="N737" i="2" s="1"/>
  <c r="T737" i="2" s="1"/>
  <c r="L197" i="2"/>
  <c r="N197" i="2" s="1"/>
  <c r="T197" i="2" s="1"/>
  <c r="L402" i="2"/>
  <c r="N402" i="2" s="1"/>
  <c r="T402" i="2" s="1"/>
  <c r="L90" i="2"/>
  <c r="N90" i="2" s="1"/>
  <c r="T90" i="2" s="1"/>
  <c r="L232" i="2"/>
  <c r="N232" i="2" s="1"/>
  <c r="T232" i="2" s="1"/>
  <c r="L288" i="2"/>
  <c r="N288" i="2" s="1"/>
  <c r="T288" i="2" s="1"/>
  <c r="L212" i="2"/>
  <c r="N212" i="2" s="1"/>
  <c r="T212" i="2" s="1"/>
  <c r="L430" i="2"/>
  <c r="N430" i="2" s="1"/>
  <c r="T430" i="2" s="1"/>
  <c r="L313" i="2"/>
  <c r="N313" i="2" s="1"/>
  <c r="T313" i="2" s="1"/>
  <c r="L978" i="2"/>
  <c r="N978" i="2" s="1"/>
  <c r="T978" i="2" s="1"/>
  <c r="L567" i="2"/>
  <c r="N567" i="2" s="1"/>
  <c r="T567" i="2" s="1"/>
  <c r="L917" i="2"/>
  <c r="N917" i="2" s="1"/>
  <c r="T917" i="2" s="1"/>
  <c r="L771" i="2"/>
  <c r="N771" i="2" s="1"/>
  <c r="T771" i="2" s="1"/>
  <c r="L329" i="2"/>
  <c r="N329" i="2" s="1"/>
  <c r="T329" i="2" s="1"/>
  <c r="L938" i="2"/>
  <c r="N938" i="2" s="1"/>
  <c r="T938" i="2" s="1"/>
  <c r="L356" i="2"/>
  <c r="N356" i="2" s="1"/>
  <c r="T356" i="2" s="1"/>
  <c r="L409" i="2"/>
  <c r="N409" i="2" s="1"/>
  <c r="T409" i="2" s="1"/>
  <c r="L670" i="2"/>
  <c r="N670" i="2" s="1"/>
  <c r="T670" i="2" s="1"/>
  <c r="L80" i="2"/>
  <c r="N80" i="2" s="1"/>
  <c r="T80" i="2" s="1"/>
  <c r="L897" i="2"/>
  <c r="N897" i="2" s="1"/>
  <c r="T897" i="2" s="1"/>
  <c r="L751" i="2"/>
  <c r="N751" i="2" s="1"/>
  <c r="T751" i="2" s="1"/>
  <c r="L284" i="2"/>
  <c r="N284" i="2" s="1"/>
  <c r="T284" i="2" s="1"/>
  <c r="L352" i="2"/>
  <c r="N352" i="2" s="1"/>
  <c r="T352" i="2" s="1"/>
  <c r="L909" i="2"/>
  <c r="N909" i="2" s="1"/>
  <c r="T909" i="2" s="1"/>
  <c r="L420" i="2"/>
  <c r="N420" i="2" s="1"/>
  <c r="T420" i="2" s="1"/>
  <c r="L541" i="2"/>
  <c r="N541" i="2" s="1"/>
  <c r="T541" i="2" s="1"/>
  <c r="L591" i="2"/>
  <c r="N591" i="2" s="1"/>
  <c r="T591" i="2" s="1"/>
  <c r="L553" i="2"/>
  <c r="N553" i="2" s="1"/>
  <c r="T553" i="2" s="1"/>
  <c r="L481" i="2"/>
  <c r="N481" i="2" s="1"/>
  <c r="T481" i="2" s="1"/>
  <c r="L615" i="2"/>
  <c r="N615" i="2" s="1"/>
  <c r="T615" i="2" s="1"/>
  <c r="L496" i="2"/>
  <c r="N496" i="2" s="1"/>
  <c r="T496" i="2" s="1"/>
  <c r="L675" i="2"/>
  <c r="N675" i="2" s="1"/>
  <c r="T675" i="2" s="1"/>
  <c r="L485" i="2"/>
  <c r="N485" i="2" s="1"/>
  <c r="T485" i="2" s="1"/>
  <c r="L774" i="2"/>
  <c r="N774" i="2" s="1"/>
  <c r="T774" i="2" s="1"/>
  <c r="L856" i="2"/>
  <c r="N856" i="2" s="1"/>
  <c r="T856" i="2" s="1"/>
  <c r="L325" i="2"/>
  <c r="N325" i="2" s="1"/>
  <c r="T325" i="2" s="1"/>
  <c r="L866" i="2"/>
  <c r="N866" i="2" s="1"/>
  <c r="T866" i="2" s="1"/>
  <c r="L365" i="2"/>
  <c r="N365" i="2" s="1"/>
  <c r="T365" i="2" s="1"/>
  <c r="L139" i="2"/>
  <c r="N139" i="2" s="1"/>
  <c r="T139" i="2" s="1"/>
  <c r="L361" i="2"/>
  <c r="N361" i="2" s="1"/>
  <c r="T361" i="2" s="1"/>
  <c r="L525" i="2"/>
  <c r="N525" i="2" s="1"/>
  <c r="T525" i="2" s="1"/>
  <c r="L778" i="2"/>
  <c r="N778" i="2" s="1"/>
  <c r="T778" i="2" s="1"/>
  <c r="L423" i="2"/>
  <c r="N423" i="2" s="1"/>
  <c r="T423" i="2" s="1"/>
  <c r="L493" i="2"/>
  <c r="N493" i="2" s="1"/>
  <c r="T493" i="2" s="1"/>
  <c r="L913" i="2"/>
  <c r="N913" i="2" s="1"/>
  <c r="T913" i="2" s="1"/>
  <c r="L207" i="2"/>
  <c r="N207" i="2" s="1"/>
  <c r="T207" i="2" s="1"/>
  <c r="L858" i="2"/>
  <c r="N858" i="2" s="1"/>
  <c r="T858" i="2" s="1"/>
  <c r="L141" i="2"/>
  <c r="N141" i="2" s="1"/>
  <c r="T141" i="2" s="1"/>
  <c r="L835" i="2"/>
  <c r="N835" i="2" s="1"/>
  <c r="T835" i="2" s="1"/>
  <c r="L363" i="2"/>
  <c r="N363" i="2" s="1"/>
  <c r="T363" i="2" s="1"/>
  <c r="L390" i="2"/>
  <c r="N390" i="2" s="1"/>
  <c r="T390" i="2" s="1"/>
  <c r="L959" i="2"/>
  <c r="N959" i="2" s="1"/>
  <c r="T959" i="2" s="1"/>
  <c r="L627" i="2"/>
  <c r="N627" i="2" s="1"/>
  <c r="T627" i="2" s="1"/>
  <c r="L262" i="2"/>
  <c r="N262" i="2" s="1"/>
  <c r="T262" i="2" s="1"/>
  <c r="L817" i="2"/>
  <c r="N817" i="2" s="1"/>
  <c r="T817" i="2" s="1"/>
  <c r="L152" i="2"/>
  <c r="N152" i="2" s="1"/>
  <c r="T152" i="2" s="1"/>
  <c r="L343" i="2"/>
  <c r="N343" i="2" s="1"/>
  <c r="T343" i="2" s="1"/>
  <c r="L487" i="2"/>
  <c r="N487" i="2" s="1"/>
  <c r="T487" i="2" s="1"/>
  <c r="L613" i="2"/>
  <c r="N613" i="2" s="1"/>
  <c r="T613" i="2" s="1"/>
  <c r="L962" i="2"/>
  <c r="N962" i="2" s="1"/>
  <c r="T962" i="2" s="1"/>
  <c r="L448" i="2"/>
  <c r="N448" i="2" s="1"/>
  <c r="T448" i="2" s="1"/>
  <c r="L610" i="2"/>
  <c r="N610" i="2" s="1"/>
  <c r="T610" i="2" s="1"/>
  <c r="L334" i="2"/>
  <c r="N334" i="2" s="1"/>
  <c r="T334" i="2" s="1"/>
  <c r="L636" i="2"/>
  <c r="N636" i="2" s="1"/>
  <c r="T636" i="2" s="1"/>
  <c r="L873" i="2"/>
  <c r="N873" i="2" s="1"/>
  <c r="T873" i="2" s="1"/>
  <c r="L109" i="2"/>
  <c r="N109" i="2" s="1"/>
  <c r="T109" i="2" s="1"/>
  <c r="L678" i="2"/>
  <c r="N678" i="2" s="1"/>
  <c r="T678" i="2" s="1"/>
  <c r="L698" i="2"/>
  <c r="N698" i="2" s="1"/>
  <c r="T698" i="2" s="1"/>
  <c r="L982" i="2"/>
  <c r="N982" i="2" s="1"/>
  <c r="T982" i="2" s="1"/>
  <c r="L575" i="2"/>
  <c r="N575" i="2" s="1"/>
  <c r="T575" i="2" s="1"/>
  <c r="L965" i="2"/>
  <c r="N965" i="2" s="1"/>
  <c r="T965" i="2" s="1"/>
  <c r="L729" i="2"/>
  <c r="N729" i="2" s="1"/>
  <c r="T729" i="2" s="1"/>
  <c r="L566" i="2"/>
  <c r="N566" i="2" s="1"/>
  <c r="T566" i="2" s="1"/>
  <c r="L564" i="2"/>
  <c r="N564" i="2" s="1"/>
  <c r="T564" i="2" s="1"/>
  <c r="L792" i="2"/>
  <c r="N792" i="2" s="1"/>
  <c r="T792" i="2" s="1"/>
  <c r="L222" i="2"/>
  <c r="N222" i="2" s="1"/>
  <c r="T222" i="2" s="1"/>
  <c r="L112" i="2"/>
  <c r="N112" i="2" s="1"/>
  <c r="T112" i="2" s="1"/>
  <c r="L645" i="2"/>
  <c r="N645" i="2" s="1"/>
  <c r="T645" i="2" s="1"/>
  <c r="L208" i="2"/>
  <c r="N208" i="2" s="1"/>
  <c r="T208" i="2" s="1"/>
  <c r="L934" i="2"/>
  <c r="N934" i="2" s="1"/>
  <c r="T934" i="2" s="1"/>
  <c r="L991" i="2"/>
  <c r="N991" i="2" s="1"/>
  <c r="T991" i="2" s="1"/>
  <c r="L889" i="2"/>
  <c r="N889" i="2" s="1"/>
  <c r="T889" i="2" s="1"/>
  <c r="L175" i="2"/>
  <c r="N175" i="2" s="1"/>
  <c r="T175" i="2" s="1"/>
  <c r="L713" i="2"/>
  <c r="N713" i="2" s="1"/>
  <c r="T713" i="2" s="1"/>
  <c r="L22" i="2"/>
  <c r="N22" i="2" s="1"/>
  <c r="T22" i="2" s="1"/>
  <c r="L766" i="2"/>
  <c r="N766" i="2" s="1"/>
  <c r="T766" i="2" s="1"/>
  <c r="L439" i="2"/>
  <c r="N439" i="2" s="1"/>
  <c r="T439" i="2" s="1"/>
  <c r="L928" i="2"/>
  <c r="N928" i="2" s="1"/>
  <c r="T928" i="2" s="1"/>
  <c r="L87" i="2"/>
  <c r="N87" i="2" s="1"/>
  <c r="T87" i="2" s="1"/>
  <c r="L21" i="2"/>
  <c r="N21" i="2" s="1"/>
  <c r="T21" i="2" s="1"/>
  <c r="L822" i="2"/>
  <c r="N822" i="2" s="1"/>
  <c r="T822" i="2" s="1"/>
  <c r="L764" i="2"/>
  <c r="N764" i="2" s="1"/>
  <c r="T764" i="2" s="1"/>
  <c r="L562" i="2"/>
  <c r="N562" i="2" s="1"/>
  <c r="T562" i="2" s="1"/>
  <c r="L621" i="2"/>
  <c r="N621" i="2" s="1"/>
  <c r="T621" i="2" s="1"/>
  <c r="L706" i="2"/>
  <c r="N706" i="2" s="1"/>
  <c r="T706" i="2" s="1"/>
  <c r="L168" i="2"/>
  <c r="N168" i="2" s="1"/>
  <c r="T168" i="2" s="1"/>
  <c r="L686" i="2"/>
  <c r="N686" i="2" s="1"/>
  <c r="T686" i="2" s="1"/>
  <c r="L74" i="2"/>
  <c r="N74" i="2" s="1"/>
  <c r="T74" i="2" s="1"/>
  <c r="L39" i="2"/>
  <c r="N39" i="2" s="1"/>
  <c r="T39" i="2" s="1"/>
  <c r="L29" i="2"/>
  <c r="N29" i="2" s="1"/>
  <c r="T29" i="2" s="1"/>
  <c r="L316" i="2"/>
  <c r="N316" i="2" s="1"/>
  <c r="T316" i="2" s="1"/>
  <c r="L344" i="2"/>
  <c r="N344" i="2" s="1"/>
  <c r="T344" i="2" s="1"/>
  <c r="L568" i="2"/>
  <c r="N568" i="2" s="1"/>
  <c r="T568" i="2" s="1"/>
  <c r="L617" i="2"/>
  <c r="N617" i="2" s="1"/>
  <c r="T617" i="2" s="1"/>
  <c r="L535" i="2"/>
  <c r="N535" i="2" s="1"/>
  <c r="T535" i="2" s="1"/>
  <c r="L904" i="2"/>
  <c r="N904" i="2" s="1"/>
  <c r="T904" i="2" s="1"/>
  <c r="L837" i="2"/>
  <c r="N837" i="2" s="1"/>
  <c r="T837" i="2" s="1"/>
  <c r="L14" i="2"/>
  <c r="N14" i="2" s="1"/>
  <c r="T14" i="2" s="1"/>
  <c r="L210" i="2"/>
  <c r="N210" i="2" s="1"/>
  <c r="T210" i="2" s="1"/>
  <c r="L707" i="2"/>
  <c r="N707" i="2" s="1"/>
  <c r="T707" i="2" s="1"/>
  <c r="L246" i="2"/>
  <c r="N246" i="2" s="1"/>
  <c r="T246" i="2" s="1"/>
  <c r="L552" i="2"/>
  <c r="N552" i="2" s="1"/>
  <c r="T552" i="2" s="1"/>
  <c r="L102" i="2"/>
  <c r="N102" i="2" s="1"/>
  <c r="T102" i="2" s="1"/>
  <c r="L469" i="2"/>
  <c r="N469" i="2" s="1"/>
  <c r="T469" i="2" s="1"/>
  <c r="L551" i="2"/>
  <c r="N551" i="2" s="1"/>
  <c r="T551" i="2" s="1"/>
  <c r="L268" i="2"/>
  <c r="N268" i="2" s="1"/>
  <c r="T268" i="2" s="1"/>
  <c r="L473" i="2"/>
  <c r="N473" i="2" s="1"/>
  <c r="T473" i="2" s="1"/>
  <c r="L919" i="2"/>
  <c r="N919" i="2" s="1"/>
  <c r="T919" i="2" s="1"/>
  <c r="L120" i="2"/>
  <c r="N120" i="2" s="1"/>
  <c r="T120" i="2" s="1"/>
  <c r="L629" i="2"/>
  <c r="N629" i="2" s="1"/>
  <c r="T629" i="2" s="1"/>
  <c r="L156" i="2"/>
  <c r="N156" i="2" s="1"/>
  <c r="T156" i="2" s="1"/>
  <c r="L322" i="2"/>
  <c r="N322" i="2" s="1"/>
  <c r="T322" i="2" s="1"/>
  <c r="L609" i="2"/>
  <c r="N609" i="2" s="1"/>
  <c r="T609" i="2" s="1"/>
  <c r="L529" i="2"/>
  <c r="N529" i="2" s="1"/>
  <c r="T529" i="2" s="1"/>
  <c r="L841" i="2"/>
  <c r="N841" i="2" s="1"/>
  <c r="T841" i="2" s="1"/>
  <c r="L289" i="2"/>
  <c r="N289" i="2" s="1"/>
  <c r="T289" i="2" s="1"/>
  <c r="L996" i="2"/>
  <c r="N996" i="2" s="1"/>
  <c r="T996" i="2" s="1"/>
  <c r="L668" i="2"/>
  <c r="N668" i="2" s="1"/>
  <c r="T668" i="2" s="1"/>
  <c r="L910" i="2"/>
  <c r="N910" i="2" s="1"/>
  <c r="T910" i="2" s="1"/>
  <c r="L190" i="2"/>
  <c r="N190" i="2" s="1"/>
  <c r="T190" i="2" s="1"/>
  <c r="L819" i="2"/>
  <c r="N819" i="2" s="1"/>
  <c r="T819" i="2" s="1"/>
  <c r="L937" i="2"/>
  <c r="N937" i="2" s="1"/>
  <c r="T937" i="2" s="1"/>
  <c r="L251" i="2"/>
  <c r="N251" i="2" s="1"/>
  <c r="T251" i="2" s="1"/>
  <c r="L614" i="2"/>
  <c r="N614" i="2" s="1"/>
  <c r="T614" i="2" s="1"/>
  <c r="L653" i="2"/>
  <c r="N653" i="2" s="1"/>
  <c r="T653" i="2" s="1"/>
  <c r="L416" i="2"/>
  <c r="N416" i="2" s="1"/>
  <c r="T416" i="2" s="1"/>
  <c r="L359" i="2"/>
  <c r="N359" i="2" s="1"/>
  <c r="T359" i="2" s="1"/>
  <c r="L228" i="2"/>
  <c r="N228" i="2" s="1"/>
  <c r="T228" i="2" s="1"/>
  <c r="L248" i="2"/>
  <c r="N248" i="2" s="1"/>
  <c r="T248" i="2" s="1"/>
  <c r="L987" i="2"/>
  <c r="N987" i="2" s="1"/>
  <c r="T987" i="2" s="1"/>
  <c r="L633" i="2"/>
  <c r="N633" i="2" s="1"/>
  <c r="T633" i="2" s="1"/>
  <c r="L479" i="2"/>
  <c r="N479" i="2" s="1"/>
  <c r="T479" i="2" s="1"/>
  <c r="L490" i="2"/>
  <c r="N490" i="2" s="1"/>
  <c r="T490" i="2" s="1"/>
  <c r="L44" i="2"/>
  <c r="N44" i="2" s="1"/>
  <c r="T44" i="2" s="1"/>
  <c r="L362" i="2"/>
  <c r="N362" i="2" s="1"/>
  <c r="T362" i="2" s="1"/>
  <c r="L65" i="2"/>
  <c r="N65" i="2" s="1"/>
  <c r="T65" i="2" s="1"/>
  <c r="L793" i="2"/>
  <c r="N793" i="2" s="1"/>
  <c r="T793" i="2" s="1"/>
  <c r="L442" i="2"/>
  <c r="N442" i="2" s="1"/>
  <c r="T442" i="2" s="1"/>
  <c r="L723" i="2"/>
  <c r="N723" i="2" s="1"/>
  <c r="T723" i="2" s="1"/>
  <c r="L415" i="2"/>
  <c r="N415" i="2" s="1"/>
  <c r="T415" i="2" s="1"/>
  <c r="L517" i="2"/>
  <c r="N517" i="2" s="1"/>
  <c r="T517" i="2" s="1"/>
  <c r="L776" i="2"/>
  <c r="N776" i="2" s="1"/>
  <c r="T776" i="2" s="1"/>
  <c r="L984" i="2"/>
  <c r="N984" i="2" s="1"/>
  <c r="T984" i="2" s="1"/>
  <c r="L955" i="2"/>
  <c r="N955" i="2" s="1"/>
  <c r="T955" i="2" s="1"/>
  <c r="L180" i="2"/>
  <c r="N180" i="2" s="1"/>
  <c r="T180" i="2" s="1"/>
  <c r="L859" i="2"/>
  <c r="N859" i="2" s="1"/>
  <c r="T859" i="2" s="1"/>
  <c r="L992" i="2"/>
  <c r="N992" i="2" s="1"/>
  <c r="T992" i="2" s="1"/>
  <c r="L945" i="2"/>
  <c r="N945" i="2" s="1"/>
  <c r="T945" i="2" s="1"/>
  <c r="L973" i="2"/>
  <c r="N973" i="2" s="1"/>
  <c r="T973" i="2" s="1"/>
  <c r="L779" i="2"/>
  <c r="N779" i="2" s="1"/>
  <c r="T779" i="2" s="1"/>
  <c r="L854" i="2"/>
  <c r="N854" i="2" s="1"/>
  <c r="T854" i="2" s="1"/>
  <c r="L302" i="2"/>
  <c r="N302" i="2" s="1"/>
  <c r="T302" i="2" s="1"/>
  <c r="L569" i="2"/>
  <c r="N569" i="2" s="1"/>
  <c r="T569" i="2" s="1"/>
  <c r="L608" i="2"/>
  <c r="N608" i="2" s="1"/>
  <c r="T608" i="2" s="1"/>
  <c r="L253" i="2"/>
  <c r="N253" i="2" s="1"/>
  <c r="T253" i="2" s="1"/>
  <c r="L355" i="2"/>
  <c r="N355" i="2" s="1"/>
  <c r="T355" i="2" s="1"/>
  <c r="L218" i="2"/>
  <c r="N218" i="2" s="1"/>
  <c r="T218" i="2" s="1"/>
  <c r="L557" i="2"/>
  <c r="N557" i="2" s="1"/>
  <c r="T557" i="2" s="1"/>
  <c r="L753" i="2"/>
  <c r="N753" i="2" s="1"/>
  <c r="T753" i="2" s="1"/>
  <c r="L725" i="2"/>
  <c r="N725" i="2" s="1"/>
  <c r="T725" i="2" s="1"/>
  <c r="L277" i="2"/>
  <c r="N277" i="2" s="1"/>
  <c r="T277" i="2" s="1"/>
  <c r="L780" i="2"/>
  <c r="N780" i="2" s="1"/>
  <c r="T780" i="2" s="1"/>
  <c r="L47" i="2"/>
  <c r="N47" i="2" s="1"/>
  <c r="T47" i="2" s="1"/>
  <c r="L740" i="2"/>
  <c r="N740" i="2" s="1"/>
  <c r="T740" i="2" s="1"/>
  <c r="L453" i="2"/>
  <c r="N453" i="2" s="1"/>
  <c r="T453" i="2" s="1"/>
  <c r="L283" i="2"/>
  <c r="N283" i="2" s="1"/>
  <c r="T283" i="2" s="1"/>
  <c r="L332" i="2"/>
  <c r="N332" i="2" s="1"/>
  <c r="T332" i="2" s="1"/>
  <c r="L659" i="2"/>
  <c r="N659" i="2" s="1"/>
  <c r="T659" i="2" s="1"/>
  <c r="L421" i="2"/>
  <c r="N421" i="2" s="1"/>
  <c r="T421" i="2" s="1"/>
  <c r="L998" i="2"/>
  <c r="N998" i="2" s="1"/>
  <c r="T998" i="2" s="1"/>
  <c r="L499" i="2"/>
  <c r="N499" i="2" s="1"/>
  <c r="T499" i="2" s="1"/>
  <c r="L256" i="2"/>
  <c r="N256" i="2" s="1"/>
  <c r="T256" i="2" s="1"/>
  <c r="L134" i="2"/>
  <c r="N134" i="2" s="1"/>
  <c r="T134" i="2" s="1"/>
  <c r="L506" i="2"/>
  <c r="N506" i="2" s="1"/>
  <c r="T506" i="2" s="1"/>
  <c r="L411" i="2"/>
  <c r="N411" i="2" s="1"/>
  <c r="T411" i="2" s="1"/>
  <c r="L803" i="2"/>
  <c r="N803" i="2" s="1"/>
  <c r="T803" i="2" s="1"/>
  <c r="L804" i="2"/>
  <c r="N804" i="2" s="1"/>
  <c r="T804" i="2" s="1"/>
  <c r="L298" i="2"/>
  <c r="N298" i="2" s="1"/>
  <c r="T298" i="2" s="1"/>
  <c r="L205" i="2"/>
  <c r="N205" i="2" s="1"/>
  <c r="T205" i="2" s="1"/>
  <c r="L896" i="2"/>
  <c r="N896" i="2" s="1"/>
  <c r="T896" i="2" s="1"/>
  <c r="L66" i="2"/>
  <c r="N66" i="2" s="1"/>
  <c r="T66" i="2" s="1"/>
  <c r="L966" i="2"/>
  <c r="N966" i="2" s="1"/>
  <c r="T966" i="2" s="1"/>
  <c r="L571" i="2"/>
  <c r="N571" i="2" s="1"/>
  <c r="T571" i="2" s="1"/>
  <c r="L970" i="2"/>
  <c r="N970" i="2" s="1"/>
  <c r="T970" i="2" s="1"/>
  <c r="L69" i="2"/>
  <c r="N69" i="2" s="1"/>
  <c r="T69" i="2" s="1"/>
  <c r="L466" i="2"/>
  <c r="N466" i="2" s="1"/>
  <c r="T466" i="2" s="1"/>
  <c r="L843" i="2"/>
  <c r="N843" i="2" s="1"/>
  <c r="T843" i="2" s="1"/>
  <c r="L395" i="2"/>
  <c r="N395" i="2" s="1"/>
  <c r="T395" i="2" s="1"/>
  <c r="L2" i="2"/>
  <c r="N2" i="2" s="1"/>
  <c r="T2" i="2" s="1"/>
  <c r="L34" i="2"/>
  <c r="N34" i="2" s="1"/>
  <c r="T34" i="2" s="1"/>
  <c r="L100" i="2"/>
  <c r="N100" i="2" s="1"/>
  <c r="T100" i="2" s="1"/>
  <c r="L980" i="2"/>
  <c r="N980" i="2" s="1"/>
  <c r="T980" i="2" s="1"/>
  <c r="L951" i="2"/>
  <c r="N951" i="2" s="1"/>
  <c r="T951" i="2" s="1"/>
  <c r="L460" i="2"/>
  <c r="N460" i="2" s="1"/>
  <c r="T460" i="2" s="1"/>
  <c r="L714" i="2"/>
  <c r="N714" i="2" s="1"/>
  <c r="T714" i="2" s="1"/>
  <c r="L20" i="2"/>
  <c r="N20" i="2" s="1"/>
  <c r="T20" i="2" s="1"/>
  <c r="L827" i="2"/>
  <c r="N827" i="2" s="1"/>
  <c r="T827" i="2" s="1"/>
  <c r="L717" i="2"/>
  <c r="N717" i="2" s="1"/>
  <c r="T717" i="2" s="1"/>
  <c r="L294" i="2"/>
  <c r="N294" i="2" s="1"/>
  <c r="T294" i="2" s="1"/>
  <c r="L147" i="2"/>
  <c r="N147" i="2" s="1"/>
  <c r="T147" i="2" s="1"/>
  <c r="L844" i="2"/>
  <c r="N844" i="2" s="1"/>
  <c r="T844" i="2" s="1"/>
  <c r="L12" i="2"/>
  <c r="N12" i="2" s="1"/>
  <c r="T12" i="2" s="1"/>
  <c r="L812" i="2"/>
  <c r="N812" i="2" s="1"/>
  <c r="T812" i="2" s="1"/>
  <c r="L660" i="2"/>
  <c r="N660" i="2" s="1"/>
  <c r="T660" i="2" s="1"/>
  <c r="L682" i="2"/>
  <c r="N682" i="2" s="1"/>
  <c r="T682" i="2" s="1"/>
  <c r="L654" i="2"/>
  <c r="N654" i="2" s="1"/>
  <c r="T654" i="2" s="1"/>
  <c r="L906" i="2"/>
  <c r="N906" i="2" s="1"/>
  <c r="T906" i="2" s="1"/>
  <c r="L683" i="2"/>
  <c r="N683" i="2" s="1"/>
  <c r="T683" i="2" s="1"/>
  <c r="L97" i="2"/>
  <c r="N97" i="2" s="1"/>
  <c r="T97" i="2" s="1"/>
  <c r="L870" i="2"/>
  <c r="N870" i="2" s="1"/>
  <c r="T870" i="2" s="1"/>
  <c r="L599" i="2"/>
  <c r="N599" i="2" s="1"/>
  <c r="T599" i="2" s="1"/>
  <c r="L211" i="2"/>
  <c r="N211" i="2" s="1"/>
  <c r="T211" i="2" s="1"/>
  <c r="L408" i="2"/>
  <c r="N408" i="2" s="1"/>
  <c r="T408" i="2" s="1"/>
  <c r="A884" i="2" l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2" i="2"/>
  <c r="A3" i="2" s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</calcChain>
</file>

<file path=xl/sharedStrings.xml><?xml version="1.0" encoding="utf-8"?>
<sst xmlns="http://schemas.openxmlformats.org/spreadsheetml/2006/main" count="119" uniqueCount="111">
  <si>
    <t>Nº de cliente</t>
  </si>
  <si>
    <t>Nombre del cliente</t>
  </si>
  <si>
    <t>Día de entrada</t>
  </si>
  <si>
    <t>Día de hoy</t>
  </si>
  <si>
    <t>diferencia de días</t>
  </si>
  <si>
    <t>Deuda que debe</t>
  </si>
  <si>
    <t>¿nos ignora o nos hace caso?</t>
  </si>
  <si>
    <r>
      <t xml:space="preserve">tiempo </t>
    </r>
    <r>
      <rPr>
        <sz val="11"/>
        <color theme="1"/>
        <rFont val="Aptos Narrow"/>
        <family val="2"/>
      </rPr>
      <t>\\</t>
    </r>
    <r>
      <rPr>
        <sz val="11"/>
        <color theme="1"/>
        <rFont val="Aptos Narrow"/>
        <family val="2"/>
        <scheme val="minor"/>
      </rPr>
      <t>deuda</t>
    </r>
  </si>
  <si>
    <t>&lt;500</t>
  </si>
  <si>
    <t>500&lt;d&lt;1000</t>
  </si>
  <si>
    <t>1000&lt;d&lt;3000</t>
  </si>
  <si>
    <t>3000&lt;d&lt;5000</t>
  </si>
  <si>
    <t>5000&lt;d&lt;10000</t>
  </si>
  <si>
    <t>&gt;10.000</t>
  </si>
  <si>
    <t>&lt;15</t>
  </si>
  <si>
    <t>30º</t>
  </si>
  <si>
    <t>28º</t>
  </si>
  <si>
    <t>27º</t>
  </si>
  <si>
    <t>22º</t>
  </si>
  <si>
    <t>23º</t>
  </si>
  <si>
    <t>24º</t>
  </si>
  <si>
    <t>&lt;25</t>
  </si>
  <si>
    <t>29º</t>
  </si>
  <si>
    <t>25º</t>
  </si>
  <si>
    <t>21º</t>
  </si>
  <si>
    <t>17º</t>
  </si>
  <si>
    <t>11º</t>
  </si>
  <si>
    <t>10º</t>
  </si>
  <si>
    <t>&lt;50</t>
  </si>
  <si>
    <t>26º</t>
  </si>
  <si>
    <t>20º</t>
  </si>
  <si>
    <t>16º</t>
  </si>
  <si>
    <t>14º</t>
  </si>
  <si>
    <t>9º</t>
  </si>
  <si>
    <t>6º</t>
  </si>
  <si>
    <t>&lt;75</t>
  </si>
  <si>
    <t>19º</t>
  </si>
  <si>
    <t>15º</t>
  </si>
  <si>
    <t>13º</t>
  </si>
  <si>
    <t>8º</t>
  </si>
  <si>
    <t>5º</t>
  </si>
  <si>
    <t>3º</t>
  </si>
  <si>
    <t>&gt;75</t>
  </si>
  <si>
    <t>18º</t>
  </si>
  <si>
    <t>12º</t>
  </si>
  <si>
    <t>7º</t>
  </si>
  <si>
    <t>4º</t>
  </si>
  <si>
    <t>2º</t>
  </si>
  <si>
    <t>1º</t>
  </si>
  <si>
    <t>Aleatorio()</t>
  </si>
  <si>
    <t xml:space="preserve">Tipo de préstamo </t>
  </si>
  <si>
    <t>Deuda pasada cerrada</t>
  </si>
  <si>
    <t>Liquidez</t>
  </si>
  <si>
    <t>Activos</t>
  </si>
  <si>
    <t>Fantasma Comunicación</t>
  </si>
  <si>
    <t>Comunicación</t>
  </si>
  <si>
    <t>Riesgo de entrada en Mora</t>
  </si>
  <si>
    <t>deuda</t>
  </si>
  <si>
    <t>frecuencia</t>
  </si>
  <si>
    <t>Frecuencia acumulada</t>
  </si>
  <si>
    <t>intervalos</t>
  </si>
  <si>
    <t>500≤d&lt;1000</t>
  </si>
  <si>
    <t>1000≤d&lt;3000</t>
  </si>
  <si>
    <t>3000≤d&lt;5000</t>
  </si>
  <si>
    <t>5000≤d&lt;10000</t>
  </si>
  <si>
    <t>10000≤d</t>
  </si>
  <si>
    <t xml:space="preserve">                   intervalos</t>
  </si>
  <si>
    <t>prestamo</t>
  </si>
  <si>
    <t>frecuencia acumulada</t>
  </si>
  <si>
    <t>personal</t>
  </si>
  <si>
    <t xml:space="preserve">hipotecario </t>
  </si>
  <si>
    <t>TITULARIDAD</t>
  </si>
  <si>
    <t>IMPORTE DE LA DEUDA</t>
  </si>
  <si>
    <t>FECHA DEL IMPAGO</t>
  </si>
  <si>
    <t xml:space="preserve">TIPO DE MORA O ENTRA </t>
  </si>
  <si>
    <t>PROVISION DE FONDOS PARA CUBRIR MOROSIDAD</t>
  </si>
  <si>
    <t>EL BANCO TIENE QU ETENER DOINERO PARA CUBRIR ESOS IMPAGOS</t>
  </si>
  <si>
    <t>HAY QUE PREVEER QUE SE PRODUZCA UN IMPAGO</t>
  </si>
  <si>
    <t>TIPO DE DEUDA</t>
  </si>
  <si>
    <t>GARANTÍA VIVIENDA</t>
  </si>
  <si>
    <t>HIPOTECARIA</t>
  </si>
  <si>
    <t>BIENES PASADOS, PRESENTES Y FUTURAS</t>
  </si>
  <si>
    <t>PERSONAL</t>
  </si>
  <si>
    <t xml:space="preserve">EN EMPRESAS LOS APODERADOS RESPONDE CON SU PATROMINIO - NUEVA NORMA- RESPONDE A LO OCURRIDO EN LA CRISIS DE 2008 DONDE SOLO RESPONDIAN CON EL PATRIMONIO DE LA EMPRESA </t>
  </si>
  <si>
    <t>ANTICIPO DE NÓMINAS</t>
  </si>
  <si>
    <t xml:space="preserve">SALTAN LAS PERSONAS QUE NO HAN PAGADO - SISTEMA QUE VA ALERTANDO </t>
  </si>
  <si>
    <t>DOS TIPOS DE LISTADOS</t>
  </si>
  <si>
    <t>CLIENTES 0-30 DÍAS IMPAGOS</t>
  </si>
  <si>
    <t>IMPORTE</t>
  </si>
  <si>
    <t>DEUDA VENCIDA</t>
  </si>
  <si>
    <t>PRESOL</t>
  </si>
  <si>
    <t xml:space="preserve">ANTICIPARSE </t>
  </si>
  <si>
    <t>DETECTAR QUE NO ENTRAN NÓMINAS</t>
  </si>
  <si>
    <t>CLIENTES 30-90 DÍAS IMPAGOS</t>
  </si>
  <si>
    <t xml:space="preserve">CADA GESTOR </t>
  </si>
  <si>
    <t>ALREDEDOR DE 400 CLIENTES</t>
  </si>
  <si>
    <t>CARGA OPERATIVA</t>
  </si>
  <si>
    <t>NO CONTACTAR CON EL CLIENTE- NO PODER LOCALIZAR A RESIDENTES</t>
  </si>
  <si>
    <t>ULTIMO RECURSO REDES SOCIALES</t>
  </si>
  <si>
    <t xml:space="preserve">CONSULTAR LA SITUACION DEL CLIENTE SE TARDA MUY POCO </t>
  </si>
  <si>
    <t>MIRAR ACTIVOS E INGRESOS</t>
  </si>
  <si>
    <t xml:space="preserve">HISTORIAL DE IMPAGO </t>
  </si>
  <si>
    <t>TODO APARECE</t>
  </si>
  <si>
    <t>Ki</t>
  </si>
  <si>
    <t>¿cliente deuda abierta?</t>
  </si>
  <si>
    <t>Deuda actual</t>
  </si>
  <si>
    <t>D si Tiene deuda actual</t>
  </si>
  <si>
    <t xml:space="preserve"> SI([@[diferencia de días]]&gt;=90; 0,5; "--"</t>
  </si>
  <si>
    <t>VALORES DE Hg para actuales deudores</t>
  </si>
  <si>
    <t>Valores de HG para deudores cerrados</t>
  </si>
  <si>
    <t>Hg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</si>
</sst>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#,##0.00\ &quot;€&quot;"/>
  </numFmts>
  <fonts count="8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242424"/>
      <name val="Consolas"/>
      <family val="3"/>
    </font>
    <font>
      <b/>
      <sz val="11"/>
      <color rgb="FF0000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44" fontId="5" fillId="0" borderId="0" applyFont="0" applyFill="0" applyBorder="0" applyAlignment="0" applyProtection="0"/>
  </cellStyleXfs>
  <cellXfs count="54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0" fillId="2" borderId="4" xfId="0" applyFill="1" applyBorder="1"/>
    <xf numFmtId="0" fontId="1" fillId="3" borderId="1" xfId="0" applyFont="1" applyFill="1" applyBorder="1" applyAlignment="1">
      <alignment horizontal="center"/>
    </xf>
    <xf numFmtId="0" fontId="1" fillId="3" borderId="9" xfId="0" applyFont="1" applyFill="1" applyBorder="1" applyAlignment="1">
      <alignment horizontal="center"/>
    </xf>
    <xf numFmtId="0" fontId="1" fillId="7" borderId="9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6" borderId="11" xfId="0" applyFont="1" applyFill="1" applyBorder="1" applyAlignment="1">
      <alignment horizontal="center"/>
    </xf>
    <xf numFmtId="0" fontId="1" fillId="6" borderId="12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4" borderId="11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14" fontId="0" fillId="0" borderId="0" xfId="0" applyNumberFormat="1"/>
    <xf numFmtId="0" fontId="0" fillId="0" borderId="14" xfId="0" applyBorder="1"/>
    <xf numFmtId="0" fontId="0" fillId="8" borderId="7" xfId="0" applyFill="1" applyBorder="1"/>
    <xf numFmtId="0" fontId="0" fillId="8" borderId="9" xfId="0" applyFill="1" applyBorder="1"/>
    <xf numFmtId="0" fontId="0" fillId="8" borderId="12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10" xfId="0" applyFill="1" applyBorder="1"/>
    <xf numFmtId="0" fontId="0" fillId="9" borderId="12" xfId="0" applyFill="1" applyBorder="1"/>
    <xf numFmtId="0" fontId="0" fillId="9" borderId="15" xfId="0" applyFill="1" applyBorder="1"/>
    <xf numFmtId="0" fontId="0" fillId="9" borderId="16" xfId="0" applyFill="1" applyBorder="1"/>
    <xf numFmtId="0" fontId="0" fillId="0" borderId="0" xfId="0" applyAlignment="1">
      <alignment horizontal="center"/>
    </xf>
    <xf numFmtId="0" fontId="0" fillId="0" borderId="17" xfId="0" applyBorder="1"/>
    <xf numFmtId="0" fontId="0" fillId="0" borderId="18" xfId="0" applyBorder="1"/>
    <xf numFmtId="0" fontId="0" fillId="9" borderId="5" xfId="0" applyFill="1" applyBorder="1" applyAlignment="1">
      <alignment horizontal="center"/>
    </xf>
    <xf numFmtId="0" fontId="0" fillId="9" borderId="7" xfId="0" applyFill="1" applyBorder="1" applyAlignment="1">
      <alignment horizontal="center"/>
    </xf>
    <xf numFmtId="0" fontId="0" fillId="10" borderId="13" xfId="0" applyFill="1" applyBorder="1"/>
    <xf numFmtId="0" fontId="0" fillId="8" borderId="19" xfId="0" applyFill="1" applyBorder="1"/>
    <xf numFmtId="0" fontId="0" fillId="8" borderId="20" xfId="0" applyFill="1" applyBorder="1"/>
    <xf numFmtId="0" fontId="0" fillId="8" borderId="21" xfId="0" applyFill="1" applyBorder="1"/>
    <xf numFmtId="0" fontId="2" fillId="0" borderId="0" xfId="0" applyFont="1"/>
    <xf numFmtId="0" fontId="0" fillId="8" borderId="1" xfId="0" applyFill="1" applyBorder="1"/>
    <xf numFmtId="0" fontId="3" fillId="2" borderId="0" xfId="0" applyFont="1" applyFill="1"/>
    <xf numFmtId="0" fontId="3" fillId="2" borderId="3" xfId="0" applyFont="1" applyFill="1" applyBorder="1"/>
    <xf numFmtId="164" fontId="6" fillId="0" borderId="0" xfId="0" applyNumberFormat="1" applyFont="1" applyAlignment="1">
      <alignment horizontal="center"/>
    </xf>
    <xf numFmtId="164" fontId="3" fillId="2" borderId="17" xfId="2" applyNumberFormat="1" applyFont="1" applyFill="1" applyBorder="1"/>
    <xf numFmtId="164" fontId="0" fillId="0" borderId="0" xfId="0" applyNumberFormat="1" applyAlignment="1">
      <alignment horizontal="center"/>
    </xf>
    <xf numFmtId="0" fontId="3" fillId="3" borderId="0" xfId="0" applyFont="1" applyFill="1"/>
    <xf numFmtId="0" fontId="0" fillId="10" borderId="17" xfId="0" applyFill="1" applyBorder="1"/>
    <xf numFmtId="0" fontId="7" fillId="2" borderId="22" xfId="0" applyFont="1" applyFill="1" applyBorder="1"/>
    <xf numFmtId="0" fontId="0" fillId="0" borderId="23" xfId="0" applyBorder="1"/>
    <xf numFmtId="0" fontId="0" fillId="0" borderId="24" xfId="0" applyBorder="1"/>
    <xf numFmtId="0" fontId="1" fillId="11" borderId="0" xfId="0" applyFont="1" applyFill="1" applyAlignment="1">
      <alignment horizontal="center"/>
    </xf>
  </cellXfs>
  <cellStyles count="3">
    <cellStyle name="Hyperlink" xfId="1" xr:uid="{00000000-000B-0000-0000-000008000000}"/>
    <cellStyle name="Moneda" xfId="2" builtinId="4"/>
    <cellStyle name="Normal" xfId="0" builtinId="0"/>
  </cellStyles>
  <dxfs count="17"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numFmt numFmtId="164" formatCode="#,##0.00\ &quot;€&quot;"/>
      <alignment horizontal="center" vertical="bottom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16</xdr:row>
      <xdr:rowOff>0</xdr:rowOff>
    </xdr:from>
    <xdr:to>
      <xdr:col>3</xdr:col>
      <xdr:colOff>304800</xdr:colOff>
      <xdr:row>17</xdr:row>
      <xdr:rowOff>120650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BAE2ECFB-5536-BF33-66A4-8570351438F9}"/>
            </a:ext>
          </a:extLst>
        </xdr:cNvPr>
        <xdr:cNvSpPr>
          <a:spLocks noChangeAspect="1" noChangeArrowheads="1"/>
        </xdr:cNvSpPr>
      </xdr:nvSpPr>
      <xdr:spPr bwMode="auto">
        <a:xfrm>
          <a:off x="3124200" y="2965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15119</xdr:colOff>
      <xdr:row>0</xdr:row>
      <xdr:rowOff>0</xdr:rowOff>
    </xdr:from>
    <xdr:to>
      <xdr:col>14</xdr:col>
      <xdr:colOff>211666</xdr:colOff>
      <xdr:row>11</xdr:row>
      <xdr:rowOff>33066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92CFB10-70F3-47BE-29B9-090830568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36429" y="0"/>
          <a:ext cx="4732261" cy="2074137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17</xdr:col>
      <xdr:colOff>58115</xdr:colOff>
      <xdr:row>15</xdr:row>
      <xdr:rowOff>68444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166426C-A32A-4D1C-F926-D9D29AF11A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419353" y="2263588"/>
          <a:ext cx="6916115" cy="62873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A76AE2-753D-466C-A6AD-7F18C8A28F25}" name="Tabla2" displayName="Tabla2" ref="A1:T1000" totalsRowShown="0">
  <autoFilter ref="A1:T1000" xr:uid="{C1A76AE2-753D-466C-A6AD-7F18C8A28F25}"/>
  <sortState xmlns:xlrd2="http://schemas.microsoft.com/office/spreadsheetml/2017/richdata2" ref="A2:T1000">
    <sortCondition ref="T1:T1000"/>
  </sortState>
  <tableColumns count="20">
    <tableColumn id="1" xr3:uid="{7BB96F36-F40E-444B-BF3A-DA59FB04A5EB}" name="Nº de cliente">
      <calculatedColumnFormula>A1+1</calculatedColumnFormula>
    </tableColumn>
    <tableColumn id="2" xr3:uid="{1B34978F-96A7-4285-8B4F-C2DDB93A64AF}" name="Día de entrada" dataDxfId="16">
      <calculatedColumnFormula>RANDBETWEEN(DATE(2026,3,1), DATE(2026,5,1))</calculatedColumnFormula>
    </tableColumn>
    <tableColumn id="3" xr3:uid="{23BA306B-C1E5-4F96-B0DC-A5B43AE98778}" name="Día de hoy" dataDxfId="15">
      <calculatedColumnFormula>TODAY()</calculatedColumnFormula>
    </tableColumn>
    <tableColumn id="4" xr3:uid="{BEEFC68F-A559-4E43-9289-481793610131}" name="diferencia de días" dataDxfId="14">
      <calculatedColumnFormula>ROUND((-(15) * LN(RAND())),0)</calculatedColumnFormula>
    </tableColumn>
    <tableColumn id="5" xr3:uid="{0C379288-A612-4BBC-A456-B5E792CAF87D}" name="Aleatorio()">
      <calculatedColumnFormula>RAND()</calculatedColumnFormula>
    </tableColumn>
    <tableColumn id="23" xr3:uid="{EA804054-EFA2-4F24-862B-4AF0F0BE2D08}" name="Deuda actual" dataDxfId="13">
      <calculatedColumnFormula>ROUND(MIN(10000, _xlfn.LOGNORM.INV(RAND(), 69/10, 13/10)),2)</calculatedColumnFormula>
    </tableColumn>
    <tableColumn id="12" xr3:uid="{09400438-DA43-476C-848D-75D2E9A4DE74}" name="Tipo de préstamo " dataDxfId="12">
      <calculatedColumnFormula>IF(RAND()&lt;=0.5,"personal","hipotecario")</calculatedColumnFormula>
    </tableColumn>
    <tableColumn id="7" xr3:uid="{78C69422-2DDD-41DE-8857-C1A89E3E1444}" name="Ki" dataDxfId="11">
      <calculatedColumnFormula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calculatedColumnFormula>
    </tableColumn>
    <tableColumn id="15" xr3:uid="{5A7271D1-AD87-48E6-8877-2025CDEA79CC}" name="¿cliente deuda abierta?" dataDxfId="10">
      <calculatedColumnFormula>IF(RAND()&lt;=0.65, "Sí", "No")</calculatedColumnFormula>
    </tableColumn>
    <tableColumn id="18" xr3:uid="{E31F60A1-1B22-4E0F-BBFD-B2D0E94DD9BD}" name="Deuda pasada cerrada" dataDxfId="9">
      <calculatedColumnFormula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calculatedColumnFormula>
    </tableColumn>
    <tableColumn id="9" xr3:uid="{0BCAE446-123A-4A8E-9F9B-ECF2EB5661FD}" name="D si Tiene deuda actual" dataDxfId="8">
      <calculatedColumnFormula>IF(Tabla2[[#This Row],[¿cliente deuda abierta?]]="Sí", Tabla2[[#This Row],[Deuda actual]]*Tabla2[[#This Row],[diferencia de días]], "0")</calculatedColumnFormula>
    </tableColumn>
    <tableColumn id="10" xr3:uid="{984DCEC9-5444-465E-857F-B093BC0A5052}" name="VALORES DE Hg para actuales deudores" dataDxfId="7">
      <calculatedColumnFormula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calculatedColumnFormula>
    </tableColumn>
    <tableColumn id="19" xr3:uid="{B114CBAC-F63B-419F-B73F-AAC120A5A236}" name="Valores de HG para deudores cerrados" dataDxfId="6">
      <calculatedColumnFormula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calculatedColumnFormula>
    </tableColumn>
    <tableColumn id="24" xr3:uid="{D75CA242-7089-48CB-A16E-4BA13FA0268F}" name="Hg" dataDxfId="5">
      <calculatedColumnFormula>MAX(Tabla2[[#This Row],[VALORES DE Hg para actuales deudores]:[Valores de HG para deudores cerrados]])*IF(Tabla2[[#This Row],[VALORES DE Hg para actuales deudores]]&gt;Tabla2[[#This Row],[Valores de HG para deudores cerrados]],-1,1)</calculatedColumnFormula>
    </tableColumn>
    <tableColumn id="22" xr3:uid="{1452DDFB-5CBE-4EDA-8115-8F45D350CC2B}" name="Liquidez" dataDxfId="4">
      <calculatedColumnFormula>ROUND(1000*(_xlfn.LOGNORM.INV(RAND(), 0.5, 0.2)),2)</calculatedColumnFormula>
    </tableColumn>
    <tableColumn id="11" xr3:uid="{FB3FF9B4-A65E-4D71-BE4D-712630A45A30}" name="Activos" dataDxfId="3">
      <calculatedColumnFormula>ROUND(50000*(_xlfn.LOGNORM.INV(RAND(), 1, 0.75)),2)</calculatedColumnFormula>
    </tableColumn>
    <tableColumn id="20" xr3:uid="{9B2E8BFD-D2E4-48D9-9C11-4756C20CA9FE}" name="Fantasma Comunicación"/>
    <tableColumn id="13" xr3:uid="{652272C2-FAC1-4901-96A0-C03DE0072647}" name="Comunicación" dataDxfId="2">
      <calculatedColumnFormula>((Tabla2[[#This Row],[Fantasma Comunicación]]+1)/(Tabla2[[#This Row],[Fantasma Comunicación]]+RANDBETWEEN(0,5)+2))-0.5</calculatedColumnFormula>
    </tableColumn>
    <tableColumn id="14" xr3:uid="{9EFBD013-1B2F-4005-AE7A-74AB60D77C74}" name="CARGA OPERATIVA" dataDxfId="1">
      <calculatedColumnFormula>1+MAX(0,Tabla2[[#This Row],[Deuda actual]]/Tabla2[[#This Row],[Liquidez]]+Tabla2[[#This Row],[Liquidez]]/(Tabla2[[#This Row],[Activos]]+Tabla2[[#This Row],[Liquidez]])+Tabla2[[#This Row],[Comunicación]])</calculatedColumnFormula>
    </tableColumn>
    <tableColumn id="21" xr3:uid="{747D7AD4-BB3D-4F80-8803-9FA86C9D21B8}" name="Riesgo de entrada en Mora" dataDxfId="0">
      <calculatedColumnFormula>Tabla2[[#This Row],[Deuda actual]]*EXP(Tabla2[[#This Row],[Ki]]*Tabla2[[#This Row],[diferencia de días]])*(1+Tabla2[[#This Row],[Hg]])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0C067-D2F0-461E-966F-8BEF8500D296}">
  <dimension ref="A1:G8"/>
  <sheetViews>
    <sheetView topLeftCell="A3" zoomScale="250" workbookViewId="0">
      <selection sqref="A1:G1"/>
    </sheetView>
  </sheetViews>
  <sheetFormatPr baseColWidth="10" defaultColWidth="11.453125" defaultRowHeight="14.5" x14ac:dyDescent="0.35"/>
  <cols>
    <col min="1" max="1" width="16.1796875" bestFit="1" customWidth="1"/>
    <col min="2" max="2" width="16.54296875" bestFit="1" customWidth="1"/>
    <col min="3" max="3" width="12.81640625" bestFit="1" customWidth="1"/>
    <col min="4" max="4" width="12.7265625" bestFit="1" customWidth="1"/>
    <col min="5" max="5" width="15.1796875" bestFit="1" customWidth="1"/>
    <col min="6" max="6" width="14.26953125" bestFit="1" customWidth="1"/>
    <col min="7" max="7" width="25.1796875" bestFit="1" customWidth="1"/>
  </cols>
  <sheetData>
    <row r="1" spans="1:7" ht="15" thickBot="1" x14ac:dyDescent="0.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8" t="s">
        <v>6</v>
      </c>
    </row>
    <row r="2" spans="1:7" ht="15" thickBot="1" x14ac:dyDescent="0.4"/>
    <row r="3" spans="1:7" x14ac:dyDescent="0.35">
      <c r="A3" s="3" t="s">
        <v>7</v>
      </c>
      <c r="B3" s="4" t="s">
        <v>8</v>
      </c>
      <c r="C3" s="4" t="s">
        <v>9</v>
      </c>
      <c r="D3" s="4" t="s">
        <v>10</v>
      </c>
      <c r="E3" s="4" t="s">
        <v>11</v>
      </c>
      <c r="F3" s="4" t="s">
        <v>12</v>
      </c>
      <c r="G3" s="5" t="s">
        <v>13</v>
      </c>
    </row>
    <row r="4" spans="1:7" x14ac:dyDescent="0.35">
      <c r="A4" s="6" t="s">
        <v>14</v>
      </c>
      <c r="B4" s="16" t="s">
        <v>15</v>
      </c>
      <c r="C4" s="17" t="s">
        <v>16</v>
      </c>
      <c r="D4" s="17" t="s">
        <v>17</v>
      </c>
      <c r="E4" s="17" t="s">
        <v>18</v>
      </c>
      <c r="F4" s="17" t="s">
        <v>19</v>
      </c>
      <c r="G4" s="20" t="s">
        <v>20</v>
      </c>
    </row>
    <row r="5" spans="1:7" x14ac:dyDescent="0.35">
      <c r="A5" s="6" t="s">
        <v>21</v>
      </c>
      <c r="B5" s="16" t="s">
        <v>22</v>
      </c>
      <c r="C5" s="17" t="s">
        <v>23</v>
      </c>
      <c r="D5" s="17" t="s">
        <v>24</v>
      </c>
      <c r="E5" s="18" t="s">
        <v>25</v>
      </c>
      <c r="F5" s="9" t="s">
        <v>26</v>
      </c>
      <c r="G5" s="10" t="s">
        <v>27</v>
      </c>
    </row>
    <row r="6" spans="1:7" x14ac:dyDescent="0.35">
      <c r="A6" s="6" t="s">
        <v>28</v>
      </c>
      <c r="B6" s="17" t="s">
        <v>29</v>
      </c>
      <c r="C6" s="17" t="s">
        <v>30</v>
      </c>
      <c r="D6" s="18" t="s">
        <v>31</v>
      </c>
      <c r="E6" s="18" t="s">
        <v>32</v>
      </c>
      <c r="F6" s="9" t="s">
        <v>33</v>
      </c>
      <c r="G6" s="11" t="s">
        <v>34</v>
      </c>
    </row>
    <row r="7" spans="1:7" x14ac:dyDescent="0.35">
      <c r="A7" s="6" t="s">
        <v>35</v>
      </c>
      <c r="B7" s="17" t="s">
        <v>36</v>
      </c>
      <c r="C7" s="18" t="s">
        <v>37</v>
      </c>
      <c r="D7" s="18" t="s">
        <v>38</v>
      </c>
      <c r="E7" s="9" t="s">
        <v>39</v>
      </c>
      <c r="F7" s="9" t="s">
        <v>40</v>
      </c>
      <c r="G7" s="12" t="s">
        <v>41</v>
      </c>
    </row>
    <row r="8" spans="1:7" ht="15" thickBot="1" x14ac:dyDescent="0.4">
      <c r="A8" s="7" t="s">
        <v>42</v>
      </c>
      <c r="B8" s="19" t="s">
        <v>43</v>
      </c>
      <c r="C8" s="19" t="s">
        <v>44</v>
      </c>
      <c r="D8" s="13" t="s">
        <v>45</v>
      </c>
      <c r="E8" s="13" t="s">
        <v>46</v>
      </c>
      <c r="F8" s="14" t="s">
        <v>47</v>
      </c>
      <c r="G8" s="15" t="s">
        <v>48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D4FDD-4DD6-47A2-9F1F-8FF59E0986B2}">
  <dimension ref="A1:U1000"/>
  <sheetViews>
    <sheetView tabSelected="1" topLeftCell="D1" zoomScale="43" zoomScaleNormal="39" workbookViewId="0">
      <selection activeCell="V18" sqref="V18"/>
    </sheetView>
  </sheetViews>
  <sheetFormatPr baseColWidth="10" defaultColWidth="11.453125" defaultRowHeight="15" customHeight="1" x14ac:dyDescent="0.35"/>
  <cols>
    <col min="1" max="1" width="13.1796875" customWidth="1"/>
    <col min="2" max="2" width="16.1796875" bestFit="1" customWidth="1"/>
    <col min="3" max="3" width="12.54296875" bestFit="1" customWidth="1"/>
    <col min="4" max="4" width="18.81640625" bestFit="1" customWidth="1"/>
    <col min="5" max="5" width="15" bestFit="1" customWidth="1"/>
    <col min="6" max="6" width="24.453125" customWidth="1"/>
    <col min="7" max="7" width="24.453125" bestFit="1" customWidth="1"/>
    <col min="8" max="8" width="24.453125" customWidth="1"/>
    <col min="9" max="9" width="27.453125" bestFit="1" customWidth="1"/>
    <col min="10" max="10" width="22.1796875" customWidth="1"/>
    <col min="11" max="11" width="24.6328125" style="32" bestFit="1" customWidth="1"/>
    <col min="12" max="12" width="39.1796875" style="32" bestFit="1" customWidth="1"/>
    <col min="13" max="13" width="38" style="32" bestFit="1" customWidth="1"/>
    <col min="14" max="14" width="23.81640625" style="32" customWidth="1"/>
    <col min="15" max="15" width="23.81640625" customWidth="1"/>
    <col min="16" max="16" width="13.453125" customWidth="1"/>
    <col min="17" max="17" width="13.453125" bestFit="1" customWidth="1"/>
    <col min="18" max="18" width="13.453125" customWidth="1"/>
    <col min="19" max="19" width="23.453125" bestFit="1" customWidth="1"/>
    <col min="20" max="21" width="27.54296875" bestFit="1" customWidth="1"/>
    <col min="23" max="25" width="20.453125" bestFit="1" customWidth="1"/>
    <col min="27" max="27" width="13.81640625" bestFit="1" customWidth="1"/>
    <col min="29" max="29" width="11" bestFit="1" customWidth="1"/>
    <col min="30" max="31" width="11.453125" customWidth="1"/>
  </cols>
  <sheetData>
    <row r="1" spans="1:21" thickBot="1" x14ac:dyDescent="0.4">
      <c r="A1" s="1" t="s">
        <v>0</v>
      </c>
      <c r="B1" s="2" t="s">
        <v>2</v>
      </c>
      <c r="C1" s="2" t="s">
        <v>3</v>
      </c>
      <c r="D1" s="44" t="s">
        <v>4</v>
      </c>
      <c r="E1" s="22" t="s">
        <v>49</v>
      </c>
      <c r="F1" s="46" t="s">
        <v>105</v>
      </c>
      <c r="G1" s="33" t="s">
        <v>50</v>
      </c>
      <c r="H1" s="43" t="s">
        <v>103</v>
      </c>
      <c r="I1" t="s">
        <v>104</v>
      </c>
      <c r="J1" t="s">
        <v>51</v>
      </c>
      <c r="K1" s="32" t="s">
        <v>106</v>
      </c>
      <c r="L1" s="53" t="s">
        <v>108</v>
      </c>
      <c r="M1" s="53" t="s">
        <v>109</v>
      </c>
      <c r="N1" s="32" t="s">
        <v>110</v>
      </c>
      <c r="O1" t="s">
        <v>52</v>
      </c>
      <c r="P1" t="s">
        <v>53</v>
      </c>
      <c r="Q1" s="37" t="s">
        <v>54</v>
      </c>
      <c r="R1" s="49" t="s">
        <v>55</v>
      </c>
      <c r="S1" s="50" t="s">
        <v>96</v>
      </c>
      <c r="T1" s="48" t="s">
        <v>56</v>
      </c>
    </row>
    <row r="2" spans="1:21" ht="14.5" x14ac:dyDescent="0.35">
      <c r="A2" t="e">
        <f t="shared" ref="A2:A65" si="0">A1+1</f>
        <v>#VALUE!</v>
      </c>
      <c r="B2" s="21">
        <f t="shared" ref="B2:B65" ca="1" si="1">RANDBETWEEN(DATE(2026,3,1), DATE(2026,5,1))</f>
        <v>46106</v>
      </c>
      <c r="C2" s="21">
        <f t="shared" ref="C2:C65" ca="1" si="2">TODAY()</f>
        <v>46157</v>
      </c>
      <c r="D2">
        <f t="shared" ref="D2:D65" ca="1" si="3">ROUND((-(15) * LN(RAND())),0)</f>
        <v>19</v>
      </c>
      <c r="E2">
        <f t="shared" ref="E2:E65" ca="1" si="4">RAND()</f>
        <v>0.80616925212324064</v>
      </c>
      <c r="F2" s="47">
        <f t="shared" ref="F2:F65" ca="1" si="5">ROUND(MIN(10000, _xlfn.LOGNORM.INV(RAND(), 69/10, 13/10)),2)</f>
        <v>1041.24</v>
      </c>
      <c r="G2" s="32" t="str">
        <f t="shared" ref="G2:G65" ca="1" si="6">IF(RAND()&lt;=0.5,"personal","hipotecario")</f>
        <v>personal</v>
      </c>
      <c r="H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2" t="str">
        <f t="shared" ref="I2:I65" ca="1" si="7">IF(RAND()&lt;=0.65, "Sí", "No")</f>
        <v>No</v>
      </c>
      <c r="J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11999.590743312241</v>
      </c>
      <c r="K2" s="32" t="str">
        <f ca="1">IF(Tabla2[[#This Row],[¿cliente deuda abierta?]]="Sí", Tabla2[[#This Row],[Deuda actual]]*Tabla2[[#This Row],[diferencia de días]], "0")</f>
        <v>0</v>
      </c>
      <c r="L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2">
        <f t="shared" ref="O2:O65" ca="1" si="8">ROUND(1000*(_xlfn.LOGNORM.INV(RAND(), 0.5, 0.2)),2)</f>
        <v>2258.0300000000002</v>
      </c>
      <c r="P2">
        <f t="shared" ref="P2:P65" ca="1" si="9">ROUND(50000*(_xlfn.LOGNORM.INV(RAND(), 1, 0.75)),2)</f>
        <v>57278.59</v>
      </c>
      <c r="Q2">
        <f t="shared" ref="Q2:Q65" ca="1" si="10">RANDBETWEEN(0,5)</f>
        <v>3</v>
      </c>
      <c r="R2">
        <f ca="1">((Tabla2[[#This Row],[Fantasma Comunicación]]+1)/(Tabla2[[#This Row],[Fantasma Comunicación]]+RANDBETWEEN(0,5)+2))-0.5</f>
        <v>-9.9999999999999978E-2</v>
      </c>
      <c r="S2" s="51">
        <f ca="1">1+MAX(0,Tabla2[[#This Row],[Deuda actual]]/Tabla2[[#This Row],[Liquidez]]+Tabla2[[#This Row],[Liquidez]]/(Tabla2[[#This Row],[Activos]]+Tabla2[[#This Row],[Liquidez]])+Tabla2[[#This Row],[Comunicación]])</f>
        <v>1.3990543616520101</v>
      </c>
      <c r="T2">
        <f ca="1">Tabla2[[#This Row],[Deuda actual]]*EXP(Tabla2[[#This Row],[Ki]]*Tabla2[[#This Row],[diferencia de días]])*(1+Tabla2[[#This Row],[Hg]])</f>
        <v>944.26521420245149</v>
      </c>
    </row>
    <row r="3" spans="1:21" ht="14.5" x14ac:dyDescent="0.35">
      <c r="A3" t="e">
        <f t="shared" si="0"/>
        <v>#VALUE!</v>
      </c>
      <c r="B3" s="21">
        <f t="shared" ca="1" si="1"/>
        <v>46088</v>
      </c>
      <c r="C3" s="21">
        <f t="shared" ca="1" si="2"/>
        <v>46157</v>
      </c>
      <c r="D3">
        <f t="shared" ca="1" si="3"/>
        <v>1</v>
      </c>
      <c r="E3">
        <f t="shared" ca="1" si="4"/>
        <v>0.95726524941946156</v>
      </c>
      <c r="F3" s="47">
        <f t="shared" ca="1" si="5"/>
        <v>1696.13</v>
      </c>
      <c r="G3" s="32" t="str">
        <f t="shared" ca="1" si="6"/>
        <v>personal</v>
      </c>
      <c r="H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" t="str">
        <f t="shared" ca="1" si="7"/>
        <v>No</v>
      </c>
      <c r="J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11998.920187320453</v>
      </c>
      <c r="K3" s="32" t="str">
        <f ca="1">IF(Tabla2[[#This Row],[¿cliente deuda abierta?]]="Sí", Tabla2[[#This Row],[Deuda actual]]*Tabla2[[#This Row],[diferencia de días]], "0")</f>
        <v>0</v>
      </c>
      <c r="L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3">
        <f t="shared" ca="1" si="8"/>
        <v>1417.9</v>
      </c>
      <c r="P3">
        <f t="shared" ca="1" si="9"/>
        <v>104986.07</v>
      </c>
      <c r="Q3">
        <f t="shared" ca="1" si="10"/>
        <v>4</v>
      </c>
      <c r="R3">
        <f ca="1">((Tabla2[[#This Row],[Fantasma Comunicación]]+1)/(Tabla2[[#This Row],[Fantasma Comunicación]]+RANDBETWEEN(0,5)+2))-0.5</f>
        <v>0</v>
      </c>
      <c r="S3" s="51">
        <f ca="1">1+MAX(0,Tabla2[[#This Row],[Deuda actual]]/Tabla2[[#This Row],[Liquidez]]+Tabla2[[#This Row],[Liquidez]]/(Tabla2[[#This Row],[Activos]]+Tabla2[[#This Row],[Liquidez]])+Tabla2[[#This Row],[Comunicación]])</f>
        <v>2.2095524449160608</v>
      </c>
      <c r="T3">
        <f ca="1">Tabla2[[#This Row],[Deuda actual]]*EXP(Tabla2[[#This Row],[Ki]]*Tabla2[[#This Row],[diferencia de días]])*(1+Tabla2[[#This Row],[Hg]])</f>
        <v>1526.8223339323756</v>
      </c>
    </row>
    <row r="4" spans="1:21" ht="14.5" x14ac:dyDescent="0.35">
      <c r="A4" t="e">
        <f t="shared" si="0"/>
        <v>#VALUE!</v>
      </c>
      <c r="B4" s="21">
        <f t="shared" ca="1" si="1"/>
        <v>46137</v>
      </c>
      <c r="C4" s="21">
        <f t="shared" ca="1" si="2"/>
        <v>46157</v>
      </c>
      <c r="D4">
        <f t="shared" ca="1" si="3"/>
        <v>4</v>
      </c>
      <c r="E4">
        <f t="shared" ca="1" si="4"/>
        <v>0.93433047718935358</v>
      </c>
      <c r="F4" s="47">
        <f t="shared" ca="1" si="5"/>
        <v>4155.9799999999996</v>
      </c>
      <c r="G4" s="32" t="str">
        <f t="shared" ca="1" si="6"/>
        <v>hipotecario</v>
      </c>
      <c r="H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" t="str">
        <f t="shared" ca="1" si="7"/>
        <v>Sí</v>
      </c>
      <c r="J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" s="32">
        <f ca="1">IF(Tabla2[[#This Row],[¿cliente deuda abierta?]]="Sí", Tabla2[[#This Row],[Deuda actual]]*Tabla2[[#This Row],[diferencia de días]], "0")</f>
        <v>16623.919999999998</v>
      </c>
      <c r="L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">
        <f t="shared" ca="1" si="8"/>
        <v>2015.46</v>
      </c>
      <c r="P4">
        <f t="shared" ca="1" si="9"/>
        <v>140167.04000000001</v>
      </c>
      <c r="Q4">
        <f t="shared" ca="1" si="10"/>
        <v>0</v>
      </c>
      <c r="R4">
        <f ca="1">((Tabla2[[#This Row],[Fantasma Comunicación]]+1)/(Tabla2[[#This Row],[Fantasma Comunicación]]+RANDBETWEEN(0,5)+2))-0.5</f>
        <v>-0.25</v>
      </c>
      <c r="S4" s="51">
        <f ca="1">1+MAX(0,Tabla2[[#This Row],[Deuda actual]]/Tabla2[[#This Row],[Liquidez]]+Tabla2[[#This Row],[Liquidez]]/(Tabla2[[#This Row],[Activos]]+Tabla2[[#This Row],[Liquidez]])+Tabla2[[#This Row],[Comunicación]])</f>
        <v>2.8262255129919112</v>
      </c>
      <c r="T4">
        <f ca="1">Tabla2[[#This Row],[Deuda actual]]*EXP(Tabla2[[#This Row],[Ki]]*Tabla2[[#This Row],[diferencia de días]])*(1+Tabla2[[#This Row],[Hg]])</f>
        <v>4367.2714199817292</v>
      </c>
    </row>
    <row r="5" spans="1:21" ht="14.5" x14ac:dyDescent="0.35">
      <c r="A5" t="e">
        <f t="shared" si="0"/>
        <v>#VALUE!</v>
      </c>
      <c r="B5" s="21">
        <f t="shared" ca="1" si="1"/>
        <v>46141</v>
      </c>
      <c r="C5" s="21">
        <f t="shared" ca="1" si="2"/>
        <v>46157</v>
      </c>
      <c r="D5">
        <f t="shared" ca="1" si="3"/>
        <v>14</v>
      </c>
      <c r="E5">
        <f t="shared" ca="1" si="4"/>
        <v>0.81523928817235303</v>
      </c>
      <c r="F5" s="47">
        <f t="shared" ca="1" si="5"/>
        <v>969.21</v>
      </c>
      <c r="G5" s="32" t="str">
        <f t="shared" ca="1" si="6"/>
        <v>hipotecario</v>
      </c>
      <c r="H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" t="str">
        <f t="shared" ca="1" si="7"/>
        <v>Sí</v>
      </c>
      <c r="J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" s="32">
        <f ca="1">IF(Tabla2[[#This Row],[¿cliente deuda abierta?]]="Sí", Tabla2[[#This Row],[Deuda actual]]*Tabla2[[#This Row],[diferencia de días]], "0")</f>
        <v>13568.94</v>
      </c>
      <c r="L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">
        <f t="shared" ca="1" si="8"/>
        <v>1217.51</v>
      </c>
      <c r="P5">
        <f t="shared" ca="1" si="9"/>
        <v>251789.47</v>
      </c>
      <c r="Q5">
        <f t="shared" ca="1" si="10"/>
        <v>3</v>
      </c>
      <c r="R5">
        <f ca="1">((Tabla2[[#This Row],[Fantasma Comunicación]]+1)/(Tabla2[[#This Row],[Fantasma Comunicación]]+RANDBETWEEN(0,5)+2))-0.5</f>
        <v>-5.555555555555558E-2</v>
      </c>
      <c r="S5" s="51">
        <f ca="1">1+MAX(0,Tabla2[[#This Row],[Deuda actual]]/Tabla2[[#This Row],[Liquidez]]+Tabla2[[#This Row],[Liquidez]]/(Tabla2[[#This Row],[Activos]]+Tabla2[[#This Row],[Liquidez]])+Tabla2[[#This Row],[Comunicación]])</f>
        <v>1.7453157741174277</v>
      </c>
      <c r="T5">
        <f ca="1">Tabla2[[#This Row],[Deuda actual]]*EXP(Tabla2[[#This Row],[Ki]]*Tabla2[[#This Row],[diferencia de días]])*(1+Tabla2[[#This Row],[Hg]])</f>
        <v>1020.523970394285</v>
      </c>
    </row>
    <row r="6" spans="1:21" ht="14.5" x14ac:dyDescent="0.35">
      <c r="A6" t="e">
        <f t="shared" si="0"/>
        <v>#VALUE!</v>
      </c>
      <c r="B6" s="21">
        <f t="shared" ca="1" si="1"/>
        <v>46106</v>
      </c>
      <c r="C6" s="21">
        <f t="shared" ca="1" si="2"/>
        <v>46157</v>
      </c>
      <c r="D6">
        <f t="shared" ca="1" si="3"/>
        <v>6</v>
      </c>
      <c r="E6">
        <f t="shared" ca="1" si="4"/>
        <v>0.61795152244789842</v>
      </c>
      <c r="F6" s="47">
        <f t="shared" ca="1" si="5"/>
        <v>2499.56</v>
      </c>
      <c r="G6" s="32" t="str">
        <f t="shared" ca="1" si="6"/>
        <v>personal</v>
      </c>
      <c r="H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" t="str">
        <f t="shared" ca="1" si="7"/>
        <v>No</v>
      </c>
      <c r="J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11999.590951545824</v>
      </c>
      <c r="K6" s="32" t="str">
        <f ca="1">IF(Tabla2[[#This Row],[¿cliente deuda abierta?]]="Sí", Tabla2[[#This Row],[Deuda actual]]*Tabla2[[#This Row],[diferencia de días]], "0")</f>
        <v>0</v>
      </c>
      <c r="L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6">
        <f t="shared" ca="1" si="8"/>
        <v>1707.28</v>
      </c>
      <c r="P6">
        <f t="shared" ca="1" si="9"/>
        <v>91330.47</v>
      </c>
      <c r="Q6">
        <f t="shared" ca="1" si="10"/>
        <v>0</v>
      </c>
      <c r="R6">
        <f ca="1">((Tabla2[[#This Row],[Fantasma Comunicación]]+1)/(Tabla2[[#This Row],[Fantasma Comunicación]]+RANDBETWEEN(0,5)+2))-0.5</f>
        <v>-0.35714285714285715</v>
      </c>
      <c r="S6" s="51">
        <f ca="1">1+MAX(0,Tabla2[[#This Row],[Deuda actual]]/Tabla2[[#This Row],[Liquidez]]+Tabla2[[#This Row],[Liquidez]]/(Tabla2[[#This Row],[Activos]]+Tabla2[[#This Row],[Liquidez]])+Tabla2[[#This Row],[Comunicación]])</f>
        <v>2.1252673346479263</v>
      </c>
      <c r="T6">
        <f ca="1">Tabla2[[#This Row],[Deuda actual]]*EXP(Tabla2[[#This Row],[Ki]]*Tabla2[[#This Row],[diferencia de días]])*(1+Tabla2[[#This Row],[Hg]])</f>
        <v>2252.3051451629603</v>
      </c>
    </row>
    <row r="7" spans="1:21" ht="14.5" x14ac:dyDescent="0.35">
      <c r="A7" t="e">
        <f t="shared" si="0"/>
        <v>#VALUE!</v>
      </c>
      <c r="B7" s="21">
        <f t="shared" ca="1" si="1"/>
        <v>46091</v>
      </c>
      <c r="C7" s="21">
        <f t="shared" ca="1" si="2"/>
        <v>46157</v>
      </c>
      <c r="D7">
        <f t="shared" ca="1" si="3"/>
        <v>5</v>
      </c>
      <c r="E7">
        <f t="shared" ca="1" si="4"/>
        <v>0.54582791229714134</v>
      </c>
      <c r="F7" s="47">
        <f t="shared" ca="1" si="5"/>
        <v>342.02</v>
      </c>
      <c r="G7" s="32" t="str">
        <f t="shared" ca="1" si="6"/>
        <v>hipotecario</v>
      </c>
      <c r="H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" t="str">
        <f t="shared" ca="1" si="7"/>
        <v>No</v>
      </c>
      <c r="J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164998.86378008514</v>
      </c>
      <c r="K7" s="32" t="str">
        <f ca="1">IF(Tabla2[[#This Row],[¿cliente deuda abierta?]]="Sí", Tabla2[[#This Row],[Deuda actual]]*Tabla2[[#This Row],[diferencia de días]], "0")</f>
        <v>0</v>
      </c>
      <c r="L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7">
        <f t="shared" ca="1" si="8"/>
        <v>1381.97</v>
      </c>
      <c r="P7">
        <f t="shared" ca="1" si="9"/>
        <v>115591.1</v>
      </c>
      <c r="Q7">
        <f t="shared" ca="1" si="10"/>
        <v>1</v>
      </c>
      <c r="R7">
        <f ca="1">((Tabla2[[#This Row],[Fantasma Comunicación]]+1)/(Tabla2[[#This Row],[Fantasma Comunicación]]+RANDBETWEEN(0,5)+2))-0.5</f>
        <v>-9.9999999999999978E-2</v>
      </c>
      <c r="S7" s="51">
        <f ca="1">1+MAX(0,Tabla2[[#This Row],[Deuda actual]]/Tabla2[[#This Row],[Liquidez]]+Tabla2[[#This Row],[Liquidez]]/(Tabla2[[#This Row],[Activos]]+Tabla2[[#This Row],[Liquidez]])+Tabla2[[#This Row],[Comunicación]])</f>
        <v>1.1593017113871156</v>
      </c>
      <c r="T7">
        <f ca="1">Tabla2[[#This Row],[Deuda actual]]*EXP(Tabla2[[#This Row],[Ki]]*Tabla2[[#This Row],[diferencia de días]])*(1+Tabla2[[#This Row],[Hg]])</f>
        <v>273.88975285361408</v>
      </c>
    </row>
    <row r="8" spans="1:21" ht="14.5" x14ac:dyDescent="0.35">
      <c r="A8" t="e">
        <f t="shared" si="0"/>
        <v>#VALUE!</v>
      </c>
      <c r="B8" s="21">
        <f t="shared" ca="1" si="1"/>
        <v>46100</v>
      </c>
      <c r="C8" s="21">
        <f t="shared" ca="1" si="2"/>
        <v>46157</v>
      </c>
      <c r="D8">
        <f t="shared" ca="1" si="3"/>
        <v>5</v>
      </c>
      <c r="E8">
        <f t="shared" ca="1" si="4"/>
        <v>0.36726921852214034</v>
      </c>
      <c r="F8" s="47">
        <f t="shared" ca="1" si="5"/>
        <v>581.04</v>
      </c>
      <c r="G8" s="32" t="str">
        <f t="shared" ca="1" si="6"/>
        <v>personal</v>
      </c>
      <c r="H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" t="str">
        <f t="shared" ca="1" si="7"/>
        <v>Sí</v>
      </c>
      <c r="J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" s="32">
        <f ca="1">IF(Tabla2[[#This Row],[¿cliente deuda abierta?]]="Sí", Tabla2[[#This Row],[Deuda actual]]*Tabla2[[#This Row],[diferencia de días]], "0")</f>
        <v>2905.2</v>
      </c>
      <c r="L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">
        <f t="shared" ca="1" si="8"/>
        <v>1757.97</v>
      </c>
      <c r="P8">
        <f t="shared" ca="1" si="9"/>
        <v>40771.79</v>
      </c>
      <c r="Q8">
        <f t="shared" ca="1" si="10"/>
        <v>2</v>
      </c>
      <c r="R8">
        <f ca="1">((Tabla2[[#This Row],[Fantasma Comunicación]]+1)/(Tabla2[[#This Row],[Fantasma Comunicación]]+RANDBETWEEN(0,5)+2))-0.5</f>
        <v>0</v>
      </c>
      <c r="S8" s="51">
        <f ca="1">1+MAX(0,Tabla2[[#This Row],[Deuda actual]]/Tabla2[[#This Row],[Liquidez]]+Tabla2[[#This Row],[Liquidez]]/(Tabla2[[#This Row],[Activos]]+Tabla2[[#This Row],[Liquidez]])+Tabla2[[#This Row],[Comunicación]])</f>
        <v>1.3718526413594181</v>
      </c>
      <c r="T8">
        <f ca="1">Tabla2[[#This Row],[Deuda actual]]*EXP(Tabla2[[#This Row],[Ki]]*Tabla2[[#This Row],[diferencia de días]])*(1+Tabla2[[#This Row],[Hg]])</f>
        <v>610.70239714770742</v>
      </c>
    </row>
    <row r="9" spans="1:21" ht="14.5" x14ac:dyDescent="0.35">
      <c r="A9" t="e">
        <f t="shared" si="0"/>
        <v>#VALUE!</v>
      </c>
      <c r="B9" s="21">
        <f t="shared" ca="1" si="1"/>
        <v>46108</v>
      </c>
      <c r="C9" s="21">
        <f t="shared" ca="1" si="2"/>
        <v>46157</v>
      </c>
      <c r="D9">
        <f t="shared" ca="1" si="3"/>
        <v>9</v>
      </c>
      <c r="E9">
        <f t="shared" ca="1" si="4"/>
        <v>0.66271050193677972</v>
      </c>
      <c r="F9" s="47">
        <f t="shared" ca="1" si="5"/>
        <v>1922.37</v>
      </c>
      <c r="G9" s="32" t="str">
        <f t="shared" ca="1" si="6"/>
        <v>hipotecario</v>
      </c>
      <c r="H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" t="str">
        <f t="shared" ca="1" si="7"/>
        <v>Sí</v>
      </c>
      <c r="J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" s="32">
        <f ca="1">IF(Tabla2[[#This Row],[¿cliente deuda abierta?]]="Sí", Tabla2[[#This Row],[Deuda actual]]*Tabla2[[#This Row],[diferencia de días]], "0")</f>
        <v>17301.329999999998</v>
      </c>
      <c r="L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">
        <f t="shared" ca="1" si="8"/>
        <v>2387.58</v>
      </c>
      <c r="P9">
        <f t="shared" ca="1" si="9"/>
        <v>132308.71</v>
      </c>
      <c r="Q9">
        <f t="shared" ca="1" si="10"/>
        <v>1</v>
      </c>
      <c r="R9">
        <f ca="1">((Tabla2[[#This Row],[Fantasma Comunicación]]+1)/(Tabla2[[#This Row],[Fantasma Comunicación]]+RANDBETWEEN(0,5)+2))-0.5</f>
        <v>0</v>
      </c>
      <c r="S9" s="51">
        <f ca="1">1+MAX(0,Tabla2[[#This Row],[Deuda actual]]/Tabla2[[#This Row],[Liquidez]]+Tabla2[[#This Row],[Liquidez]]/(Tabla2[[#This Row],[Activos]]+Tabla2[[#This Row],[Liquidez]])+Tabla2[[#This Row],[Comunicación]])</f>
        <v>1.8228798280945144</v>
      </c>
      <c r="T9">
        <f ca="1">Tabla2[[#This Row],[Deuda actual]]*EXP(Tabla2[[#This Row],[Ki]]*Tabla2[[#This Row],[diferencia de días]])*(1+Tabla2[[#This Row],[Hg]])</f>
        <v>2022.1250512142242</v>
      </c>
    </row>
    <row r="10" spans="1:21" ht="14.5" x14ac:dyDescent="0.35">
      <c r="A10" t="e">
        <f t="shared" si="0"/>
        <v>#VALUE!</v>
      </c>
      <c r="B10" s="21">
        <f t="shared" ca="1" si="1"/>
        <v>46113</v>
      </c>
      <c r="C10" s="21">
        <f t="shared" ca="1" si="2"/>
        <v>46157</v>
      </c>
      <c r="D10">
        <f t="shared" ca="1" si="3"/>
        <v>19</v>
      </c>
      <c r="E10">
        <f t="shared" ca="1" si="4"/>
        <v>0.2587275401578748</v>
      </c>
      <c r="F10" s="47">
        <f t="shared" ca="1" si="5"/>
        <v>562.96</v>
      </c>
      <c r="G10" s="32" t="str">
        <f t="shared" ca="1" si="6"/>
        <v>personal</v>
      </c>
      <c r="H1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10" t="str">
        <f t="shared" ca="1" si="7"/>
        <v>No</v>
      </c>
      <c r="J1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11999.083758921441</v>
      </c>
      <c r="K10" s="32" t="str">
        <f ca="1">IF(Tabla2[[#This Row],[¿cliente deuda abierta?]]="Sí", Tabla2[[#This Row],[Deuda actual]]*Tabla2[[#This Row],[diferencia de días]], "0")</f>
        <v>0</v>
      </c>
      <c r="L1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0">
        <f t="shared" ca="1" si="8"/>
        <v>1376.55</v>
      </c>
      <c r="P10">
        <f t="shared" ca="1" si="9"/>
        <v>204156.58</v>
      </c>
      <c r="Q10">
        <f t="shared" ca="1" si="10"/>
        <v>5</v>
      </c>
      <c r="R10">
        <f ca="1">((Tabla2[[#This Row],[Fantasma Comunicación]]+1)/(Tabla2[[#This Row],[Fantasma Comunicación]]+RANDBETWEEN(0,5)+2))-0.5</f>
        <v>0.25</v>
      </c>
      <c r="S10" s="51">
        <f ca="1">1+MAX(0,Tabla2[[#This Row],[Deuda actual]]/Tabla2[[#This Row],[Liquidez]]+Tabla2[[#This Row],[Liquidez]]/(Tabla2[[#This Row],[Activos]]+Tabla2[[#This Row],[Liquidez]])+Tabla2[[#This Row],[Comunicación]])</f>
        <v>1.6656619004902802</v>
      </c>
      <c r="T10">
        <f ca="1">Tabla2[[#This Row],[Deuda actual]]*EXP(Tabla2[[#This Row],[Ki]]*Tabla2[[#This Row],[diferencia de días]])*(1+Tabla2[[#This Row],[Hg]])</f>
        <v>510.52931599574748</v>
      </c>
    </row>
    <row r="11" spans="1:21" ht="14.5" x14ac:dyDescent="0.35">
      <c r="A11" t="e">
        <f t="shared" si="0"/>
        <v>#VALUE!</v>
      </c>
      <c r="B11" s="21">
        <f t="shared" ca="1" si="1"/>
        <v>46122</v>
      </c>
      <c r="C11" s="21">
        <f t="shared" ca="1" si="2"/>
        <v>46157</v>
      </c>
      <c r="D11">
        <f t="shared" ca="1" si="3"/>
        <v>53</v>
      </c>
      <c r="E11">
        <f t="shared" ca="1" si="4"/>
        <v>0.53773802835393358</v>
      </c>
      <c r="F11" s="47">
        <f t="shared" ca="1" si="5"/>
        <v>1007.53</v>
      </c>
      <c r="G11" s="32" t="str">
        <f t="shared" ca="1" si="6"/>
        <v>hipotecario</v>
      </c>
      <c r="H1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1.5E-3</v>
      </c>
      <c r="I11" t="str">
        <f t="shared" ca="1" si="7"/>
        <v>Sí</v>
      </c>
      <c r="J1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1" s="32">
        <f ca="1">IF(Tabla2[[#This Row],[¿cliente deuda abierta?]]="Sí", Tabla2[[#This Row],[Deuda actual]]*Tabla2[[#This Row],[diferencia de días]], "0")</f>
        <v>53399.09</v>
      </c>
      <c r="L1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1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1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11">
        <f t="shared" ca="1" si="8"/>
        <v>1531.11</v>
      </c>
      <c r="P11">
        <f t="shared" ca="1" si="9"/>
        <v>357833.4</v>
      </c>
      <c r="Q11">
        <f t="shared" ca="1" si="10"/>
        <v>4</v>
      </c>
      <c r="R11">
        <f ca="1">((Tabla2[[#This Row],[Fantasma Comunicación]]+1)/(Tabla2[[#This Row],[Fantasma Comunicación]]+RANDBETWEEN(0,5)+2))-0.5</f>
        <v>0</v>
      </c>
      <c r="S11" s="51">
        <f ca="1">1+MAX(0,Tabla2[[#This Row],[Deuda actual]]/Tabla2[[#This Row],[Liquidez]]+Tabla2[[#This Row],[Liquidez]]/(Tabla2[[#This Row],[Activos]]+Tabla2[[#This Row],[Liquidez]])+Tabla2[[#This Row],[Comunicación]])</f>
        <v>1.6622995434355365</v>
      </c>
      <c r="T11">
        <f ca="1">Tabla2[[#This Row],[Deuda actual]]*EXP(Tabla2[[#This Row],[Ki]]*Tabla2[[#This Row],[diferencia de días]])*(1+Tabla2[[#This Row],[Hg]])</f>
        <v>1199.9884969519651</v>
      </c>
    </row>
    <row r="12" spans="1:21" ht="14.5" x14ac:dyDescent="0.35">
      <c r="A12" t="e">
        <f t="shared" si="0"/>
        <v>#VALUE!</v>
      </c>
      <c r="B12" s="21">
        <f t="shared" ca="1" si="1"/>
        <v>46109</v>
      </c>
      <c r="C12" s="21">
        <f t="shared" ca="1" si="2"/>
        <v>46157</v>
      </c>
      <c r="D12">
        <f t="shared" ca="1" si="3"/>
        <v>23</v>
      </c>
      <c r="E12">
        <f t="shared" ca="1" si="4"/>
        <v>0.36620046643154469</v>
      </c>
      <c r="F12" s="47">
        <f t="shared" ca="1" si="5"/>
        <v>236.01</v>
      </c>
      <c r="G12" s="32" t="str">
        <f t="shared" ca="1" si="6"/>
        <v>hipotecario</v>
      </c>
      <c r="H1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12" t="str">
        <f t="shared" ca="1" si="7"/>
        <v>Sí</v>
      </c>
      <c r="J1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2" s="32">
        <f ca="1">IF(Tabla2[[#This Row],[¿cliente deuda abierta?]]="Sí", Tabla2[[#This Row],[Deuda actual]]*Tabla2[[#This Row],[diferencia de días]], "0")</f>
        <v>5428.23</v>
      </c>
      <c r="L1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2">
        <f t="shared" ca="1" si="8"/>
        <v>1559.65</v>
      </c>
      <c r="P12">
        <f t="shared" ca="1" si="9"/>
        <v>160728.26</v>
      </c>
      <c r="Q12">
        <f t="shared" ca="1" si="10"/>
        <v>0</v>
      </c>
      <c r="R12">
        <f ca="1">((Tabla2[[#This Row],[Fantasma Comunicación]]+1)/(Tabla2[[#This Row],[Fantasma Comunicación]]+RANDBETWEEN(0,5)+2))-0.5</f>
        <v>-0.3</v>
      </c>
      <c r="S12" s="51">
        <f ca="1">1+MAX(0,Tabla2[[#This Row],[Deuda actual]]/Tabla2[[#This Row],[Liquidez]]+Tabla2[[#This Row],[Liquidez]]/(Tabla2[[#This Row],[Activos]]+Tabla2[[#This Row],[Liquidez]])+Tabla2[[#This Row],[Comunicación]])</f>
        <v>1</v>
      </c>
      <c r="T12">
        <f ca="1">Tabla2[[#This Row],[Deuda actual]]*EXP(Tabla2[[#This Row],[Ki]]*Tabla2[[#This Row],[diferencia de días]])*(1+Tabla2[[#This Row],[Hg]])</f>
        <v>250.10087617564412</v>
      </c>
    </row>
    <row r="13" spans="1:21" ht="14.5" x14ac:dyDescent="0.35">
      <c r="A13" t="e">
        <f t="shared" si="0"/>
        <v>#VALUE!</v>
      </c>
      <c r="B13" s="21">
        <f t="shared" ca="1" si="1"/>
        <v>46089</v>
      </c>
      <c r="C13" s="21">
        <f t="shared" ca="1" si="2"/>
        <v>46157</v>
      </c>
      <c r="D13">
        <f t="shared" ca="1" si="3"/>
        <v>7</v>
      </c>
      <c r="E13">
        <f t="shared" ca="1" si="4"/>
        <v>0.22867393641630807</v>
      </c>
      <c r="F13" s="47">
        <f t="shared" ca="1" si="5"/>
        <v>235.68</v>
      </c>
      <c r="G13" s="32" t="str">
        <f t="shared" ca="1" si="6"/>
        <v>hipotecario</v>
      </c>
      <c r="H1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3" t="str">
        <f t="shared" ca="1" si="7"/>
        <v>Sí</v>
      </c>
      <c r="J1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3" s="32">
        <f ca="1">IF(Tabla2[[#This Row],[¿cliente deuda abierta?]]="Sí", Tabla2[[#This Row],[Deuda actual]]*Tabla2[[#This Row],[diferencia de días]], "0")</f>
        <v>1649.76</v>
      </c>
      <c r="L1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3">
        <f t="shared" ca="1" si="8"/>
        <v>1269.48</v>
      </c>
      <c r="P13">
        <f t="shared" ca="1" si="9"/>
        <v>86907.39</v>
      </c>
      <c r="Q13">
        <f t="shared" ca="1" si="10"/>
        <v>2</v>
      </c>
      <c r="R13">
        <f ca="1">((Tabla2[[#This Row],[Fantasma Comunicación]]+1)/(Tabla2[[#This Row],[Fantasma Comunicación]]+RANDBETWEEN(0,5)+2))-0.5</f>
        <v>-7.1428571428571452E-2</v>
      </c>
      <c r="S13" s="51">
        <f ca="1">1+MAX(0,Tabla2[[#This Row],[Deuda actual]]/Tabla2[[#This Row],[Liquidez]]+Tabla2[[#This Row],[Liquidez]]/(Tabla2[[#This Row],[Activos]]+Tabla2[[#This Row],[Liquidez]])+Tabla2[[#This Row],[Comunicación]])</f>
        <v>1.1286192190406297</v>
      </c>
      <c r="T13">
        <f ca="1">Tabla2[[#This Row],[Deuda actual]]*EXP(Tabla2[[#This Row],[Ki]]*Tabla2[[#This Row],[diferencia de días]])*(1+Tabla2[[#This Row],[Hg]])</f>
        <v>247.8106922279332</v>
      </c>
    </row>
    <row r="14" spans="1:21" ht="14.5" x14ac:dyDescent="0.35">
      <c r="A14" t="e">
        <f t="shared" si="0"/>
        <v>#VALUE!</v>
      </c>
      <c r="B14" s="21">
        <f t="shared" ca="1" si="1"/>
        <v>46109</v>
      </c>
      <c r="C14" s="21">
        <f t="shared" ca="1" si="2"/>
        <v>46157</v>
      </c>
      <c r="D14">
        <f t="shared" ca="1" si="3"/>
        <v>28</v>
      </c>
      <c r="E14">
        <f t="shared" ca="1" si="4"/>
        <v>0.77979422369539075</v>
      </c>
      <c r="F14" s="47">
        <f t="shared" ca="1" si="5"/>
        <v>210.93</v>
      </c>
      <c r="G14" s="32" t="str">
        <f t="shared" ca="1" si="6"/>
        <v>personal</v>
      </c>
      <c r="H1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14" t="str">
        <f t="shared" ca="1" si="7"/>
        <v>No</v>
      </c>
      <c r="J1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11999.266346876781</v>
      </c>
      <c r="K14" s="32" t="str">
        <f ca="1">IF(Tabla2[[#This Row],[¿cliente deuda abierta?]]="Sí", Tabla2[[#This Row],[Deuda actual]]*Tabla2[[#This Row],[diferencia de días]], "0")</f>
        <v>0</v>
      </c>
      <c r="L1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4">
        <f t="shared" ca="1" si="8"/>
        <v>1697.47</v>
      </c>
      <c r="P14">
        <f t="shared" ca="1" si="9"/>
        <v>545549.53</v>
      </c>
      <c r="Q14">
        <f t="shared" ca="1" si="10"/>
        <v>4</v>
      </c>
      <c r="R14">
        <f ca="1">((Tabla2[[#This Row],[Fantasma Comunicación]]+1)/(Tabla2[[#This Row],[Fantasma Comunicación]]+RANDBETWEEN(0,5)+2))-0.5</f>
        <v>0.33333333333333337</v>
      </c>
      <c r="S14" s="51">
        <f ca="1">1+MAX(0,Tabla2[[#This Row],[Deuda actual]]/Tabla2[[#This Row],[Liquidez]]+Tabla2[[#This Row],[Liquidez]]/(Tabla2[[#This Row],[Activos]]+Tabla2[[#This Row],[Liquidez]])+Tabla2[[#This Row],[Comunicación]])</f>
        <v>1.4606965693098615</v>
      </c>
      <c r="T14">
        <f ca="1">Tabla2[[#This Row],[Deuda actual]]*EXP(Tabla2[[#This Row],[Ki]]*Tabla2[[#This Row],[diferencia de días]])*(1+Tabla2[[#This Row],[Hg]])</f>
        <v>191.97512555260218</v>
      </c>
    </row>
    <row r="15" spans="1:21" ht="14.5" x14ac:dyDescent="0.35">
      <c r="A15" t="e">
        <f t="shared" si="0"/>
        <v>#VALUE!</v>
      </c>
      <c r="B15" s="21">
        <f t="shared" ca="1" si="1"/>
        <v>46101</v>
      </c>
      <c r="C15" s="21">
        <f t="shared" ca="1" si="2"/>
        <v>46157</v>
      </c>
      <c r="D15">
        <f t="shared" ca="1" si="3"/>
        <v>8</v>
      </c>
      <c r="E15">
        <f t="shared" ca="1" si="4"/>
        <v>0.4818533295537476</v>
      </c>
      <c r="F15" s="47">
        <f t="shared" ca="1" si="5"/>
        <v>695</v>
      </c>
      <c r="G15" s="32" t="str">
        <f t="shared" ca="1" si="6"/>
        <v>hipotecario</v>
      </c>
      <c r="H1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5" t="str">
        <f t="shared" ca="1" si="7"/>
        <v>No</v>
      </c>
      <c r="J1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164999.57413785567</v>
      </c>
      <c r="K15" s="32" t="str">
        <f ca="1">IF(Tabla2[[#This Row],[¿cliente deuda abierta?]]="Sí", Tabla2[[#This Row],[Deuda actual]]*Tabla2[[#This Row],[diferencia de días]], "0")</f>
        <v>0</v>
      </c>
      <c r="L1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1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15">
        <f t="shared" ca="1" si="8"/>
        <v>1346.53</v>
      </c>
      <c r="P15">
        <f t="shared" ca="1" si="9"/>
        <v>51738.23</v>
      </c>
      <c r="Q15">
        <f t="shared" ca="1" si="10"/>
        <v>5</v>
      </c>
      <c r="R15">
        <f ca="1">((Tabla2[[#This Row],[Fantasma Comunicación]]+1)/(Tabla2[[#This Row],[Fantasma Comunicación]]+RANDBETWEEN(0,5)+2))-0.5</f>
        <v>0</v>
      </c>
      <c r="S15" s="51">
        <f ca="1">1+MAX(0,Tabla2[[#This Row],[Deuda actual]]/Tabla2[[#This Row],[Liquidez]]+Tabla2[[#This Row],[Liquidez]]/(Tabla2[[#This Row],[Activos]]+Tabla2[[#This Row],[Liquidez]])+Tabla2[[#This Row],[Comunicación]])</f>
        <v>1.5415071501088042</v>
      </c>
      <c r="T15">
        <f ca="1">Tabla2[[#This Row],[Deuda actual]]*EXP(Tabla2[[#This Row],[Ki]]*Tabla2[[#This Row],[diferencia de días]])*(1+Tabla2[[#This Row],[Hg]])</f>
        <v>556.89031205971457</v>
      </c>
      <c r="U15" s="41"/>
    </row>
    <row r="16" spans="1:21" ht="14.5" x14ac:dyDescent="0.35">
      <c r="A16" t="e">
        <f t="shared" si="0"/>
        <v>#VALUE!</v>
      </c>
      <c r="B16" s="21">
        <f t="shared" ca="1" si="1"/>
        <v>46111</v>
      </c>
      <c r="C16" s="21">
        <f t="shared" ca="1" si="2"/>
        <v>46157</v>
      </c>
      <c r="D16">
        <f t="shared" ca="1" si="3"/>
        <v>1</v>
      </c>
      <c r="E16">
        <f t="shared" ca="1" si="4"/>
        <v>0.49870938158208244</v>
      </c>
      <c r="F16" s="47">
        <f t="shared" ca="1" si="5"/>
        <v>2226.88</v>
      </c>
      <c r="G16" s="32" t="str">
        <f t="shared" ca="1" si="6"/>
        <v>hipotecario</v>
      </c>
      <c r="H1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6" t="str">
        <f t="shared" ca="1" si="7"/>
        <v>No</v>
      </c>
      <c r="J1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164999.78534198098</v>
      </c>
      <c r="K16" s="32" t="str">
        <f ca="1">IF(Tabla2[[#This Row],[¿cliente deuda abierta?]]="Sí", Tabla2[[#This Row],[Deuda actual]]*Tabla2[[#This Row],[diferencia de días]], "0")</f>
        <v>0</v>
      </c>
      <c r="L1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1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16">
        <f t="shared" ca="1" si="8"/>
        <v>1409.11</v>
      </c>
      <c r="P16">
        <f t="shared" ca="1" si="9"/>
        <v>82302.25</v>
      </c>
      <c r="Q16">
        <f t="shared" ca="1" si="10"/>
        <v>5</v>
      </c>
      <c r="R16">
        <f ca="1">((Tabla2[[#This Row],[Fantasma Comunicación]]+1)/(Tabla2[[#This Row],[Fantasma Comunicación]]+RANDBETWEEN(0,5)+2))-0.5</f>
        <v>0.25</v>
      </c>
      <c r="S16" s="51">
        <f ca="1">1+MAX(0,Tabla2[[#This Row],[Deuda actual]]/Tabla2[[#This Row],[Liquidez]]+Tabla2[[#This Row],[Liquidez]]/(Tabla2[[#This Row],[Activos]]+Tabla2[[#This Row],[Liquidez]])+Tabla2[[#This Row],[Comunicación]])</f>
        <v>2.8471780007920553</v>
      </c>
      <c r="T16">
        <f ca="1">Tabla2[[#This Row],[Deuda actual]]*EXP(Tabla2[[#This Row],[Ki]]*Tabla2[[#This Row],[diferencia de días]])*(1+Tabla2[[#This Row],[Hg]])</f>
        <v>1781.8603364324558</v>
      </c>
    </row>
    <row r="17" spans="1:20" ht="14.5" x14ac:dyDescent="0.35">
      <c r="A17" t="e">
        <f t="shared" si="0"/>
        <v>#VALUE!</v>
      </c>
      <c r="B17" s="21">
        <f t="shared" ca="1" si="1"/>
        <v>46133</v>
      </c>
      <c r="C17" s="21">
        <f t="shared" ca="1" si="2"/>
        <v>46157</v>
      </c>
      <c r="D17">
        <f t="shared" ca="1" si="3"/>
        <v>11</v>
      </c>
      <c r="E17">
        <f t="shared" ca="1" si="4"/>
        <v>0.80915378441914809</v>
      </c>
      <c r="F17" s="47">
        <f t="shared" ca="1" si="5"/>
        <v>6418.09</v>
      </c>
      <c r="G17" s="32" t="str">
        <f t="shared" ca="1" si="6"/>
        <v>personal</v>
      </c>
      <c r="H1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7" t="str">
        <f t="shared" ca="1" si="7"/>
        <v>No</v>
      </c>
      <c r="J1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11999.64289663017</v>
      </c>
      <c r="K17" s="32" t="str">
        <f ca="1">IF(Tabla2[[#This Row],[¿cliente deuda abierta?]]="Sí", Tabla2[[#This Row],[Deuda actual]]*Tabla2[[#This Row],[diferencia de días]], "0")</f>
        <v>0</v>
      </c>
      <c r="L1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7">
        <f t="shared" ca="1" si="8"/>
        <v>1733.16</v>
      </c>
      <c r="P17">
        <f t="shared" ca="1" si="9"/>
        <v>299668.81</v>
      </c>
      <c r="Q17">
        <f t="shared" ca="1" si="10"/>
        <v>1</v>
      </c>
      <c r="R17">
        <f ca="1">((Tabla2[[#This Row],[Fantasma Comunicación]]+1)/(Tabla2[[#This Row],[Fantasma Comunicación]]+RANDBETWEEN(0,5)+2))-0.5</f>
        <v>-0.2142857142857143</v>
      </c>
      <c r="S17" s="51">
        <f ca="1">1+MAX(0,Tabla2[[#This Row],[Deuda actual]]/Tabla2[[#This Row],[Liquidez]]+Tabla2[[#This Row],[Liquidez]]/(Tabla2[[#This Row],[Activos]]+Tabla2[[#This Row],[Liquidez]])+Tabla2[[#This Row],[Comunicación]])</f>
        <v>4.4945791553161563</v>
      </c>
      <c r="T17">
        <f ca="1">Tabla2[[#This Row],[Deuda actual]]*EXP(Tabla2[[#This Row],[Ki]]*Tabla2[[#This Row],[diferencia de días]])*(1+Tabla2[[#This Row],[Hg]])</f>
        <v>5789.0028070566341</v>
      </c>
    </row>
    <row r="18" spans="1:20" ht="14.5" x14ac:dyDescent="0.35">
      <c r="A18" t="e">
        <f t="shared" si="0"/>
        <v>#VALUE!</v>
      </c>
      <c r="B18" s="21">
        <f t="shared" ca="1" si="1"/>
        <v>46110</v>
      </c>
      <c r="C18" s="21">
        <f t="shared" ca="1" si="2"/>
        <v>46157</v>
      </c>
      <c r="D18">
        <f t="shared" ca="1" si="3"/>
        <v>54</v>
      </c>
      <c r="E18">
        <f t="shared" ca="1" si="4"/>
        <v>1.9827821266750867E-2</v>
      </c>
      <c r="F18" s="47">
        <f t="shared" ca="1" si="5"/>
        <v>5855.1</v>
      </c>
      <c r="G18" s="32" t="str">
        <f t="shared" ca="1" si="6"/>
        <v>hipotecario</v>
      </c>
      <c r="H1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1.5E-3</v>
      </c>
      <c r="I18" t="str">
        <f t="shared" ca="1" si="7"/>
        <v>Sí</v>
      </c>
      <c r="J1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8" s="32">
        <f ca="1">IF(Tabla2[[#This Row],[¿cliente deuda abierta?]]="Sí", Tabla2[[#This Row],[Deuda actual]]*Tabla2[[#This Row],[diferencia de días]], "0")</f>
        <v>316175.40000000002</v>
      </c>
      <c r="L1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0.2</v>
      </c>
      <c r="M1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8" s="32">
        <f ca="1">MAX(Tabla2[[#This Row],[VALORES DE Hg para actuales deudores]:[Valores de HG para deudores cerrados]])*IF(Tabla2[[#This Row],[VALORES DE Hg para actuales deudores]]&gt;Tabla2[[#This Row],[Valores de HG para deudores cerrados]],-1,1)</f>
        <v>0.2</v>
      </c>
      <c r="O18">
        <f t="shared" ca="1" si="8"/>
        <v>1551.66</v>
      </c>
      <c r="P18">
        <f t="shared" ca="1" si="9"/>
        <v>251319.44</v>
      </c>
      <c r="Q18">
        <f t="shared" ca="1" si="10"/>
        <v>0</v>
      </c>
      <c r="R18">
        <f ca="1">((Tabla2[[#This Row],[Fantasma Comunicación]]+1)/(Tabla2[[#This Row],[Fantasma Comunicación]]+RANDBETWEEN(0,5)+2))-0.5</f>
        <v>-0.3</v>
      </c>
      <c r="S18" s="51">
        <f ca="1">1+MAX(0,Tabla2[[#This Row],[Deuda actual]]/Tabla2[[#This Row],[Liquidez]]+Tabla2[[#This Row],[Liquidez]]/(Tabla2[[#This Row],[Activos]]+Tabla2[[#This Row],[Liquidez]])+Tabla2[[#This Row],[Comunicación]])</f>
        <v>4.479578805400811</v>
      </c>
      <c r="T18">
        <f ca="1">Tabla2[[#This Row],[Deuda actual]]*EXP(Tabla2[[#This Row],[Ki]]*Tabla2[[#This Row],[diferencia de días]])*(1+Tabla2[[#This Row],[Hg]])</f>
        <v>7618.9200437856471</v>
      </c>
    </row>
    <row r="19" spans="1:20" ht="14.5" x14ac:dyDescent="0.35">
      <c r="A19" t="e">
        <f t="shared" si="0"/>
        <v>#VALUE!</v>
      </c>
      <c r="B19" s="21">
        <f t="shared" ca="1" si="1"/>
        <v>46105</v>
      </c>
      <c r="C19" s="21">
        <f t="shared" ca="1" si="2"/>
        <v>46157</v>
      </c>
      <c r="D19">
        <f t="shared" ca="1" si="3"/>
        <v>6</v>
      </c>
      <c r="E19">
        <f t="shared" ca="1" si="4"/>
        <v>0.80484869186808505</v>
      </c>
      <c r="F19" s="47">
        <f t="shared" ca="1" si="5"/>
        <v>3689.06</v>
      </c>
      <c r="G19" s="32" t="str">
        <f t="shared" ca="1" si="6"/>
        <v>personal</v>
      </c>
      <c r="H1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9" t="str">
        <f t="shared" ca="1" si="7"/>
        <v>Sí</v>
      </c>
      <c r="J1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9" s="32">
        <f ca="1">IF(Tabla2[[#This Row],[¿cliente deuda abierta?]]="Sí", Tabla2[[#This Row],[Deuda actual]]*Tabla2[[#This Row],[diferencia de días]], "0")</f>
        <v>22134.36</v>
      </c>
      <c r="L1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9">
        <f t="shared" ca="1" si="8"/>
        <v>1778.19</v>
      </c>
      <c r="P19">
        <f t="shared" ca="1" si="9"/>
        <v>83154.5</v>
      </c>
      <c r="Q19">
        <f t="shared" ca="1" si="10"/>
        <v>3</v>
      </c>
      <c r="R19">
        <f ca="1">((Tabla2[[#This Row],[Fantasma Comunicación]]+1)/(Tabla2[[#This Row],[Fantasma Comunicación]]+RANDBETWEEN(0,5)+2))-0.5</f>
        <v>-5.555555555555558E-2</v>
      </c>
      <c r="S19" s="51">
        <f ca="1">1+MAX(0,Tabla2[[#This Row],[Deuda actual]]/Tabla2[[#This Row],[Liquidez]]+Tabla2[[#This Row],[Liquidez]]/(Tabla2[[#This Row],[Activos]]+Tabla2[[#This Row],[Liquidez]])+Tabla2[[#This Row],[Comunicación]])</f>
        <v>3.0399961046126585</v>
      </c>
      <c r="T19">
        <f ca="1">Tabla2[[#This Row],[Deuda actual]]*EXP(Tabla2[[#This Row],[Ki]]*Tabla2[[#This Row],[diferencia de días]])*(1+Tabla2[[#This Row],[Hg]])</f>
        <v>3878.1640056452666</v>
      </c>
    </row>
    <row r="20" spans="1:20" ht="14.5" x14ac:dyDescent="0.35">
      <c r="A20" t="e">
        <f t="shared" si="0"/>
        <v>#VALUE!</v>
      </c>
      <c r="B20" s="21">
        <f t="shared" ca="1" si="1"/>
        <v>46126</v>
      </c>
      <c r="C20" s="21">
        <f t="shared" ca="1" si="2"/>
        <v>46157</v>
      </c>
      <c r="D20">
        <f t="shared" ca="1" si="3"/>
        <v>6</v>
      </c>
      <c r="E20">
        <f t="shared" ca="1" si="4"/>
        <v>0.7808041669494864</v>
      </c>
      <c r="F20" s="47">
        <f t="shared" ca="1" si="5"/>
        <v>2245.02</v>
      </c>
      <c r="G20" s="32" t="str">
        <f t="shared" ca="1" si="6"/>
        <v>hipotecario</v>
      </c>
      <c r="H2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0" t="str">
        <f t="shared" ca="1" si="7"/>
        <v>Sí</v>
      </c>
      <c r="J2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0" s="32">
        <f ca="1">IF(Tabla2[[#This Row],[¿cliente deuda abierta?]]="Sí", Tabla2[[#This Row],[Deuda actual]]*Tabla2[[#This Row],[diferencia de días]], "0")</f>
        <v>13470.119999999999</v>
      </c>
      <c r="L2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0">
        <f t="shared" ca="1" si="8"/>
        <v>1979.06</v>
      </c>
      <c r="P20">
        <f t="shared" ca="1" si="9"/>
        <v>34270.71</v>
      </c>
      <c r="Q20">
        <f t="shared" ca="1" si="10"/>
        <v>0</v>
      </c>
      <c r="R20">
        <f ca="1">((Tabla2[[#This Row],[Fantasma Comunicación]]+1)/(Tabla2[[#This Row],[Fantasma Comunicación]]+RANDBETWEEN(0,5)+2))-0.5</f>
        <v>-0.35714285714285715</v>
      </c>
      <c r="S20" s="51">
        <f ca="1">1+MAX(0,Tabla2[[#This Row],[Deuda actual]]/Tabla2[[#This Row],[Liquidez]]+Tabla2[[#This Row],[Liquidez]]/(Tabla2[[#This Row],[Activos]]+Tabla2[[#This Row],[Liquidez]])+Tabla2[[#This Row],[Comunicación]])</f>
        <v>1.831839280101782</v>
      </c>
      <c r="T20">
        <f ca="1">Tabla2[[#This Row],[Deuda actual]]*EXP(Tabla2[[#This Row],[Ki]]*Tabla2[[#This Row],[diferencia de días]])*(1+Tabla2[[#This Row],[Hg]])</f>
        <v>2360.1014231142176</v>
      </c>
    </row>
    <row r="21" spans="1:20" ht="14.5" x14ac:dyDescent="0.35">
      <c r="A21" t="e">
        <f t="shared" si="0"/>
        <v>#VALUE!</v>
      </c>
      <c r="B21" s="21">
        <f t="shared" ca="1" si="1"/>
        <v>46109</v>
      </c>
      <c r="C21" s="21">
        <f t="shared" ca="1" si="2"/>
        <v>46157</v>
      </c>
      <c r="D21">
        <f t="shared" ca="1" si="3"/>
        <v>4</v>
      </c>
      <c r="E21">
        <f t="shared" ca="1" si="4"/>
        <v>0.68315498719170664</v>
      </c>
      <c r="F21" s="47">
        <f t="shared" ca="1" si="5"/>
        <v>1985.5</v>
      </c>
      <c r="G21" s="32" t="str">
        <f t="shared" ca="1" si="6"/>
        <v>hipotecario</v>
      </c>
      <c r="H2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1" t="str">
        <f t="shared" ca="1" si="7"/>
        <v>Sí</v>
      </c>
      <c r="J2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1" s="32">
        <f ca="1">IF(Tabla2[[#This Row],[¿cliente deuda abierta?]]="Sí", Tabla2[[#This Row],[Deuda actual]]*Tabla2[[#This Row],[diferencia de días]], "0")</f>
        <v>7942</v>
      </c>
      <c r="L2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1">
        <f t="shared" ca="1" si="8"/>
        <v>1351.52</v>
      </c>
      <c r="P21">
        <f t="shared" ca="1" si="9"/>
        <v>430292.71</v>
      </c>
      <c r="Q21">
        <f t="shared" ca="1" si="10"/>
        <v>3</v>
      </c>
      <c r="R21">
        <f ca="1">((Tabla2[[#This Row],[Fantasma Comunicación]]+1)/(Tabla2[[#This Row],[Fantasma Comunicación]]+RANDBETWEEN(0,5)+2))-0.5</f>
        <v>0.16666666666666663</v>
      </c>
      <c r="S21" s="51">
        <f ca="1">1+MAX(0,Tabla2[[#This Row],[Deuda actual]]/Tabla2[[#This Row],[Liquidez]]+Tabla2[[#This Row],[Liquidez]]/(Tabla2[[#This Row],[Activos]]+Tabla2[[#This Row],[Liquidez]])+Tabla2[[#This Row],[Comunicación]])</f>
        <v>2.6388844217591991</v>
      </c>
      <c r="T21">
        <f ca="1">Tabla2[[#This Row],[Deuda actual]]*EXP(Tabla2[[#This Row],[Ki]]*Tabla2[[#This Row],[diferencia de días]])*(1+Tabla2[[#This Row],[Hg]])</f>
        <v>2086.4434873059363</v>
      </c>
    </row>
    <row r="22" spans="1:20" ht="14.5" x14ac:dyDescent="0.35">
      <c r="A22" t="e">
        <f t="shared" si="0"/>
        <v>#VALUE!</v>
      </c>
      <c r="B22" s="21">
        <f t="shared" ca="1" si="1"/>
        <v>46113</v>
      </c>
      <c r="C22" s="21">
        <f t="shared" ca="1" si="2"/>
        <v>46157</v>
      </c>
      <c r="D22">
        <f t="shared" ca="1" si="3"/>
        <v>8</v>
      </c>
      <c r="E22">
        <f t="shared" ca="1" si="4"/>
        <v>0.11412355883570535</v>
      </c>
      <c r="F22" s="47">
        <f t="shared" ca="1" si="5"/>
        <v>364.19</v>
      </c>
      <c r="G22" s="32" t="str">
        <f t="shared" ca="1" si="6"/>
        <v>hipotecario</v>
      </c>
      <c r="H2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2" t="str">
        <f t="shared" ca="1" si="7"/>
        <v>Sí</v>
      </c>
      <c r="J2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2" s="32">
        <f ca="1">IF(Tabla2[[#This Row],[¿cliente deuda abierta?]]="Sí", Tabla2[[#This Row],[Deuda actual]]*Tabla2[[#This Row],[diferencia de días]], "0")</f>
        <v>2913.52</v>
      </c>
      <c r="L2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2">
        <f t="shared" ca="1" si="8"/>
        <v>1172.8599999999999</v>
      </c>
      <c r="P22">
        <f t="shared" ca="1" si="9"/>
        <v>101529.11</v>
      </c>
      <c r="Q22">
        <f t="shared" ca="1" si="10"/>
        <v>1</v>
      </c>
      <c r="R22">
        <f ca="1">((Tabla2[[#This Row],[Fantasma Comunicación]]+1)/(Tabla2[[#This Row],[Fantasma Comunicación]]+RANDBETWEEN(0,5)+2))-0.5</f>
        <v>-0.25</v>
      </c>
      <c r="S22" s="51">
        <f ca="1">1+MAX(0,Tabla2[[#This Row],[Deuda actual]]/Tabla2[[#This Row],[Liquidez]]+Tabla2[[#This Row],[Liquidez]]/(Tabla2[[#This Row],[Activos]]+Tabla2[[#This Row],[Liquidez]])+Tabla2[[#This Row],[Comunicación]])</f>
        <v>1.0719345030095762</v>
      </c>
      <c r="T22">
        <f ca="1">Tabla2[[#This Row],[Deuda actual]]*EXP(Tabla2[[#This Row],[Ki]]*Tabla2[[#This Row],[diferencia de días]])*(1+Tabla2[[#This Row],[Hg]])</f>
        <v>383.01182893251581</v>
      </c>
    </row>
    <row r="23" spans="1:20" ht="14.5" x14ac:dyDescent="0.35">
      <c r="A23" t="e">
        <f t="shared" si="0"/>
        <v>#VALUE!</v>
      </c>
      <c r="B23" s="21">
        <f t="shared" ca="1" si="1"/>
        <v>46082</v>
      </c>
      <c r="C23" s="21">
        <f t="shared" ca="1" si="2"/>
        <v>46157</v>
      </c>
      <c r="D23">
        <f t="shared" ca="1" si="3"/>
        <v>1</v>
      </c>
      <c r="E23">
        <f t="shared" ca="1" si="4"/>
        <v>0.48088989734281751</v>
      </c>
      <c r="F23" s="47">
        <f t="shared" ca="1" si="5"/>
        <v>4215.33</v>
      </c>
      <c r="G23" s="32" t="str">
        <f t="shared" ca="1" si="6"/>
        <v>hipotecario</v>
      </c>
      <c r="H2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3" t="str">
        <f t="shared" ca="1" si="7"/>
        <v>No</v>
      </c>
      <c r="J2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165001.54329959489</v>
      </c>
      <c r="K23" s="32" t="str">
        <f ca="1">IF(Tabla2[[#This Row],[¿cliente deuda abierta?]]="Sí", Tabla2[[#This Row],[Deuda actual]]*Tabla2[[#This Row],[diferencia de días]], "0")</f>
        <v>0</v>
      </c>
      <c r="L2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2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23">
        <f t="shared" ca="1" si="8"/>
        <v>1679.99</v>
      </c>
      <c r="P23">
        <f t="shared" ca="1" si="9"/>
        <v>946386.94</v>
      </c>
      <c r="Q23">
        <f t="shared" ca="1" si="10"/>
        <v>3</v>
      </c>
      <c r="R23">
        <f ca="1">((Tabla2[[#This Row],[Fantasma Comunicación]]+1)/(Tabla2[[#This Row],[Fantasma Comunicación]]+RANDBETWEEN(0,5)+2))-0.5</f>
        <v>0</v>
      </c>
      <c r="S23" s="51">
        <f ca="1">1+MAX(0,Tabla2[[#This Row],[Deuda actual]]/Tabla2[[#This Row],[Liquidez]]+Tabla2[[#This Row],[Liquidez]]/(Tabla2[[#This Row],[Activos]]+Tabla2[[#This Row],[Liquidez]])+Tabla2[[#This Row],[Comunicación]])</f>
        <v>3.5109119516003791</v>
      </c>
      <c r="T23">
        <f ca="1">Tabla2[[#This Row],[Deuda actual]]*EXP(Tabla2[[#This Row],[Ki]]*Tabla2[[#This Row],[diferencia de días]])*(1+Tabla2[[#This Row],[Hg]])</f>
        <v>3372.938520249777</v>
      </c>
    </row>
    <row r="24" spans="1:20" ht="14.5" x14ac:dyDescent="0.35">
      <c r="A24" t="e">
        <f t="shared" si="0"/>
        <v>#VALUE!</v>
      </c>
      <c r="B24" s="21">
        <f t="shared" ca="1" si="1"/>
        <v>46087</v>
      </c>
      <c r="C24" s="21">
        <f t="shared" ca="1" si="2"/>
        <v>46157</v>
      </c>
      <c r="D24">
        <f t="shared" ca="1" si="3"/>
        <v>11</v>
      </c>
      <c r="E24">
        <f t="shared" ca="1" si="4"/>
        <v>0.93465075165060185</v>
      </c>
      <c r="F24" s="47">
        <f t="shared" ca="1" si="5"/>
        <v>300.77999999999997</v>
      </c>
      <c r="G24" s="32" t="str">
        <f t="shared" ca="1" si="6"/>
        <v>personal</v>
      </c>
      <c r="H2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4" t="str">
        <f t="shared" ca="1" si="7"/>
        <v>No</v>
      </c>
      <c r="J2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12000.477907914335</v>
      </c>
      <c r="K24" s="32" t="str">
        <f ca="1">IF(Tabla2[[#This Row],[¿cliente deuda abierta?]]="Sí", Tabla2[[#This Row],[Deuda actual]]*Tabla2[[#This Row],[diferencia de días]], "0")</f>
        <v>0</v>
      </c>
      <c r="L2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2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24">
        <f t="shared" ca="1" si="8"/>
        <v>1615.28</v>
      </c>
      <c r="P24">
        <f t="shared" ca="1" si="9"/>
        <v>150097.1</v>
      </c>
      <c r="Q24">
        <f t="shared" ca="1" si="10"/>
        <v>2</v>
      </c>
      <c r="R24">
        <f ca="1">((Tabla2[[#This Row],[Fantasma Comunicación]]+1)/(Tabla2[[#This Row],[Fantasma Comunicación]]+RANDBETWEEN(0,5)+2))-0.5</f>
        <v>-0.16666666666666669</v>
      </c>
      <c r="S24" s="51">
        <f ca="1">1+MAX(0,Tabla2[[#This Row],[Deuda actual]]/Tabla2[[#This Row],[Liquidez]]+Tabla2[[#This Row],[Liquidez]]/(Tabla2[[#This Row],[Activos]]+Tabla2[[#This Row],[Liquidez]])+Tabla2[[#This Row],[Comunicación]])</f>
        <v>1.0301895241826844</v>
      </c>
      <c r="T24">
        <f ca="1">Tabla2[[#This Row],[Deuda actual]]*EXP(Tabla2[[#This Row],[Ki]]*Tabla2[[#This Row],[diferencia de días]])*(1+Tabla2[[#This Row],[Hg]])</f>
        <v>271.29819997951012</v>
      </c>
    </row>
    <row r="25" spans="1:20" ht="14.5" x14ac:dyDescent="0.35">
      <c r="A25" t="e">
        <f t="shared" si="0"/>
        <v>#VALUE!</v>
      </c>
      <c r="B25" s="21">
        <f t="shared" ca="1" si="1"/>
        <v>46131</v>
      </c>
      <c r="C25" s="21">
        <f t="shared" ca="1" si="2"/>
        <v>46157</v>
      </c>
      <c r="D25">
        <f t="shared" ca="1" si="3"/>
        <v>9</v>
      </c>
      <c r="E25">
        <f t="shared" ca="1" si="4"/>
        <v>0.93148204978386495</v>
      </c>
      <c r="F25" s="47">
        <f t="shared" ca="1" si="5"/>
        <v>2154.73</v>
      </c>
      <c r="G25" s="32" t="str">
        <f t="shared" ca="1" si="6"/>
        <v>hipotecario</v>
      </c>
      <c r="H2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5" t="str">
        <f t="shared" ca="1" si="7"/>
        <v>Sí</v>
      </c>
      <c r="J2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5" s="32">
        <f ca="1">IF(Tabla2[[#This Row],[¿cliente deuda abierta?]]="Sí", Tabla2[[#This Row],[Deuda actual]]*Tabla2[[#This Row],[diferencia de días]], "0")</f>
        <v>19392.57</v>
      </c>
      <c r="L2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5">
        <f t="shared" ca="1" si="8"/>
        <v>1552.13</v>
      </c>
      <c r="P25">
        <f t="shared" ca="1" si="9"/>
        <v>150989.76999999999</v>
      </c>
      <c r="Q25">
        <f t="shared" ca="1" si="10"/>
        <v>3</v>
      </c>
      <c r="R25">
        <f ca="1">((Tabla2[[#This Row],[Fantasma Comunicación]]+1)/(Tabla2[[#This Row],[Fantasma Comunicación]]+RANDBETWEEN(0,5)+2))-0.5</f>
        <v>7.1428571428571397E-2</v>
      </c>
      <c r="S25" s="51">
        <f ca="1">1+MAX(0,Tabla2[[#This Row],[Deuda actual]]/Tabla2[[#This Row],[Liquidez]]+Tabla2[[#This Row],[Liquidez]]/(Tabla2[[#This Row],[Activos]]+Tabla2[[#This Row],[Liquidez]])+Tabla2[[#This Row],[Comunicación]])</f>
        <v>2.4698443531324399</v>
      </c>
      <c r="T25">
        <f ca="1">Tabla2[[#This Row],[Deuda actual]]*EXP(Tabla2[[#This Row],[Ki]]*Tabla2[[#This Row],[diferencia de días]])*(1+Tabla2[[#This Row],[Hg]])</f>
        <v>2266.5426070958374</v>
      </c>
    </row>
    <row r="26" spans="1:20" ht="14.5" x14ac:dyDescent="0.35">
      <c r="A26" t="e">
        <f t="shared" si="0"/>
        <v>#VALUE!</v>
      </c>
      <c r="B26" s="21">
        <f t="shared" ca="1" si="1"/>
        <v>46135</v>
      </c>
      <c r="C26" s="21">
        <f t="shared" ca="1" si="2"/>
        <v>46157</v>
      </c>
      <c r="D26">
        <f t="shared" ca="1" si="3"/>
        <v>3</v>
      </c>
      <c r="E26">
        <f t="shared" ca="1" si="4"/>
        <v>0.25482294491375035</v>
      </c>
      <c r="F26" s="47">
        <f t="shared" ca="1" si="5"/>
        <v>465.06</v>
      </c>
      <c r="G26" s="32" t="str">
        <f t="shared" ca="1" si="6"/>
        <v>hipotecario</v>
      </c>
      <c r="H2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6" t="str">
        <f t="shared" ca="1" si="7"/>
        <v>Sí</v>
      </c>
      <c r="J2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6" s="32">
        <f ca="1">IF(Tabla2[[#This Row],[¿cliente deuda abierta?]]="Sí", Tabla2[[#This Row],[Deuda actual]]*Tabla2[[#This Row],[diferencia de días]], "0")</f>
        <v>1395.18</v>
      </c>
      <c r="L2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6">
        <f t="shared" ca="1" si="8"/>
        <v>1829.92</v>
      </c>
      <c r="P26">
        <f t="shared" ca="1" si="9"/>
        <v>109893.94</v>
      </c>
      <c r="Q26">
        <f t="shared" ca="1" si="10"/>
        <v>5</v>
      </c>
      <c r="R26">
        <f ca="1">((Tabla2[[#This Row],[Fantasma Comunicación]]+1)/(Tabla2[[#This Row],[Fantasma Comunicación]]+RANDBETWEEN(0,5)+2))-0.5</f>
        <v>4.5454545454545414E-2</v>
      </c>
      <c r="S26" s="51">
        <f ca="1">1+MAX(0,Tabla2[[#This Row],[Deuda actual]]/Tabla2[[#This Row],[Liquidez]]+Tabla2[[#This Row],[Liquidez]]/(Tabla2[[#This Row],[Activos]]+Tabla2[[#This Row],[Liquidez]])+Tabla2[[#This Row],[Comunicación]])</f>
        <v>1.3159757573649999</v>
      </c>
      <c r="T26">
        <f ca="1">Tabla2[[#This Row],[Deuda actual]]*EXP(Tabla2[[#This Row],[Ki]]*Tabla2[[#This Row],[diferencia de días]])*(1+Tabla2[[#This Row],[Hg]])</f>
        <v>488.60607571392188</v>
      </c>
    </row>
    <row r="27" spans="1:20" ht="14.5" x14ac:dyDescent="0.35">
      <c r="A27" t="e">
        <f t="shared" si="0"/>
        <v>#VALUE!</v>
      </c>
      <c r="B27" s="21">
        <f t="shared" ca="1" si="1"/>
        <v>46125</v>
      </c>
      <c r="C27" s="21">
        <f t="shared" ca="1" si="2"/>
        <v>46157</v>
      </c>
      <c r="D27">
        <f t="shared" ca="1" si="3"/>
        <v>47</v>
      </c>
      <c r="E27">
        <f t="shared" ca="1" si="4"/>
        <v>0.19406058261588988</v>
      </c>
      <c r="F27" s="47">
        <f t="shared" ca="1" si="5"/>
        <v>1872.78</v>
      </c>
      <c r="G27" s="32" t="str">
        <f t="shared" ca="1" si="6"/>
        <v>hipotecario</v>
      </c>
      <c r="H2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27" t="str">
        <f t="shared" ca="1" si="7"/>
        <v>Sí</v>
      </c>
      <c r="J2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7" s="32">
        <f ca="1">IF(Tabla2[[#This Row],[¿cliente deuda abierta?]]="Sí", Tabla2[[#This Row],[Deuda actual]]*Tabla2[[#This Row],[diferencia de días]], "0")</f>
        <v>88020.66</v>
      </c>
      <c r="L2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2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7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27">
        <f t="shared" ca="1" si="8"/>
        <v>1930.66</v>
      </c>
      <c r="P27">
        <f t="shared" ca="1" si="9"/>
        <v>352545.88</v>
      </c>
      <c r="Q27">
        <f t="shared" ca="1" si="10"/>
        <v>2</v>
      </c>
      <c r="R27">
        <f ca="1">((Tabla2[[#This Row],[Fantasma Comunicación]]+1)/(Tabla2[[#This Row],[Fantasma Comunicación]]+RANDBETWEEN(0,5)+2))-0.5</f>
        <v>0.25</v>
      </c>
      <c r="S27" s="51">
        <f ca="1">1+MAX(0,Tabla2[[#This Row],[Deuda actual]]/Tabla2[[#This Row],[Liquidez]]+Tabla2[[#This Row],[Liquidez]]/(Tabla2[[#This Row],[Activos]]+Tabla2[[#This Row],[Liquidez]])+Tabla2[[#This Row],[Comunicación]])</f>
        <v>2.2254671246559976</v>
      </c>
      <c r="T27">
        <f ca="1">Tabla2[[#This Row],[Deuda actual]]*EXP(Tabla2[[#This Row],[Ki]]*Tabla2[[#This Row],[diferencia de días]])*(1+Tabla2[[#This Row],[Hg]])</f>
        <v>2257.337226588827</v>
      </c>
    </row>
    <row r="28" spans="1:20" ht="14.5" x14ac:dyDescent="0.35">
      <c r="A28" t="e">
        <f t="shared" si="0"/>
        <v>#VALUE!</v>
      </c>
      <c r="B28" s="21">
        <f t="shared" ca="1" si="1"/>
        <v>46138</v>
      </c>
      <c r="C28" s="21">
        <f t="shared" ca="1" si="2"/>
        <v>46157</v>
      </c>
      <c r="D28">
        <f t="shared" ca="1" si="3"/>
        <v>19</v>
      </c>
      <c r="E28">
        <f t="shared" ca="1" si="4"/>
        <v>0.23235573287152067</v>
      </c>
      <c r="F28" s="47">
        <f t="shared" ca="1" si="5"/>
        <v>1599.07</v>
      </c>
      <c r="G28" s="32" t="str">
        <f t="shared" ca="1" si="6"/>
        <v>hipotecario</v>
      </c>
      <c r="H2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28" t="str">
        <f t="shared" ca="1" si="7"/>
        <v>Sí</v>
      </c>
      <c r="J2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8" s="32">
        <f ca="1">IF(Tabla2[[#This Row],[¿cliente deuda abierta?]]="Sí", Tabla2[[#This Row],[Deuda actual]]*Tabla2[[#This Row],[diferencia de días]], "0")</f>
        <v>30382.329999999998</v>
      </c>
      <c r="L2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2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8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28">
        <f t="shared" ca="1" si="8"/>
        <v>1703.39</v>
      </c>
      <c r="P28">
        <f t="shared" ca="1" si="9"/>
        <v>343795.36</v>
      </c>
      <c r="Q28">
        <f t="shared" ca="1" si="10"/>
        <v>3</v>
      </c>
      <c r="R28">
        <f ca="1">((Tabla2[[#This Row],[Fantasma Comunicación]]+1)/(Tabla2[[#This Row],[Fantasma Comunicación]]+RANDBETWEEN(0,5)+2))-0.5</f>
        <v>0</v>
      </c>
      <c r="S28" s="51">
        <f ca="1">1+MAX(0,Tabla2[[#This Row],[Deuda actual]]/Tabla2[[#This Row],[Liquidez]]+Tabla2[[#This Row],[Liquidez]]/(Tabla2[[#This Row],[Activos]]+Tabla2[[#This Row],[Liquidez]])+Tabla2[[#This Row],[Comunicación]])</f>
        <v>1.9436876539431318</v>
      </c>
      <c r="T28">
        <f ca="1">Tabla2[[#This Row],[Deuda actual]]*EXP(Tabla2[[#This Row],[Ki]]*Tabla2[[#This Row],[diferencia de días]])*(1+Tabla2[[#This Row],[Hg]])</f>
        <v>1772.396153392094</v>
      </c>
    </row>
    <row r="29" spans="1:20" ht="14.5" x14ac:dyDescent="0.35">
      <c r="A29" t="e">
        <f t="shared" si="0"/>
        <v>#VALUE!</v>
      </c>
      <c r="B29" s="21">
        <f t="shared" ca="1" si="1"/>
        <v>46139</v>
      </c>
      <c r="C29" s="21">
        <f t="shared" ca="1" si="2"/>
        <v>46157</v>
      </c>
      <c r="D29">
        <f t="shared" ca="1" si="3"/>
        <v>5</v>
      </c>
      <c r="E29">
        <f t="shared" ca="1" si="4"/>
        <v>0.47253937068254925</v>
      </c>
      <c r="F29" s="47">
        <f t="shared" ca="1" si="5"/>
        <v>460.01</v>
      </c>
      <c r="G29" s="32" t="str">
        <f t="shared" ca="1" si="6"/>
        <v>personal</v>
      </c>
      <c r="H2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9" t="str">
        <f t="shared" ca="1" si="7"/>
        <v>Sí</v>
      </c>
      <c r="J2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9" s="32">
        <f ca="1">IF(Tabla2[[#This Row],[¿cliente deuda abierta?]]="Sí", Tabla2[[#This Row],[Deuda actual]]*Tabla2[[#This Row],[diferencia de días]], "0")</f>
        <v>2300.0500000000002</v>
      </c>
      <c r="L2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9">
        <f t="shared" ca="1" si="8"/>
        <v>1275.67</v>
      </c>
      <c r="P29">
        <f t="shared" ca="1" si="9"/>
        <v>119501.64</v>
      </c>
      <c r="Q29">
        <f t="shared" ca="1" si="10"/>
        <v>4</v>
      </c>
      <c r="R29">
        <f ca="1">((Tabla2[[#This Row],[Fantasma Comunicación]]+1)/(Tabla2[[#This Row],[Fantasma Comunicación]]+RANDBETWEEN(0,5)+2))-0.5</f>
        <v>-4.545454545454547E-2</v>
      </c>
      <c r="S29" s="51">
        <f ca="1">1+MAX(0,Tabla2[[#This Row],[Deuda actual]]/Tabla2[[#This Row],[Liquidez]]+Tabla2[[#This Row],[Liquidez]]/(Tabla2[[#This Row],[Activos]]+Tabla2[[#This Row],[Liquidez]])+Tabla2[[#This Row],[Comunicación]])</f>
        <v>1.325710284266487</v>
      </c>
      <c r="T29">
        <f ca="1">Tabla2[[#This Row],[Deuda actual]]*EXP(Tabla2[[#This Row],[Ki]]*Tabla2[[#This Row],[diferencia de días]])*(1+Tabla2[[#This Row],[Hg]])</f>
        <v>483.49375208577192</v>
      </c>
    </row>
    <row r="30" spans="1:20" ht="14.5" x14ac:dyDescent="0.35">
      <c r="A30" t="e">
        <f t="shared" si="0"/>
        <v>#VALUE!</v>
      </c>
      <c r="B30" s="21">
        <f t="shared" ca="1" si="1"/>
        <v>46100</v>
      </c>
      <c r="C30" s="21">
        <f t="shared" ca="1" si="2"/>
        <v>46157</v>
      </c>
      <c r="D30">
        <f t="shared" ca="1" si="3"/>
        <v>3</v>
      </c>
      <c r="E30">
        <f t="shared" ca="1" si="4"/>
        <v>0.67679765135162318</v>
      </c>
      <c r="F30" s="47">
        <f t="shared" ca="1" si="5"/>
        <v>400.84</v>
      </c>
      <c r="G30" s="32" t="str">
        <f t="shared" ca="1" si="6"/>
        <v>hipotecario</v>
      </c>
      <c r="H3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0" t="str">
        <f t="shared" ca="1" si="7"/>
        <v>No</v>
      </c>
      <c r="J3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165000.57809216241</v>
      </c>
      <c r="K30" s="32" t="str">
        <f ca="1">IF(Tabla2[[#This Row],[¿cliente deuda abierta?]]="Sí", Tabla2[[#This Row],[Deuda actual]]*Tabla2[[#This Row],[diferencia de días]], "0")</f>
        <v>0</v>
      </c>
      <c r="L3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0">
        <f t="shared" ca="1" si="8"/>
        <v>1838.05</v>
      </c>
      <c r="P30">
        <f t="shared" ca="1" si="9"/>
        <v>101301.08</v>
      </c>
      <c r="Q30">
        <f t="shared" ca="1" si="10"/>
        <v>4</v>
      </c>
      <c r="R30">
        <f ca="1">((Tabla2[[#This Row],[Fantasma Comunicación]]+1)/(Tabla2[[#This Row],[Fantasma Comunicación]]+RANDBETWEEN(0,5)+2))-0.5</f>
        <v>0</v>
      </c>
      <c r="S30" s="51">
        <f ca="1">1+MAX(0,Tabla2[[#This Row],[Deuda actual]]/Tabla2[[#This Row],[Liquidez]]+Tabla2[[#This Row],[Liquidez]]/(Tabla2[[#This Row],[Activos]]+Tabla2[[#This Row],[Liquidez]])+Tabla2[[#This Row],[Comunicación]])</f>
        <v>1.2359000156978377</v>
      </c>
      <c r="T30">
        <f ca="1">Tabla2[[#This Row],[Deuda actual]]*EXP(Tabla2[[#This Row],[Ki]]*Tabla2[[#This Row],[diferencia de días]])*(1+Tabla2[[#This Row],[Hg]])</f>
        <v>320.86446093250589</v>
      </c>
    </row>
    <row r="31" spans="1:20" ht="14.5" x14ac:dyDescent="0.35">
      <c r="A31" t="e">
        <f t="shared" si="0"/>
        <v>#VALUE!</v>
      </c>
      <c r="B31" s="21">
        <f t="shared" ca="1" si="1"/>
        <v>46083</v>
      </c>
      <c r="C31" s="21">
        <f t="shared" ca="1" si="2"/>
        <v>46157</v>
      </c>
      <c r="D31">
        <f t="shared" ca="1" si="3"/>
        <v>8</v>
      </c>
      <c r="E31">
        <f t="shared" ca="1" si="4"/>
        <v>0.46222597147990263</v>
      </c>
      <c r="F31" s="47">
        <f t="shared" ca="1" si="5"/>
        <v>1313.4</v>
      </c>
      <c r="G31" s="32" t="str">
        <f t="shared" ca="1" si="6"/>
        <v>hipotecario</v>
      </c>
      <c r="H3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1" t="str">
        <f t="shared" ca="1" si="7"/>
        <v>No</v>
      </c>
      <c r="J3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164998.12551364891</v>
      </c>
      <c r="K31" s="32" t="str">
        <f ca="1">IF(Tabla2[[#This Row],[¿cliente deuda abierta?]]="Sí", Tabla2[[#This Row],[Deuda actual]]*Tabla2[[#This Row],[diferencia de días]], "0")</f>
        <v>0</v>
      </c>
      <c r="L3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1">
        <f t="shared" ca="1" si="8"/>
        <v>1646.77</v>
      </c>
      <c r="P31">
        <f t="shared" ca="1" si="9"/>
        <v>171340.46</v>
      </c>
      <c r="Q31">
        <f t="shared" ca="1" si="10"/>
        <v>3</v>
      </c>
      <c r="R31">
        <f ca="1">((Tabla2[[#This Row],[Fantasma Comunicación]]+1)/(Tabla2[[#This Row],[Fantasma Comunicación]]+RANDBETWEEN(0,5)+2))-0.5</f>
        <v>0.16666666666666663</v>
      </c>
      <c r="S31" s="51">
        <f ca="1">1+MAX(0,Tabla2[[#This Row],[Deuda actual]]/Tabla2[[#This Row],[Liquidez]]+Tabla2[[#This Row],[Liquidez]]/(Tabla2[[#This Row],[Activos]]+Tabla2[[#This Row],[Liquidez]])+Tabla2[[#This Row],[Comunicación]])</f>
        <v>1.9737475577305537</v>
      </c>
      <c r="T31">
        <f ca="1">Tabla2[[#This Row],[Deuda actual]]*EXP(Tabla2[[#This Row],[Ki]]*Tabla2[[#This Row],[diferencia de días]])*(1+Tabla2[[#This Row],[Hg]])</f>
        <v>1052.4024976391786</v>
      </c>
    </row>
    <row r="32" spans="1:20" ht="14.5" x14ac:dyDescent="0.35">
      <c r="A32" t="e">
        <f t="shared" si="0"/>
        <v>#VALUE!</v>
      </c>
      <c r="B32" s="21">
        <f t="shared" ca="1" si="1"/>
        <v>46083</v>
      </c>
      <c r="C32" s="21">
        <f t="shared" ca="1" si="2"/>
        <v>46157</v>
      </c>
      <c r="D32">
        <f t="shared" ca="1" si="3"/>
        <v>1</v>
      </c>
      <c r="E32">
        <f t="shared" ca="1" si="4"/>
        <v>0.11476421489838362</v>
      </c>
      <c r="F32" s="47">
        <f t="shared" ca="1" si="5"/>
        <v>2500.2800000000002</v>
      </c>
      <c r="G32" s="32" t="str">
        <f t="shared" ca="1" si="6"/>
        <v>hipotecario</v>
      </c>
      <c r="H3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2" t="str">
        <f t="shared" ca="1" si="7"/>
        <v>Sí</v>
      </c>
      <c r="J3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2" s="32">
        <f ca="1">IF(Tabla2[[#This Row],[¿cliente deuda abierta?]]="Sí", Tabla2[[#This Row],[Deuda actual]]*Tabla2[[#This Row],[diferencia de días]], "0")</f>
        <v>2500.2800000000002</v>
      </c>
      <c r="L3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2">
        <f t="shared" ca="1" si="8"/>
        <v>1267.53</v>
      </c>
      <c r="P32">
        <f t="shared" ca="1" si="9"/>
        <v>165231.04999999999</v>
      </c>
      <c r="Q32">
        <f t="shared" ca="1" si="10"/>
        <v>0</v>
      </c>
      <c r="R32">
        <f ca="1">((Tabla2[[#This Row],[Fantasma Comunicación]]+1)/(Tabla2[[#This Row],[Fantasma Comunicación]]+RANDBETWEEN(0,5)+2))-0.5</f>
        <v>0</v>
      </c>
      <c r="S32" s="51">
        <f ca="1">1+MAX(0,Tabla2[[#This Row],[Deuda actual]]/Tabla2[[#This Row],[Liquidez]]+Tabla2[[#This Row],[Liquidez]]/(Tabla2[[#This Row],[Activos]]+Tabla2[[#This Row],[Liquidez]])+Tabla2[[#This Row],[Comunicación]])</f>
        <v>2.980173664958544</v>
      </c>
      <c r="T32">
        <f ca="1">Tabla2[[#This Row],[Deuda actual]]*EXP(Tabla2[[#This Row],[Ki]]*Tabla2[[#This Row],[diferencia de días]])*(1+Tabla2[[#This Row],[Hg]])</f>
        <v>2625.8191113093808</v>
      </c>
    </row>
    <row r="33" spans="1:20" ht="14.5" x14ac:dyDescent="0.35">
      <c r="A33" t="e">
        <f t="shared" si="0"/>
        <v>#VALUE!</v>
      </c>
      <c r="B33" s="21">
        <f t="shared" ca="1" si="1"/>
        <v>46119</v>
      </c>
      <c r="C33" s="21">
        <f t="shared" ca="1" si="2"/>
        <v>46157</v>
      </c>
      <c r="D33">
        <f t="shared" ca="1" si="3"/>
        <v>49</v>
      </c>
      <c r="E33">
        <f t="shared" ca="1" si="4"/>
        <v>0.73339818725369421</v>
      </c>
      <c r="F33" s="47">
        <f t="shared" ca="1" si="5"/>
        <v>544.1</v>
      </c>
      <c r="G33" s="32" t="str">
        <f t="shared" ca="1" si="6"/>
        <v>personal</v>
      </c>
      <c r="H3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33" t="str">
        <f t="shared" ca="1" si="7"/>
        <v>Sí</v>
      </c>
      <c r="J3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3" s="32">
        <f ca="1">IF(Tabla2[[#This Row],[¿cliente deuda abierta?]]="Sí", Tabla2[[#This Row],[Deuda actual]]*Tabla2[[#This Row],[diferencia de días]], "0")</f>
        <v>26660.9</v>
      </c>
      <c r="L3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3">
        <f t="shared" ca="1" si="8"/>
        <v>1644.63</v>
      </c>
      <c r="P33">
        <f t="shared" ca="1" si="9"/>
        <v>37170.080000000002</v>
      </c>
      <c r="Q33">
        <f t="shared" ca="1" si="10"/>
        <v>0</v>
      </c>
      <c r="R33">
        <f ca="1">((Tabla2[[#This Row],[Fantasma Comunicación]]+1)/(Tabla2[[#This Row],[Fantasma Comunicación]]+RANDBETWEEN(0,5)+2))-0.5</f>
        <v>-0.25</v>
      </c>
      <c r="S33" s="51">
        <f ca="1">1+MAX(0,Tabla2[[#This Row],[Deuda actual]]/Tabla2[[#This Row],[Liquidez]]+Tabla2[[#This Row],[Liquidez]]/(Tabla2[[#This Row],[Activos]]+Tabla2[[#This Row],[Liquidez]])+Tabla2[[#This Row],[Comunicación]])</f>
        <v>1.1232055981623363</v>
      </c>
      <c r="T33">
        <f ca="1">Tabla2[[#This Row],[Deuda actual]]*EXP(Tabla2[[#This Row],[Ki]]*Tabla2[[#This Row],[diferencia de días]])*(1+Tabla2[[#This Row],[Hg]])</f>
        <v>599.99613747953174</v>
      </c>
    </row>
    <row r="34" spans="1:20" ht="14.5" x14ac:dyDescent="0.35">
      <c r="A34" t="e">
        <f t="shared" si="0"/>
        <v>#VALUE!</v>
      </c>
      <c r="B34" s="21">
        <f t="shared" ca="1" si="1"/>
        <v>46103</v>
      </c>
      <c r="C34" s="21">
        <f t="shared" ca="1" si="2"/>
        <v>46157</v>
      </c>
      <c r="D34">
        <f t="shared" ca="1" si="3"/>
        <v>3</v>
      </c>
      <c r="E34">
        <f t="shared" ca="1" si="4"/>
        <v>0.98205927749614252</v>
      </c>
      <c r="F34" s="47">
        <f t="shared" ca="1" si="5"/>
        <v>995.77</v>
      </c>
      <c r="G34" s="32" t="str">
        <f t="shared" ca="1" si="6"/>
        <v>personal</v>
      </c>
      <c r="H3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4" t="str">
        <f t="shared" ca="1" si="7"/>
        <v>Sí</v>
      </c>
      <c r="J3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4" s="32">
        <f ca="1">IF(Tabla2[[#This Row],[¿cliente deuda abierta?]]="Sí", Tabla2[[#This Row],[Deuda actual]]*Tabla2[[#This Row],[diferencia de días]], "0")</f>
        <v>2987.31</v>
      </c>
      <c r="L3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4">
        <f t="shared" ca="1" si="8"/>
        <v>1561.75</v>
      </c>
      <c r="P34">
        <f t="shared" ca="1" si="9"/>
        <v>334964.88</v>
      </c>
      <c r="Q34">
        <f t="shared" ca="1" si="10"/>
        <v>0</v>
      </c>
      <c r="R34">
        <f ca="1">((Tabla2[[#This Row],[Fantasma Comunicación]]+1)/(Tabla2[[#This Row],[Fantasma Comunicación]]+RANDBETWEEN(0,5)+2))-0.5</f>
        <v>-0.3</v>
      </c>
      <c r="S34" s="51">
        <f ca="1">1+MAX(0,Tabla2[[#This Row],[Deuda actual]]/Tabla2[[#This Row],[Liquidez]]+Tabla2[[#This Row],[Liquidez]]/(Tabla2[[#This Row],[Activos]]+Tabla2[[#This Row],[Liquidez]])+Tabla2[[#This Row],[Comunicación]])</f>
        <v>1.3422396391725289</v>
      </c>
      <c r="T34">
        <f ca="1">Tabla2[[#This Row],[Deuda actual]]*EXP(Tabla2[[#This Row],[Ki]]*Tabla2[[#This Row],[diferencia de días]])*(1+Tabla2[[#This Row],[Hg]])</f>
        <v>1046.1860233381758</v>
      </c>
    </row>
    <row r="35" spans="1:20" ht="14.5" x14ac:dyDescent="0.35">
      <c r="A35" t="e">
        <f t="shared" si="0"/>
        <v>#VALUE!</v>
      </c>
      <c r="B35" s="21">
        <f t="shared" ca="1" si="1"/>
        <v>46135</v>
      </c>
      <c r="C35" s="21">
        <f t="shared" ca="1" si="2"/>
        <v>46157</v>
      </c>
      <c r="D35">
        <f t="shared" ca="1" si="3"/>
        <v>9</v>
      </c>
      <c r="E35">
        <f t="shared" ca="1" si="4"/>
        <v>0.88940639701328794</v>
      </c>
      <c r="F35" s="47">
        <f t="shared" ca="1" si="5"/>
        <v>651.09</v>
      </c>
      <c r="G35" s="32" t="str">
        <f t="shared" ca="1" si="6"/>
        <v>hipotecario</v>
      </c>
      <c r="H3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5" t="str">
        <f t="shared" ca="1" si="7"/>
        <v>Sí</v>
      </c>
      <c r="J3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5" s="32">
        <f ca="1">IF(Tabla2[[#This Row],[¿cliente deuda abierta?]]="Sí", Tabla2[[#This Row],[Deuda actual]]*Tabla2[[#This Row],[diferencia de días]], "0")</f>
        <v>5859.81</v>
      </c>
      <c r="L3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5">
        <f t="shared" ca="1" si="8"/>
        <v>1542.56</v>
      </c>
      <c r="P35">
        <f t="shared" ca="1" si="9"/>
        <v>62613.87</v>
      </c>
      <c r="Q35">
        <f t="shared" ca="1" si="10"/>
        <v>1</v>
      </c>
      <c r="R35">
        <f ca="1">((Tabla2[[#This Row],[Fantasma Comunicación]]+1)/(Tabla2[[#This Row],[Fantasma Comunicación]]+RANDBETWEEN(0,5)+2))-0.5</f>
        <v>-0.25</v>
      </c>
      <c r="S35" s="51">
        <f ca="1">1+MAX(0,Tabla2[[#This Row],[Deuda actual]]/Tabla2[[#This Row],[Liquidez]]+Tabla2[[#This Row],[Liquidez]]/(Tabla2[[#This Row],[Activos]]+Tabla2[[#This Row],[Liquidez]])+Tabla2[[#This Row],[Comunicación]])</f>
        <v>1.1961277999025026</v>
      </c>
      <c r="T35">
        <f ca="1">Tabla2[[#This Row],[Deuda actual]]*EXP(Tabla2[[#This Row],[Ki]]*Tabla2[[#This Row],[diferencia de días]])*(1+Tabla2[[#This Row],[Hg]])</f>
        <v>684.87616826889177</v>
      </c>
    </row>
    <row r="36" spans="1:20" ht="14.5" x14ac:dyDescent="0.35">
      <c r="A36" t="e">
        <f t="shared" si="0"/>
        <v>#VALUE!</v>
      </c>
      <c r="B36" s="21">
        <f t="shared" ca="1" si="1"/>
        <v>46096</v>
      </c>
      <c r="C36" s="21">
        <f t="shared" ca="1" si="2"/>
        <v>46157</v>
      </c>
      <c r="D36">
        <f t="shared" ca="1" si="3"/>
        <v>6</v>
      </c>
      <c r="E36">
        <f t="shared" ca="1" si="4"/>
        <v>0.6287635373372561</v>
      </c>
      <c r="F36" s="47">
        <f t="shared" ca="1" si="5"/>
        <v>317.66000000000003</v>
      </c>
      <c r="G36" s="32" t="str">
        <f t="shared" ca="1" si="6"/>
        <v>personal</v>
      </c>
      <c r="H3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6" t="str">
        <f t="shared" ca="1" si="7"/>
        <v>Sí</v>
      </c>
      <c r="J3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6" s="32">
        <f ca="1">IF(Tabla2[[#This Row],[¿cliente deuda abierta?]]="Sí", Tabla2[[#This Row],[Deuda actual]]*Tabla2[[#This Row],[diferencia de días]], "0")</f>
        <v>1905.96</v>
      </c>
      <c r="L3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6">
        <f t="shared" ca="1" si="8"/>
        <v>1951.26</v>
      </c>
      <c r="P36">
        <f t="shared" ca="1" si="9"/>
        <v>164685.75</v>
      </c>
      <c r="Q36">
        <f t="shared" ca="1" si="10"/>
        <v>3</v>
      </c>
      <c r="R36">
        <f ca="1">((Tabla2[[#This Row],[Fantasma Comunicación]]+1)/(Tabla2[[#This Row],[Fantasma Comunicación]]+RANDBETWEEN(0,5)+2))-0.5</f>
        <v>7.1428571428571397E-2</v>
      </c>
      <c r="S36" s="51">
        <f ca="1">1+MAX(0,Tabla2[[#This Row],[Deuda actual]]/Tabla2[[#This Row],[Liquidez]]+Tabla2[[#This Row],[Liquidez]]/(Tabla2[[#This Row],[Activos]]+Tabla2[[#This Row],[Liquidez]])+Tabla2[[#This Row],[Comunicación]])</f>
        <v>1.2459355869970881</v>
      </c>
      <c r="T36">
        <f ca="1">Tabla2[[#This Row],[Deuda actual]]*EXP(Tabla2[[#This Row],[Ki]]*Tabla2[[#This Row],[diferencia de días]])*(1+Tabla2[[#This Row],[Hg]])</f>
        <v>333.94349184704919</v>
      </c>
    </row>
    <row r="37" spans="1:20" ht="14.5" x14ac:dyDescent="0.35">
      <c r="A37" t="e">
        <f t="shared" si="0"/>
        <v>#VALUE!</v>
      </c>
      <c r="B37" s="21">
        <f t="shared" ca="1" si="1"/>
        <v>46099</v>
      </c>
      <c r="C37" s="21">
        <f t="shared" ca="1" si="2"/>
        <v>46157</v>
      </c>
      <c r="D37">
        <f t="shared" ca="1" si="3"/>
        <v>0</v>
      </c>
      <c r="E37">
        <f t="shared" ca="1" si="4"/>
        <v>0.65955733531958871</v>
      </c>
      <c r="F37" s="47">
        <f t="shared" ca="1" si="5"/>
        <v>4667.45</v>
      </c>
      <c r="G37" s="32" t="str">
        <f t="shared" ca="1" si="6"/>
        <v>hipotecario</v>
      </c>
      <c r="H3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7" t="str">
        <f t="shared" ca="1" si="7"/>
        <v>Sí</v>
      </c>
      <c r="J3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7" s="32">
        <f ca="1">IF(Tabla2[[#This Row],[¿cliente deuda abierta?]]="Sí", Tabla2[[#This Row],[Deuda actual]]*Tabla2[[#This Row],[diferencia de días]], "0")</f>
        <v>0</v>
      </c>
      <c r="L3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7" s="32">
        <f ca="1">MAX(Tabla2[[#This Row],[VALORES DE Hg para actuales deudores]:[Valores de HG para deudores cerrados]])*IF(Tabla2[[#This Row],[VALORES DE Hg para actuales deudores]]&gt;Tabla2[[#This Row],[Valores de HG para deudores cerrados]],-1,1)</f>
        <v>0</v>
      </c>
      <c r="O37">
        <f t="shared" ca="1" si="8"/>
        <v>1089.28</v>
      </c>
      <c r="P37">
        <f t="shared" ca="1" si="9"/>
        <v>56163.62</v>
      </c>
      <c r="Q37">
        <f t="shared" ca="1" si="10"/>
        <v>1</v>
      </c>
      <c r="R37">
        <f ca="1">((Tabla2[[#This Row],[Fantasma Comunicación]]+1)/(Tabla2[[#This Row],[Fantasma Comunicación]]+RANDBETWEEN(0,5)+2))-0.5</f>
        <v>-0.2142857142857143</v>
      </c>
      <c r="S37" s="51">
        <f ca="1">1+MAX(0,Tabla2[[#This Row],[Deuda actual]]/Tabla2[[#This Row],[Liquidez]]+Tabla2[[#This Row],[Liquidez]]/(Tabla2[[#This Row],[Activos]]+Tabla2[[#This Row],[Liquidez]])+Tabla2[[#This Row],[Comunicación]])</f>
        <v>5.0896346561379655</v>
      </c>
      <c r="T37">
        <f ca="1">Tabla2[[#This Row],[Deuda actual]]*EXP(Tabla2[[#This Row],[Ki]]*Tabla2[[#This Row],[diferencia de días]])*(1+Tabla2[[#This Row],[Hg]])</f>
        <v>4667.45</v>
      </c>
    </row>
    <row r="38" spans="1:20" ht="14.5" x14ac:dyDescent="0.35">
      <c r="A38" t="e">
        <f t="shared" si="0"/>
        <v>#VALUE!</v>
      </c>
      <c r="B38" s="21">
        <f t="shared" ca="1" si="1"/>
        <v>46093</v>
      </c>
      <c r="C38" s="21">
        <f t="shared" ca="1" si="2"/>
        <v>46157</v>
      </c>
      <c r="D38">
        <f t="shared" ca="1" si="3"/>
        <v>4</v>
      </c>
      <c r="E38">
        <f t="shared" ca="1" si="4"/>
        <v>0.21956932279485963</v>
      </c>
      <c r="F38" s="47">
        <f t="shared" ca="1" si="5"/>
        <v>1943.88</v>
      </c>
      <c r="G38" s="32" t="str">
        <f t="shared" ca="1" si="6"/>
        <v>personal</v>
      </c>
      <c r="H3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8" t="str">
        <f t="shared" ca="1" si="7"/>
        <v>Sí</v>
      </c>
      <c r="J3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8" s="32">
        <f ca="1">IF(Tabla2[[#This Row],[¿cliente deuda abierta?]]="Sí", Tabla2[[#This Row],[Deuda actual]]*Tabla2[[#This Row],[diferencia de días]], "0")</f>
        <v>7775.52</v>
      </c>
      <c r="L3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8">
        <f t="shared" ca="1" si="8"/>
        <v>1276.52</v>
      </c>
      <c r="P38">
        <f t="shared" ca="1" si="9"/>
        <v>37541.43</v>
      </c>
      <c r="Q38">
        <f t="shared" ca="1" si="10"/>
        <v>4</v>
      </c>
      <c r="R38">
        <f ca="1">((Tabla2[[#This Row],[Fantasma Comunicación]]+1)/(Tabla2[[#This Row],[Fantasma Comunicación]]+RANDBETWEEN(0,5)+2))-0.5</f>
        <v>-4.545454545454547E-2</v>
      </c>
      <c r="S38" s="51">
        <f ca="1">1+MAX(0,Tabla2[[#This Row],[Deuda actual]]/Tabla2[[#This Row],[Liquidez]]+Tabla2[[#This Row],[Liquidez]]/(Tabla2[[#This Row],[Activos]]+Tabla2[[#This Row],[Liquidez]])+Tabla2[[#This Row],[Comunicación]])</f>
        <v>2.5102265936775323</v>
      </c>
      <c r="T38">
        <f ca="1">Tabla2[[#This Row],[Deuda actual]]*EXP(Tabla2[[#This Row],[Ki]]*Tabla2[[#This Row],[diferencia de días]])*(1+Tabla2[[#This Row],[Hg]])</f>
        <v>2042.7075125178865</v>
      </c>
    </row>
    <row r="39" spans="1:20" ht="14.5" x14ac:dyDescent="0.35">
      <c r="A39" t="e">
        <f t="shared" si="0"/>
        <v>#VALUE!</v>
      </c>
      <c r="B39" s="21">
        <f t="shared" ca="1" si="1"/>
        <v>46085</v>
      </c>
      <c r="C39" s="21">
        <f t="shared" ca="1" si="2"/>
        <v>46157</v>
      </c>
      <c r="D39">
        <f t="shared" ca="1" si="3"/>
        <v>74</v>
      </c>
      <c r="E39">
        <f t="shared" ca="1" si="4"/>
        <v>0.80892381473762842</v>
      </c>
      <c r="F39" s="47">
        <f t="shared" ca="1" si="5"/>
        <v>379.36</v>
      </c>
      <c r="G39" s="32" t="str">
        <f t="shared" ca="1" si="6"/>
        <v>hipotecario</v>
      </c>
      <c r="H3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39" t="str">
        <f t="shared" ca="1" si="7"/>
        <v>No</v>
      </c>
      <c r="J3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164999.30441264276</v>
      </c>
      <c r="K39" s="32" t="str">
        <f ca="1">IF(Tabla2[[#This Row],[¿cliente deuda abierta?]]="Sí", Tabla2[[#This Row],[Deuda actual]]*Tabla2[[#This Row],[diferencia de días]], "0")</f>
        <v>0</v>
      </c>
      <c r="L3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9">
        <f t="shared" ca="1" si="8"/>
        <v>1665.76</v>
      </c>
      <c r="P39">
        <f t="shared" ca="1" si="9"/>
        <v>476028.15999999997</v>
      </c>
      <c r="Q39">
        <f t="shared" ca="1" si="10"/>
        <v>1</v>
      </c>
      <c r="R39">
        <f ca="1">((Tabla2[[#This Row],[Fantasma Comunicación]]+1)/(Tabla2[[#This Row],[Fantasma Comunicación]]+RANDBETWEEN(0,5)+2))-0.5</f>
        <v>0.16666666666666663</v>
      </c>
      <c r="S39" s="51">
        <f ca="1">1+MAX(0,Tabla2[[#This Row],[Deuda actual]]/Tabla2[[#This Row],[Liquidez]]+Tabla2[[#This Row],[Liquidez]]/(Tabla2[[#This Row],[Activos]]+Tabla2[[#This Row],[Liquidez]])+Tabla2[[#This Row],[Comunicación]])</f>
        <v>1.3978936436261438</v>
      </c>
      <c r="T39">
        <f ca="1">Tabla2[[#This Row],[Deuda actual]]*EXP(Tabla2[[#This Row],[Ki]]*Tabla2[[#This Row],[diferencia de días]])*(1+Tabla2[[#This Row],[Hg]])</f>
        <v>326.7979437864368</v>
      </c>
    </row>
    <row r="40" spans="1:20" ht="14.5" x14ac:dyDescent="0.35">
      <c r="A40" t="e">
        <f t="shared" si="0"/>
        <v>#VALUE!</v>
      </c>
      <c r="B40" s="21">
        <f t="shared" ca="1" si="1"/>
        <v>46136</v>
      </c>
      <c r="C40" s="21">
        <f t="shared" ca="1" si="2"/>
        <v>46157</v>
      </c>
      <c r="D40">
        <f t="shared" ca="1" si="3"/>
        <v>21</v>
      </c>
      <c r="E40">
        <f t="shared" ca="1" si="4"/>
        <v>0.31522221771887071</v>
      </c>
      <c r="F40" s="47">
        <f t="shared" ca="1" si="5"/>
        <v>238.24</v>
      </c>
      <c r="G40" s="32" t="str">
        <f t="shared" ca="1" si="6"/>
        <v>hipotecario</v>
      </c>
      <c r="H4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0" t="str">
        <f t="shared" ca="1" si="7"/>
        <v>Sí</v>
      </c>
      <c r="J4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0" s="32">
        <f ca="1">IF(Tabla2[[#This Row],[¿cliente deuda abierta?]]="Sí", Tabla2[[#This Row],[Deuda actual]]*Tabla2[[#This Row],[diferencia de días]], "0")</f>
        <v>5003.04</v>
      </c>
      <c r="L4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0">
        <f t="shared" ca="1" si="8"/>
        <v>1949.44</v>
      </c>
      <c r="P40">
        <f t="shared" ca="1" si="9"/>
        <v>287465.15999999997</v>
      </c>
      <c r="Q40">
        <f t="shared" ca="1" si="10"/>
        <v>3</v>
      </c>
      <c r="R40">
        <f ca="1">((Tabla2[[#This Row],[Fantasma Comunicación]]+1)/(Tabla2[[#This Row],[Fantasma Comunicación]]+RANDBETWEEN(0,5)+2))-0.5</f>
        <v>0.16666666666666663</v>
      </c>
      <c r="S40" s="51">
        <f ca="1">1+MAX(0,Tabla2[[#This Row],[Deuda actual]]/Tabla2[[#This Row],[Liquidez]]+Tabla2[[#This Row],[Liquidez]]/(Tabla2[[#This Row],[Activos]]+Tabla2[[#This Row],[Liquidez]])+Tabla2[[#This Row],[Comunicación]])</f>
        <v>1.2956119256193732</v>
      </c>
      <c r="T40">
        <f ca="1">Tabla2[[#This Row],[Deuda actual]]*EXP(Tabla2[[#This Row],[Ki]]*Tabla2[[#This Row],[diferencia de días]])*(1+Tabla2[[#This Row],[Hg]])</f>
        <v>252.26212692555563</v>
      </c>
    </row>
    <row r="41" spans="1:20" ht="14.5" x14ac:dyDescent="0.35">
      <c r="A41" t="e">
        <f t="shared" si="0"/>
        <v>#VALUE!</v>
      </c>
      <c r="B41" s="21">
        <f t="shared" ca="1" si="1"/>
        <v>46136</v>
      </c>
      <c r="C41" s="21">
        <f t="shared" ca="1" si="2"/>
        <v>46157</v>
      </c>
      <c r="D41">
        <f t="shared" ca="1" si="3"/>
        <v>2</v>
      </c>
      <c r="E41">
        <f t="shared" ca="1" si="4"/>
        <v>0.63996850710167985</v>
      </c>
      <c r="F41" s="47">
        <f t="shared" ca="1" si="5"/>
        <v>702.69</v>
      </c>
      <c r="G41" s="32" t="str">
        <f t="shared" ca="1" si="6"/>
        <v>personal</v>
      </c>
      <c r="H4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1" t="str">
        <f t="shared" ca="1" si="7"/>
        <v>Sí</v>
      </c>
      <c r="J4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1" s="32">
        <f ca="1">IF(Tabla2[[#This Row],[¿cliente deuda abierta?]]="Sí", Tabla2[[#This Row],[Deuda actual]]*Tabla2[[#This Row],[diferencia de días]], "0")</f>
        <v>1405.38</v>
      </c>
      <c r="L4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1">
        <f t="shared" ca="1" si="8"/>
        <v>2039.06</v>
      </c>
      <c r="P41">
        <f t="shared" ca="1" si="9"/>
        <v>477318.64</v>
      </c>
      <c r="Q41">
        <f t="shared" ca="1" si="10"/>
        <v>3</v>
      </c>
      <c r="R41">
        <f ca="1">((Tabla2[[#This Row],[Fantasma Comunicación]]+1)/(Tabla2[[#This Row],[Fantasma Comunicación]]+RANDBETWEEN(0,5)+2))-0.5</f>
        <v>-5.555555555555558E-2</v>
      </c>
      <c r="S41" s="51">
        <f ca="1">1+MAX(0,Tabla2[[#This Row],[Deuda actual]]/Tabla2[[#This Row],[Liquidez]]+Tabla2[[#This Row],[Liquidez]]/(Tabla2[[#This Row],[Activos]]+Tabla2[[#This Row],[Liquidez]])+Tabla2[[#This Row],[Comunicación]])</f>
        <v>1.2933128535281508</v>
      </c>
      <c r="T41">
        <f ca="1">Tabla2[[#This Row],[Deuda actual]]*EXP(Tabla2[[#This Row],[Ki]]*Tabla2[[#This Row],[diferencia de días]])*(1+Tabla2[[#This Row],[Hg]])</f>
        <v>738.11968883383111</v>
      </c>
    </row>
    <row r="42" spans="1:20" ht="14.5" x14ac:dyDescent="0.35">
      <c r="A42" t="e">
        <f t="shared" si="0"/>
        <v>#VALUE!</v>
      </c>
      <c r="B42" s="21">
        <f t="shared" ca="1" si="1"/>
        <v>46113</v>
      </c>
      <c r="C42" s="21">
        <f t="shared" ca="1" si="2"/>
        <v>46157</v>
      </c>
      <c r="D42">
        <f t="shared" ca="1" si="3"/>
        <v>8</v>
      </c>
      <c r="E42">
        <f t="shared" ca="1" si="4"/>
        <v>0.62584762124015536</v>
      </c>
      <c r="F42" s="47">
        <f t="shared" ca="1" si="5"/>
        <v>2091.46</v>
      </c>
      <c r="G42" s="32" t="str">
        <f t="shared" ca="1" si="6"/>
        <v>personal</v>
      </c>
      <c r="H4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2" t="str">
        <f t="shared" ca="1" si="7"/>
        <v>Sí</v>
      </c>
      <c r="J4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2" s="32">
        <f ca="1">IF(Tabla2[[#This Row],[¿cliente deuda abierta?]]="Sí", Tabla2[[#This Row],[Deuda actual]]*Tabla2[[#This Row],[diferencia de días]], "0")</f>
        <v>16731.68</v>
      </c>
      <c r="L4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2">
        <f t="shared" ca="1" si="8"/>
        <v>1854.33</v>
      </c>
      <c r="P42">
        <f t="shared" ca="1" si="9"/>
        <v>115640.9</v>
      </c>
      <c r="Q42">
        <f t="shared" ca="1" si="10"/>
        <v>0</v>
      </c>
      <c r="R42">
        <f ca="1">((Tabla2[[#This Row],[Fantasma Comunicación]]+1)/(Tabla2[[#This Row],[Fantasma Comunicación]]+RANDBETWEEN(0,5)+2))-0.5</f>
        <v>-0.25</v>
      </c>
      <c r="S42" s="51">
        <f ca="1">1+MAX(0,Tabla2[[#This Row],[Deuda actual]]/Tabla2[[#This Row],[Liquidez]]+Tabla2[[#This Row],[Liquidez]]/(Tabla2[[#This Row],[Activos]]+Tabla2[[#This Row],[Liquidez]])+Tabla2[[#This Row],[Comunicación]])</f>
        <v>1.8936612448294909</v>
      </c>
      <c r="T42">
        <f ca="1">Tabla2[[#This Row],[Deuda actual]]*EXP(Tabla2[[#This Row],[Ki]]*Tabla2[[#This Row],[diferencia de días]])*(1+Tabla2[[#This Row],[Hg]])</f>
        <v>2199.5494652219982</v>
      </c>
    </row>
    <row r="43" spans="1:20" ht="14.5" x14ac:dyDescent="0.35">
      <c r="A43" t="e">
        <f t="shared" si="0"/>
        <v>#VALUE!</v>
      </c>
      <c r="B43" s="21">
        <f t="shared" ca="1" si="1"/>
        <v>46125</v>
      </c>
      <c r="C43" s="21">
        <f t="shared" ca="1" si="2"/>
        <v>46157</v>
      </c>
      <c r="D43">
        <f t="shared" ca="1" si="3"/>
        <v>21</v>
      </c>
      <c r="E43">
        <f t="shared" ca="1" si="4"/>
        <v>4.696039790956108E-2</v>
      </c>
      <c r="F43" s="47">
        <f t="shared" ca="1" si="5"/>
        <v>2178.12</v>
      </c>
      <c r="G43" s="32" t="str">
        <f t="shared" ca="1" si="6"/>
        <v>personal</v>
      </c>
      <c r="H4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3" t="str">
        <f t="shared" ca="1" si="7"/>
        <v>Sí</v>
      </c>
      <c r="J4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3" s="32">
        <f ca="1">IF(Tabla2[[#This Row],[¿cliente deuda abierta?]]="Sí", Tabla2[[#This Row],[Deuda actual]]*Tabla2[[#This Row],[diferencia de días]], "0")</f>
        <v>45740.52</v>
      </c>
      <c r="L4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4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3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43">
        <f t="shared" ca="1" si="8"/>
        <v>1570.58</v>
      </c>
      <c r="P43">
        <f t="shared" ca="1" si="9"/>
        <v>169108.02</v>
      </c>
      <c r="Q43">
        <f t="shared" ca="1" si="10"/>
        <v>4</v>
      </c>
      <c r="R43">
        <f ca="1">((Tabla2[[#This Row],[Fantasma Comunicación]]+1)/(Tabla2[[#This Row],[Fantasma Comunicación]]+RANDBETWEEN(0,5)+2))-0.5</f>
        <v>0</v>
      </c>
      <c r="S43" s="51">
        <f ca="1">1+MAX(0,Tabla2[[#This Row],[Deuda actual]]/Tabla2[[#This Row],[Liquidez]]+Tabla2[[#This Row],[Liquidez]]/(Tabla2[[#This Row],[Activos]]+Tabla2[[#This Row],[Liquidez]])+Tabla2[[#This Row],[Comunicación]])</f>
        <v>2.3960272230392103</v>
      </c>
      <c r="T43">
        <f ca="1">Tabla2[[#This Row],[Deuda actual]]*EXP(Tabla2[[#This Row],[Ki]]*Tabla2[[#This Row],[diferencia de días]])*(1+Tabla2[[#This Row],[Hg]])</f>
        <v>2416.1425944585708</v>
      </c>
    </row>
    <row r="44" spans="1:20" ht="14.5" x14ac:dyDescent="0.35">
      <c r="A44" t="e">
        <f t="shared" si="0"/>
        <v>#VALUE!</v>
      </c>
      <c r="B44" s="21">
        <f t="shared" ca="1" si="1"/>
        <v>46127</v>
      </c>
      <c r="C44" s="21">
        <f t="shared" ca="1" si="2"/>
        <v>46157</v>
      </c>
      <c r="D44">
        <f t="shared" ca="1" si="3"/>
        <v>22</v>
      </c>
      <c r="E44">
        <f t="shared" ca="1" si="4"/>
        <v>6.2732951119222502E-2</v>
      </c>
      <c r="F44" s="47">
        <f t="shared" ca="1" si="5"/>
        <v>168.25</v>
      </c>
      <c r="G44" s="32" t="str">
        <f t="shared" ca="1" si="6"/>
        <v>hipotecario</v>
      </c>
      <c r="H4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4" t="str">
        <f t="shared" ca="1" si="7"/>
        <v>Sí</v>
      </c>
      <c r="J4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4" s="32">
        <f ca="1">IF(Tabla2[[#This Row],[¿cliente deuda abierta?]]="Sí", Tabla2[[#This Row],[Deuda actual]]*Tabla2[[#This Row],[diferencia de días]], "0")</f>
        <v>3701.5</v>
      </c>
      <c r="L4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4">
        <f t="shared" ca="1" si="8"/>
        <v>1180.2</v>
      </c>
      <c r="P44">
        <f t="shared" ca="1" si="9"/>
        <v>188901.11</v>
      </c>
      <c r="Q44">
        <f t="shared" ca="1" si="10"/>
        <v>4</v>
      </c>
      <c r="R44">
        <f ca="1">((Tabla2[[#This Row],[Fantasma Comunicación]]+1)/(Tabla2[[#This Row],[Fantasma Comunicación]]+RANDBETWEEN(0,5)+2))-0.5</f>
        <v>0.33333333333333337</v>
      </c>
      <c r="S44" s="51">
        <f ca="1">1+MAX(0,Tabla2[[#This Row],[Deuda actual]]/Tabla2[[#This Row],[Liquidez]]+Tabla2[[#This Row],[Liquidez]]/(Tabla2[[#This Row],[Activos]]+Tabla2[[#This Row],[Liquidez]])+Tabla2[[#This Row],[Comunicación]])</f>
        <v>1.4821028381409751</v>
      </c>
      <c r="T44">
        <f ca="1">Tabla2[[#This Row],[Deuda actual]]*EXP(Tabla2[[#This Row],[Ki]]*Tabla2[[#This Row],[diferencia de días]])*(1+Tabla2[[#This Row],[Hg]])</f>
        <v>178.2239904813122</v>
      </c>
    </row>
    <row r="45" spans="1:20" ht="14.5" x14ac:dyDescent="0.35">
      <c r="A45" t="e">
        <f t="shared" si="0"/>
        <v>#VALUE!</v>
      </c>
      <c r="B45" s="21">
        <f t="shared" ca="1" si="1"/>
        <v>46141</v>
      </c>
      <c r="C45" s="21">
        <f t="shared" ca="1" si="2"/>
        <v>46157</v>
      </c>
      <c r="D45">
        <f t="shared" ca="1" si="3"/>
        <v>26</v>
      </c>
      <c r="E45">
        <f t="shared" ca="1" si="4"/>
        <v>0.50847756136677391</v>
      </c>
      <c r="F45" s="47">
        <f t="shared" ca="1" si="5"/>
        <v>350.21</v>
      </c>
      <c r="G45" s="32" t="str">
        <f t="shared" ca="1" si="6"/>
        <v>personal</v>
      </c>
      <c r="H4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5" t="str">
        <f t="shared" ca="1" si="7"/>
        <v>Sí</v>
      </c>
      <c r="J4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5" s="32">
        <f ca="1">IF(Tabla2[[#This Row],[¿cliente deuda abierta?]]="Sí", Tabla2[[#This Row],[Deuda actual]]*Tabla2[[#This Row],[diferencia de días]], "0")</f>
        <v>9105.4599999999991</v>
      </c>
      <c r="L4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5">
        <f t="shared" ca="1" si="8"/>
        <v>1291.8599999999999</v>
      </c>
      <c r="P45">
        <f t="shared" ca="1" si="9"/>
        <v>583570.26</v>
      </c>
      <c r="Q45">
        <f t="shared" ca="1" si="10"/>
        <v>4</v>
      </c>
      <c r="R45">
        <f ca="1">((Tabla2[[#This Row],[Fantasma Comunicación]]+1)/(Tabla2[[#This Row],[Fantasma Comunicación]]+RANDBETWEEN(0,5)+2))-0.5</f>
        <v>-4.545454545454547E-2</v>
      </c>
      <c r="S45" s="51">
        <f ca="1">1+MAX(0,Tabla2[[#This Row],[Deuda actual]]/Tabla2[[#This Row],[Liquidez]]+Tabla2[[#This Row],[Liquidez]]/(Tabla2[[#This Row],[Activos]]+Tabla2[[#This Row],[Liquidez]])+Tabla2[[#This Row],[Comunicación]])</f>
        <v>1.227844029408566</v>
      </c>
      <c r="T45">
        <f ca="1">Tabla2[[#This Row],[Deuda actual]]*EXP(Tabla2[[#This Row],[Ki]]*Tabla2[[#This Row],[diferencia de días]])*(1+Tabla2[[#This Row],[Hg]])</f>
        <v>371.56474864351424</v>
      </c>
    </row>
    <row r="46" spans="1:20" ht="14.5" x14ac:dyDescent="0.35">
      <c r="A46" t="e">
        <f t="shared" si="0"/>
        <v>#VALUE!</v>
      </c>
      <c r="B46" s="21">
        <f t="shared" ca="1" si="1"/>
        <v>46091</v>
      </c>
      <c r="C46" s="21">
        <f t="shared" ca="1" si="2"/>
        <v>46157</v>
      </c>
      <c r="D46">
        <f t="shared" ca="1" si="3"/>
        <v>4</v>
      </c>
      <c r="E46">
        <f t="shared" ca="1" si="4"/>
        <v>0.61961256575736778</v>
      </c>
      <c r="F46" s="47">
        <f t="shared" ca="1" si="5"/>
        <v>507.95</v>
      </c>
      <c r="G46" s="32" t="str">
        <f t="shared" ca="1" si="6"/>
        <v>personal</v>
      </c>
      <c r="H4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6" t="str">
        <f t="shared" ca="1" si="7"/>
        <v>Sí</v>
      </c>
      <c r="J4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6" s="32">
        <f ca="1">IF(Tabla2[[#This Row],[¿cliente deuda abierta?]]="Sí", Tabla2[[#This Row],[Deuda actual]]*Tabla2[[#This Row],[diferencia de días]], "0")</f>
        <v>2031.8</v>
      </c>
      <c r="L4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6">
        <f t="shared" ca="1" si="8"/>
        <v>2219.6999999999998</v>
      </c>
      <c r="P46">
        <f t="shared" ca="1" si="9"/>
        <v>135415.37</v>
      </c>
      <c r="Q46">
        <f t="shared" ca="1" si="10"/>
        <v>3</v>
      </c>
      <c r="R46">
        <f ca="1">((Tabla2[[#This Row],[Fantasma Comunicación]]+1)/(Tabla2[[#This Row],[Fantasma Comunicación]]+RANDBETWEEN(0,5)+2))-0.5</f>
        <v>0.16666666666666663</v>
      </c>
      <c r="S46" s="51">
        <f ca="1">1+MAX(0,Tabla2[[#This Row],[Deuda actual]]/Tabla2[[#This Row],[Liquidez]]+Tabla2[[#This Row],[Liquidez]]/(Tabla2[[#This Row],[Activos]]+Tabla2[[#This Row],[Liquidez]])+Tabla2[[#This Row],[Comunicación]])</f>
        <v>1.4116313272356451</v>
      </c>
      <c r="T46">
        <f ca="1">Tabla2[[#This Row],[Deuda actual]]*EXP(Tabla2[[#This Row],[Ki]]*Tabla2[[#This Row],[diferencia de días]])*(1+Tabla2[[#This Row],[Hg]])</f>
        <v>533.77434871672142</v>
      </c>
    </row>
    <row r="47" spans="1:20" ht="14.5" x14ac:dyDescent="0.35">
      <c r="A47" t="e">
        <f t="shared" si="0"/>
        <v>#VALUE!</v>
      </c>
      <c r="B47" s="21">
        <f t="shared" ca="1" si="1"/>
        <v>46122</v>
      </c>
      <c r="C47" s="21">
        <f t="shared" ca="1" si="2"/>
        <v>46157</v>
      </c>
      <c r="D47">
        <f t="shared" ca="1" si="3"/>
        <v>11</v>
      </c>
      <c r="E47">
        <f t="shared" ca="1" si="4"/>
        <v>0.52800419514203023</v>
      </c>
      <c r="F47" s="47">
        <f t="shared" ca="1" si="5"/>
        <v>1168.1400000000001</v>
      </c>
      <c r="G47" s="32" t="str">
        <f t="shared" ca="1" si="6"/>
        <v>hipotecario</v>
      </c>
      <c r="H4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7" t="str">
        <f t="shared" ca="1" si="7"/>
        <v>Sí</v>
      </c>
      <c r="J4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7" s="32">
        <f ca="1">IF(Tabla2[[#This Row],[¿cliente deuda abierta?]]="Sí", Tabla2[[#This Row],[Deuda actual]]*Tabla2[[#This Row],[diferencia de días]], "0")</f>
        <v>12849.54</v>
      </c>
      <c r="L4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7">
        <f t="shared" ca="1" si="8"/>
        <v>1384.14</v>
      </c>
      <c r="P47">
        <f t="shared" ca="1" si="9"/>
        <v>332107.59000000003</v>
      </c>
      <c r="Q47">
        <f t="shared" ca="1" si="10"/>
        <v>0</v>
      </c>
      <c r="R47">
        <f ca="1">((Tabla2[[#This Row],[Fantasma Comunicación]]+1)/(Tabla2[[#This Row],[Fantasma Comunicación]]+RANDBETWEEN(0,5)+2))-0.5</f>
        <v>-0.3</v>
      </c>
      <c r="S47" s="51">
        <f ca="1">1+MAX(0,Tabla2[[#This Row],[Deuda actual]]/Tabla2[[#This Row],[Liquidez]]+Tabla2[[#This Row],[Liquidez]]/(Tabla2[[#This Row],[Activos]]+Tabla2[[#This Row],[Liquidez]])+Tabla2[[#This Row],[Comunicación]])</f>
        <v>1.5480968693534853</v>
      </c>
      <c r="T47">
        <f ca="1">Tabla2[[#This Row],[Deuda actual]]*EXP(Tabla2[[#This Row],[Ki]]*Tabla2[[#This Row],[diferencia de días]])*(1+Tabla2[[#This Row],[Hg]])</f>
        <v>1229.2483738216499</v>
      </c>
    </row>
    <row r="48" spans="1:20" ht="14.5" x14ac:dyDescent="0.35">
      <c r="A48" t="e">
        <f t="shared" si="0"/>
        <v>#VALUE!</v>
      </c>
      <c r="B48" s="21">
        <f t="shared" ca="1" si="1"/>
        <v>46082</v>
      </c>
      <c r="C48" s="21">
        <f t="shared" ca="1" si="2"/>
        <v>46157</v>
      </c>
      <c r="D48">
        <f t="shared" ca="1" si="3"/>
        <v>15</v>
      </c>
      <c r="E48">
        <f t="shared" ca="1" si="4"/>
        <v>0.27752990760707319</v>
      </c>
      <c r="F48" s="47">
        <f t="shared" ca="1" si="5"/>
        <v>433.49</v>
      </c>
      <c r="G48" s="32" t="str">
        <f t="shared" ca="1" si="6"/>
        <v>hipotecario</v>
      </c>
      <c r="H4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8" t="str">
        <f t="shared" ca="1" si="7"/>
        <v>Sí</v>
      </c>
      <c r="J4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8" s="32">
        <f ca="1">IF(Tabla2[[#This Row],[¿cliente deuda abierta?]]="Sí", Tabla2[[#This Row],[Deuda actual]]*Tabla2[[#This Row],[diferencia de días]], "0")</f>
        <v>6502.35</v>
      </c>
      <c r="L4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8">
        <f t="shared" ca="1" si="8"/>
        <v>2833.43</v>
      </c>
      <c r="P48">
        <f t="shared" ca="1" si="9"/>
        <v>68596.45</v>
      </c>
      <c r="Q48">
        <f t="shared" ca="1" si="10"/>
        <v>5</v>
      </c>
      <c r="R48">
        <f ca="1">((Tabla2[[#This Row],[Fantasma Comunicación]]+1)/(Tabla2[[#This Row],[Fantasma Comunicación]]+RANDBETWEEN(0,5)+2))-0.5</f>
        <v>9.9999999999999978E-2</v>
      </c>
      <c r="S48" s="51">
        <f ca="1">1+MAX(0,Tabla2[[#This Row],[Deuda actual]]/Tabla2[[#This Row],[Liquidez]]+Tabla2[[#This Row],[Liquidez]]/(Tabla2[[#This Row],[Activos]]+Tabla2[[#This Row],[Liquidez]])+Tabla2[[#This Row],[Comunicación]])</f>
        <v>1.2926585441819212</v>
      </c>
      <c r="T48">
        <f ca="1">Tabla2[[#This Row],[Deuda actual]]*EXP(Tabla2[[#This Row],[Ki]]*Tabla2[[#This Row],[diferencia de días]])*(1+Tabla2[[#This Row],[Hg]])</f>
        <v>457.90369637153049</v>
      </c>
    </row>
    <row r="49" spans="1:20" ht="14.5" x14ac:dyDescent="0.35">
      <c r="A49" t="e">
        <f t="shared" si="0"/>
        <v>#VALUE!</v>
      </c>
      <c r="B49" s="21">
        <f t="shared" ca="1" si="1"/>
        <v>46110</v>
      </c>
      <c r="C49" s="21">
        <f t="shared" ca="1" si="2"/>
        <v>46157</v>
      </c>
      <c r="D49">
        <f t="shared" ca="1" si="3"/>
        <v>10</v>
      </c>
      <c r="E49">
        <f t="shared" ca="1" si="4"/>
        <v>0.60147455019726837</v>
      </c>
      <c r="F49" s="47">
        <f t="shared" ca="1" si="5"/>
        <v>1382.55</v>
      </c>
      <c r="G49" s="32" t="str">
        <f t="shared" ca="1" si="6"/>
        <v>personal</v>
      </c>
      <c r="H4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9" t="str">
        <f t="shared" ca="1" si="7"/>
        <v>Sí</v>
      </c>
      <c r="J4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9" s="32">
        <f ca="1">IF(Tabla2[[#This Row],[¿cliente deuda abierta?]]="Sí", Tabla2[[#This Row],[Deuda actual]]*Tabla2[[#This Row],[diferencia de días]], "0")</f>
        <v>13825.5</v>
      </c>
      <c r="L4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9">
        <f t="shared" ca="1" si="8"/>
        <v>1890.09</v>
      </c>
      <c r="P49">
        <f t="shared" ca="1" si="9"/>
        <v>102212.64</v>
      </c>
      <c r="Q49">
        <f t="shared" ca="1" si="10"/>
        <v>1</v>
      </c>
      <c r="R49">
        <f ca="1">((Tabla2[[#This Row],[Fantasma Comunicación]]+1)/(Tabla2[[#This Row],[Fantasma Comunicación]]+RANDBETWEEN(0,5)+2))-0.5</f>
        <v>-0.16666666666666669</v>
      </c>
      <c r="S49" s="51">
        <f ca="1">1+MAX(0,Tabla2[[#This Row],[Deuda actual]]/Tabla2[[#This Row],[Liquidez]]+Tabla2[[#This Row],[Liquidez]]/(Tabla2[[#This Row],[Activos]]+Tabla2[[#This Row],[Liquidez]])+Tabla2[[#This Row],[Comunicación]])</f>
        <v>1.5829624458011466</v>
      </c>
      <c r="T49">
        <f ca="1">Tabla2[[#This Row],[Deuda actual]]*EXP(Tabla2[[#This Row],[Ki]]*Tabla2[[#This Row],[diferencia de días]])*(1+Tabla2[[#This Row],[Hg]])</f>
        <v>1454.5837602915383</v>
      </c>
    </row>
    <row r="50" spans="1:20" ht="14.5" x14ac:dyDescent="0.35">
      <c r="A50" t="e">
        <f t="shared" si="0"/>
        <v>#VALUE!</v>
      </c>
      <c r="B50" s="21">
        <f t="shared" ca="1" si="1"/>
        <v>46111</v>
      </c>
      <c r="C50" s="21">
        <f t="shared" ca="1" si="2"/>
        <v>46157</v>
      </c>
      <c r="D50">
        <f t="shared" ca="1" si="3"/>
        <v>18</v>
      </c>
      <c r="E50">
        <f t="shared" ca="1" si="4"/>
        <v>0.72371844208955494</v>
      </c>
      <c r="F50" s="47">
        <f t="shared" ca="1" si="5"/>
        <v>451.23</v>
      </c>
      <c r="G50" s="32" t="str">
        <f t="shared" ca="1" si="6"/>
        <v>hipotecario</v>
      </c>
      <c r="H5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50" t="str">
        <f t="shared" ca="1" si="7"/>
        <v>Sí</v>
      </c>
      <c r="J5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0" s="32">
        <f ca="1">IF(Tabla2[[#This Row],[¿cliente deuda abierta?]]="Sí", Tabla2[[#This Row],[Deuda actual]]*Tabla2[[#This Row],[diferencia de días]], "0")</f>
        <v>8122.14</v>
      </c>
      <c r="L5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0">
        <f t="shared" ca="1" si="8"/>
        <v>1958.36</v>
      </c>
      <c r="P50">
        <f t="shared" ca="1" si="9"/>
        <v>137898.82</v>
      </c>
      <c r="Q50">
        <f t="shared" ca="1" si="10"/>
        <v>0</v>
      </c>
      <c r="R50">
        <f ca="1">((Tabla2[[#This Row],[Fantasma Comunicación]]+1)/(Tabla2[[#This Row],[Fantasma Comunicación]]+RANDBETWEEN(0,5)+2))-0.5</f>
        <v>-0.16666666666666669</v>
      </c>
      <c r="S50" s="51">
        <f ca="1">1+MAX(0,Tabla2[[#This Row],[Deuda actual]]/Tabla2[[#This Row],[Liquidez]]+Tabla2[[#This Row],[Liquidez]]/(Tabla2[[#This Row],[Activos]]+Tabla2[[#This Row],[Liquidez]])+Tabla2[[#This Row],[Comunicación]])</f>
        <v>1.0777480852910859</v>
      </c>
      <c r="T50">
        <f ca="1">Tabla2[[#This Row],[Deuda actual]]*EXP(Tabla2[[#This Row],[Ki]]*Tabla2[[#This Row],[diferencia de días]])*(1+Tabla2[[#This Row],[Hg]])</f>
        <v>477.21510900243072</v>
      </c>
    </row>
    <row r="51" spans="1:20" ht="14.5" x14ac:dyDescent="0.35">
      <c r="A51" t="e">
        <f t="shared" si="0"/>
        <v>#VALUE!</v>
      </c>
      <c r="B51" s="21">
        <f t="shared" ca="1" si="1"/>
        <v>46123</v>
      </c>
      <c r="C51" s="21">
        <f t="shared" ca="1" si="2"/>
        <v>46157</v>
      </c>
      <c r="D51">
        <f t="shared" ca="1" si="3"/>
        <v>5</v>
      </c>
      <c r="E51">
        <f t="shared" ca="1" si="4"/>
        <v>0.27813942171878625</v>
      </c>
      <c r="F51" s="47">
        <f t="shared" ca="1" si="5"/>
        <v>1272.04</v>
      </c>
      <c r="G51" s="32" t="str">
        <f t="shared" ca="1" si="6"/>
        <v>personal</v>
      </c>
      <c r="H5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1" t="str">
        <f t="shared" ca="1" si="7"/>
        <v>No</v>
      </c>
      <c r="J5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12000.646375855773</v>
      </c>
      <c r="K51" s="32" t="str">
        <f ca="1">IF(Tabla2[[#This Row],[¿cliente deuda abierta?]]="Sí", Tabla2[[#This Row],[Deuda actual]]*Tabla2[[#This Row],[diferencia de días]], "0")</f>
        <v>0</v>
      </c>
      <c r="L5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5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51">
        <f t="shared" ca="1" si="8"/>
        <v>1233.68</v>
      </c>
      <c r="P51">
        <f t="shared" ca="1" si="9"/>
        <v>122287.91</v>
      </c>
      <c r="Q51">
        <f t="shared" ca="1" si="10"/>
        <v>3</v>
      </c>
      <c r="R51">
        <f ca="1">((Tabla2[[#This Row],[Fantasma Comunicación]]+1)/(Tabla2[[#This Row],[Fantasma Comunicación]]+RANDBETWEEN(0,5)+2))-0.5</f>
        <v>0</v>
      </c>
      <c r="S51" s="51">
        <f ca="1">1+MAX(0,Tabla2[[#This Row],[Deuda actual]]/Tabla2[[#This Row],[Liquidez]]+Tabla2[[#This Row],[Liquidez]]/(Tabla2[[#This Row],[Activos]]+Tabla2[[#This Row],[Liquidez]])+Tabla2[[#This Row],[Comunicación]])</f>
        <v>2.0410815285145136</v>
      </c>
      <c r="T51">
        <f ca="1">Tabla2[[#This Row],[Deuda actual]]*EXP(Tabla2[[#This Row],[Ki]]*Tabla2[[#This Row],[diferencia de días]])*(1+Tabla2[[#This Row],[Hg]])</f>
        <v>1145.9814086088536</v>
      </c>
    </row>
    <row r="52" spans="1:20" ht="14.5" x14ac:dyDescent="0.35">
      <c r="A52" t="e">
        <f t="shared" si="0"/>
        <v>#VALUE!</v>
      </c>
      <c r="B52" s="21">
        <f t="shared" ca="1" si="1"/>
        <v>46093</v>
      </c>
      <c r="C52" s="21">
        <f t="shared" ca="1" si="2"/>
        <v>46157</v>
      </c>
      <c r="D52">
        <f t="shared" ca="1" si="3"/>
        <v>1</v>
      </c>
      <c r="E52">
        <f t="shared" ca="1" si="4"/>
        <v>0.30793318498850009</v>
      </c>
      <c r="F52" s="47">
        <f t="shared" ca="1" si="5"/>
        <v>1023.65</v>
      </c>
      <c r="G52" s="32" t="str">
        <f t="shared" ca="1" si="6"/>
        <v>personal</v>
      </c>
      <c r="H5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2" t="str">
        <f t="shared" ca="1" si="7"/>
        <v>Sí</v>
      </c>
      <c r="J5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2" s="32">
        <f ca="1">IF(Tabla2[[#This Row],[¿cliente deuda abierta?]]="Sí", Tabla2[[#This Row],[Deuda actual]]*Tabla2[[#This Row],[diferencia de días]], "0")</f>
        <v>1023.65</v>
      </c>
      <c r="L5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2">
        <f t="shared" ca="1" si="8"/>
        <v>2077.9499999999998</v>
      </c>
      <c r="P52">
        <f t="shared" ca="1" si="9"/>
        <v>123421.55</v>
      </c>
      <c r="Q52">
        <f t="shared" ca="1" si="10"/>
        <v>4</v>
      </c>
      <c r="R52">
        <f ca="1">((Tabla2[[#This Row],[Fantasma Comunicación]]+1)/(Tabla2[[#This Row],[Fantasma Comunicación]]+RANDBETWEEN(0,5)+2))-0.5</f>
        <v>0.2142857142857143</v>
      </c>
      <c r="S52" s="51">
        <f ca="1">1+MAX(0,Tabla2[[#This Row],[Deuda actual]]/Tabla2[[#This Row],[Liquidez]]+Tabla2[[#This Row],[Liquidez]]/(Tabla2[[#This Row],[Activos]]+Tabla2[[#This Row],[Liquidez]])+Tabla2[[#This Row],[Comunicación]])</f>
        <v>1.7234680936218554</v>
      </c>
      <c r="T52">
        <f ca="1">Tabla2[[#This Row],[Deuda actual]]*EXP(Tabla2[[#This Row],[Ki]]*Tabla2[[#This Row],[diferencia de días]])*(1+Tabla2[[#This Row],[Hg]])</f>
        <v>1075.0474879980834</v>
      </c>
    </row>
    <row r="53" spans="1:20" ht="14.5" x14ac:dyDescent="0.35">
      <c r="A53" t="e">
        <f t="shared" si="0"/>
        <v>#VALUE!</v>
      </c>
      <c r="B53" s="21">
        <f t="shared" ca="1" si="1"/>
        <v>46117</v>
      </c>
      <c r="C53" s="21">
        <f t="shared" ca="1" si="2"/>
        <v>46157</v>
      </c>
      <c r="D53">
        <f t="shared" ca="1" si="3"/>
        <v>2</v>
      </c>
      <c r="E53">
        <f t="shared" ca="1" si="4"/>
        <v>0.98813834859758165</v>
      </c>
      <c r="F53" s="47">
        <f t="shared" ca="1" si="5"/>
        <v>287.76</v>
      </c>
      <c r="G53" s="32" t="str">
        <f t="shared" ca="1" si="6"/>
        <v>hipotecario</v>
      </c>
      <c r="H5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3" t="str">
        <f t="shared" ca="1" si="7"/>
        <v>Sí</v>
      </c>
      <c r="J5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3" s="32">
        <f ca="1">IF(Tabla2[[#This Row],[¿cliente deuda abierta?]]="Sí", Tabla2[[#This Row],[Deuda actual]]*Tabla2[[#This Row],[diferencia de días]], "0")</f>
        <v>575.52</v>
      </c>
      <c r="L5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3">
        <f t="shared" ca="1" si="8"/>
        <v>1368.79</v>
      </c>
      <c r="P53">
        <f t="shared" ca="1" si="9"/>
        <v>253716.08</v>
      </c>
      <c r="Q53">
        <f t="shared" ca="1" si="10"/>
        <v>1</v>
      </c>
      <c r="R53">
        <f ca="1">((Tabla2[[#This Row],[Fantasma Comunicación]]+1)/(Tabla2[[#This Row],[Fantasma Comunicación]]+RANDBETWEEN(0,5)+2))-0.5</f>
        <v>0.16666666666666663</v>
      </c>
      <c r="S53" s="51">
        <f ca="1">1+MAX(0,Tabla2[[#This Row],[Deuda actual]]/Tabla2[[#This Row],[Liquidez]]+Tabla2[[#This Row],[Liquidez]]/(Tabla2[[#This Row],[Activos]]+Tabla2[[#This Row],[Liquidez]])+Tabla2[[#This Row],[Comunicación]])</f>
        <v>1.3822621573971927</v>
      </c>
      <c r="T53">
        <f ca="1">Tabla2[[#This Row],[Deuda actual]]*EXP(Tabla2[[#This Row],[Ki]]*Tabla2[[#This Row],[diferencia de días]])*(1+Tabla2[[#This Row],[Hg]])</f>
        <v>302.26888337506324</v>
      </c>
    </row>
    <row r="54" spans="1:20" ht="14.5" x14ac:dyDescent="0.35">
      <c r="A54" t="e">
        <f t="shared" si="0"/>
        <v>#VALUE!</v>
      </c>
      <c r="B54" s="21">
        <f t="shared" ca="1" si="1"/>
        <v>46101</v>
      </c>
      <c r="C54" s="21">
        <f t="shared" ca="1" si="2"/>
        <v>46157</v>
      </c>
      <c r="D54">
        <f t="shared" ca="1" si="3"/>
        <v>19</v>
      </c>
      <c r="E54">
        <f t="shared" ca="1" si="4"/>
        <v>0.47729572366186512</v>
      </c>
      <c r="F54" s="47">
        <f t="shared" ca="1" si="5"/>
        <v>54.9</v>
      </c>
      <c r="G54" s="32" t="str">
        <f t="shared" ca="1" si="6"/>
        <v>personal</v>
      </c>
      <c r="H5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54" t="str">
        <f t="shared" ca="1" si="7"/>
        <v>Sí</v>
      </c>
      <c r="J5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4" s="32">
        <f ca="1">IF(Tabla2[[#This Row],[¿cliente deuda abierta?]]="Sí", Tabla2[[#This Row],[Deuda actual]]*Tabla2[[#This Row],[diferencia de días]], "0")</f>
        <v>1043.0999999999999</v>
      </c>
      <c r="L5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4">
        <f t="shared" ca="1" si="8"/>
        <v>1397.03</v>
      </c>
      <c r="P54">
        <f t="shared" ca="1" si="9"/>
        <v>85046.14</v>
      </c>
      <c r="Q54">
        <f t="shared" ca="1" si="10"/>
        <v>3</v>
      </c>
      <c r="R54">
        <f ca="1">((Tabla2[[#This Row],[Fantasma Comunicación]]+1)/(Tabla2[[#This Row],[Fantasma Comunicación]]+RANDBETWEEN(0,5)+2))-0.5</f>
        <v>0.16666666666666663</v>
      </c>
      <c r="S54" s="51">
        <f ca="1">1+MAX(0,Tabla2[[#This Row],[Deuda actual]]/Tabla2[[#This Row],[Liquidez]]+Tabla2[[#This Row],[Liquidez]]/(Tabla2[[#This Row],[Activos]]+Tabla2[[#This Row],[Liquidez]])+Tabla2[[#This Row],[Comunicación]])</f>
        <v>1.2221255732329634</v>
      </c>
      <c r="T54">
        <f ca="1">Tabla2[[#This Row],[Deuda actual]]*EXP(Tabla2[[#This Row],[Ki]]*Tabla2[[#This Row],[diferencia de días]])*(1+Tabla2[[#This Row],[Hg]])</f>
        <v>58.084771013087298</v>
      </c>
    </row>
    <row r="55" spans="1:20" ht="14.5" x14ac:dyDescent="0.35">
      <c r="A55" t="e">
        <f t="shared" si="0"/>
        <v>#VALUE!</v>
      </c>
      <c r="B55" s="21">
        <f t="shared" ca="1" si="1"/>
        <v>46130</v>
      </c>
      <c r="C55" s="21">
        <f t="shared" ca="1" si="2"/>
        <v>46157</v>
      </c>
      <c r="D55">
        <f t="shared" ca="1" si="3"/>
        <v>4</v>
      </c>
      <c r="E55">
        <f t="shared" ca="1" si="4"/>
        <v>8.0048242813212434E-2</v>
      </c>
      <c r="F55" s="47">
        <f t="shared" ca="1" si="5"/>
        <v>338.3</v>
      </c>
      <c r="G55" s="32" t="str">
        <f t="shared" ca="1" si="6"/>
        <v>personal</v>
      </c>
      <c r="H5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5" t="str">
        <f t="shared" ca="1" si="7"/>
        <v>Sí</v>
      </c>
      <c r="J5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5" s="32">
        <f ca="1">IF(Tabla2[[#This Row],[¿cliente deuda abierta?]]="Sí", Tabla2[[#This Row],[Deuda actual]]*Tabla2[[#This Row],[diferencia de días]], "0")</f>
        <v>1353.2</v>
      </c>
      <c r="L5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5">
        <f t="shared" ca="1" si="8"/>
        <v>1416.31</v>
      </c>
      <c r="P55">
        <f t="shared" ca="1" si="9"/>
        <v>377239.94</v>
      </c>
      <c r="Q55">
        <f t="shared" ca="1" si="10"/>
        <v>0</v>
      </c>
      <c r="R55">
        <f ca="1">((Tabla2[[#This Row],[Fantasma Comunicación]]+1)/(Tabla2[[#This Row],[Fantasma Comunicación]]+RANDBETWEEN(0,5)+2))-0.5</f>
        <v>-0.33333333333333337</v>
      </c>
      <c r="S55" s="51">
        <f ca="1">1+MAX(0,Tabla2[[#This Row],[Deuda actual]]/Tabla2[[#This Row],[Liquidez]]+Tabla2[[#This Row],[Liquidez]]/(Tabla2[[#This Row],[Activos]]+Tabla2[[#This Row],[Liquidez]])+Tabla2[[#This Row],[Comunicación]])</f>
        <v>1</v>
      </c>
      <c r="T55">
        <f ca="1">Tabla2[[#This Row],[Deuda actual]]*EXP(Tabla2[[#This Row],[Ki]]*Tabla2[[#This Row],[diferencia de días]])*(1+Tabla2[[#This Row],[Hg]])</f>
        <v>355.49928569911771</v>
      </c>
    </row>
    <row r="56" spans="1:20" ht="14.5" x14ac:dyDescent="0.35">
      <c r="A56" t="e">
        <f t="shared" si="0"/>
        <v>#VALUE!</v>
      </c>
      <c r="B56" s="21">
        <f t="shared" ca="1" si="1"/>
        <v>46139</v>
      </c>
      <c r="C56" s="21">
        <f t="shared" ca="1" si="2"/>
        <v>46157</v>
      </c>
      <c r="D56">
        <f t="shared" ca="1" si="3"/>
        <v>73</v>
      </c>
      <c r="E56">
        <f t="shared" ca="1" si="4"/>
        <v>0.26357946138123045</v>
      </c>
      <c r="F56" s="47">
        <f t="shared" ca="1" si="5"/>
        <v>1184.69</v>
      </c>
      <c r="G56" s="32" t="str">
        <f t="shared" ca="1" si="6"/>
        <v>hipotecario</v>
      </c>
      <c r="H5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56" t="str">
        <f t="shared" ca="1" si="7"/>
        <v>No</v>
      </c>
      <c r="J5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164999.89558001689</v>
      </c>
      <c r="K56" s="32" t="str">
        <f ca="1">IF(Tabla2[[#This Row],[¿cliente deuda abierta?]]="Sí", Tabla2[[#This Row],[Deuda actual]]*Tabla2[[#This Row],[diferencia de días]], "0")</f>
        <v>0</v>
      </c>
      <c r="L5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5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56">
        <f t="shared" ca="1" si="8"/>
        <v>1335.37</v>
      </c>
      <c r="P56">
        <f t="shared" ca="1" si="9"/>
        <v>99966.82</v>
      </c>
      <c r="Q56">
        <f t="shared" ca="1" si="10"/>
        <v>4</v>
      </c>
      <c r="R56">
        <f ca="1">((Tabla2[[#This Row],[Fantasma Comunicación]]+1)/(Tabla2[[#This Row],[Fantasma Comunicación]]+RANDBETWEEN(0,5)+2))-0.5</f>
        <v>0.125</v>
      </c>
      <c r="S56" s="51">
        <f ca="1">1+MAX(0,Tabla2[[#This Row],[Deuda actual]]/Tabla2[[#This Row],[Liquidez]]+Tabla2[[#This Row],[Liquidez]]/(Tabla2[[#This Row],[Activos]]+Tabla2[[#This Row],[Liquidez]])+Tabla2[[#This Row],[Comunicación]])</f>
        <v>2.0253444042275781</v>
      </c>
      <c r="T56">
        <f ca="1">Tabla2[[#This Row],[Deuda actual]]*EXP(Tabla2[[#This Row],[Ki]]*Tabla2[[#This Row],[diferencia de días]])*(1+Tabla2[[#This Row],[Hg]])</f>
        <v>1019.5257678219841</v>
      </c>
    </row>
    <row r="57" spans="1:20" ht="14.5" x14ac:dyDescent="0.35">
      <c r="A57" t="e">
        <f t="shared" si="0"/>
        <v>#VALUE!</v>
      </c>
      <c r="B57" s="21">
        <f t="shared" ca="1" si="1"/>
        <v>46102</v>
      </c>
      <c r="C57" s="21">
        <f t="shared" ca="1" si="2"/>
        <v>46157</v>
      </c>
      <c r="D57">
        <f t="shared" ca="1" si="3"/>
        <v>2</v>
      </c>
      <c r="E57">
        <f t="shared" ca="1" si="4"/>
        <v>1.9452377579281643E-2</v>
      </c>
      <c r="F57" s="47">
        <f t="shared" ca="1" si="5"/>
        <v>2922.31</v>
      </c>
      <c r="G57" s="32" t="str">
        <f t="shared" ca="1" si="6"/>
        <v>hipotecario</v>
      </c>
      <c r="H5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7" t="str">
        <f t="shared" ca="1" si="7"/>
        <v>No</v>
      </c>
      <c r="J5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164999.13354737737</v>
      </c>
      <c r="K57" s="32" t="str">
        <f ca="1">IF(Tabla2[[#This Row],[¿cliente deuda abierta?]]="Sí", Tabla2[[#This Row],[Deuda actual]]*Tabla2[[#This Row],[diferencia de días]], "0")</f>
        <v>0</v>
      </c>
      <c r="L5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5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57">
        <f t="shared" ca="1" si="8"/>
        <v>1572.74</v>
      </c>
      <c r="P57">
        <f t="shared" ca="1" si="9"/>
        <v>43085.52</v>
      </c>
      <c r="Q57">
        <f t="shared" ca="1" si="10"/>
        <v>3</v>
      </c>
      <c r="R57">
        <f ca="1">((Tabla2[[#This Row],[Fantasma Comunicación]]+1)/(Tabla2[[#This Row],[Fantasma Comunicación]]+RANDBETWEEN(0,5)+2))-0.5</f>
        <v>-9.9999999999999978E-2</v>
      </c>
      <c r="S57" s="51">
        <f ca="1">1+MAX(0,Tabla2[[#This Row],[Deuda actual]]/Tabla2[[#This Row],[Liquidez]]+Tabla2[[#This Row],[Liquidez]]/(Tabla2[[#This Row],[Activos]]+Tabla2[[#This Row],[Liquidez]])+Tabla2[[#This Row],[Comunicación]])</f>
        <v>2.7933183735264953</v>
      </c>
      <c r="T57">
        <f ca="1">Tabla2[[#This Row],[Deuda actual]]*EXP(Tabla2[[#This Row],[Ki]]*Tabla2[[#This Row],[diferencia de días]])*(1+Tabla2[[#This Row],[Hg]])</f>
        <v>2338.7833262527797</v>
      </c>
    </row>
    <row r="58" spans="1:20" ht="14.5" x14ac:dyDescent="0.35">
      <c r="A58" t="e">
        <f t="shared" si="0"/>
        <v>#VALUE!</v>
      </c>
      <c r="B58" s="21">
        <f t="shared" ca="1" si="1"/>
        <v>46099</v>
      </c>
      <c r="C58" s="21">
        <f t="shared" ca="1" si="2"/>
        <v>46157</v>
      </c>
      <c r="D58">
        <f t="shared" ca="1" si="3"/>
        <v>42</v>
      </c>
      <c r="E58">
        <f t="shared" ca="1" si="4"/>
        <v>7.4318150588073006E-3</v>
      </c>
      <c r="F58" s="47">
        <f t="shared" ca="1" si="5"/>
        <v>60.23</v>
      </c>
      <c r="G58" s="32" t="str">
        <f t="shared" ca="1" si="6"/>
        <v>personal</v>
      </c>
      <c r="H5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58" t="str">
        <f t="shared" ca="1" si="7"/>
        <v>Sí</v>
      </c>
      <c r="J5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8" s="32">
        <f ca="1">IF(Tabla2[[#This Row],[¿cliente deuda abierta?]]="Sí", Tabla2[[#This Row],[Deuda actual]]*Tabla2[[#This Row],[diferencia de días]], "0")</f>
        <v>2529.66</v>
      </c>
      <c r="L5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8">
        <f t="shared" ca="1" si="8"/>
        <v>1776.15</v>
      </c>
      <c r="P58">
        <f t="shared" ca="1" si="9"/>
        <v>293813.31</v>
      </c>
      <c r="Q58">
        <f t="shared" ca="1" si="10"/>
        <v>3</v>
      </c>
      <c r="R58">
        <f ca="1">((Tabla2[[#This Row],[Fantasma Comunicación]]+1)/(Tabla2[[#This Row],[Fantasma Comunicación]]+RANDBETWEEN(0,5)+2))-0.5</f>
        <v>0.30000000000000004</v>
      </c>
      <c r="S58" s="51">
        <f ca="1">1+MAX(0,Tabla2[[#This Row],[Deuda actual]]/Tabla2[[#This Row],[Liquidez]]+Tabla2[[#This Row],[Liquidez]]/(Tabla2[[#This Row],[Activos]]+Tabla2[[#This Row],[Liquidez]])+Tabla2[[#This Row],[Comunicación]])</f>
        <v>1.339919265007498</v>
      </c>
      <c r="T58">
        <f ca="1">Tabla2[[#This Row],[Deuda actual]]*EXP(Tabla2[[#This Row],[Ki]]*Tabla2[[#This Row],[diferencia de días]])*(1+Tabla2[[#This Row],[Hg]])</f>
        <v>65.954211177916392</v>
      </c>
    </row>
    <row r="59" spans="1:20" ht="14.5" x14ac:dyDescent="0.35">
      <c r="A59" t="e">
        <f t="shared" si="0"/>
        <v>#VALUE!</v>
      </c>
      <c r="B59" s="21">
        <f t="shared" ca="1" si="1"/>
        <v>46115</v>
      </c>
      <c r="C59" s="21">
        <f t="shared" ca="1" si="2"/>
        <v>46157</v>
      </c>
      <c r="D59">
        <f t="shared" ca="1" si="3"/>
        <v>17</v>
      </c>
      <c r="E59">
        <f t="shared" ca="1" si="4"/>
        <v>0.75645523370364853</v>
      </c>
      <c r="F59" s="47">
        <f t="shared" ca="1" si="5"/>
        <v>104.7</v>
      </c>
      <c r="G59" s="32" t="str">
        <f t="shared" ca="1" si="6"/>
        <v>hipotecario</v>
      </c>
      <c r="H5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59" t="str">
        <f t="shared" ca="1" si="7"/>
        <v>Sí</v>
      </c>
      <c r="J5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9" s="32">
        <f ca="1">IF(Tabla2[[#This Row],[¿cliente deuda abierta?]]="Sí", Tabla2[[#This Row],[Deuda actual]]*Tabla2[[#This Row],[diferencia de días]], "0")</f>
        <v>1779.9</v>
      </c>
      <c r="L5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9">
        <f t="shared" ca="1" si="8"/>
        <v>2593.66</v>
      </c>
      <c r="P59">
        <f t="shared" ca="1" si="9"/>
        <v>46035.91</v>
      </c>
      <c r="Q59">
        <f t="shared" ca="1" si="10"/>
        <v>4</v>
      </c>
      <c r="R59">
        <f ca="1">((Tabla2[[#This Row],[Fantasma Comunicación]]+1)/(Tabla2[[#This Row],[Fantasma Comunicación]]+RANDBETWEEN(0,5)+2))-0.5</f>
        <v>0.33333333333333337</v>
      </c>
      <c r="S59" s="51">
        <f ca="1">1+MAX(0,Tabla2[[#This Row],[Deuda actual]]/Tabla2[[#This Row],[Liquidez]]+Tabla2[[#This Row],[Liquidez]]/(Tabla2[[#This Row],[Activos]]+Tabla2[[#This Row],[Liquidez]])+Tabla2[[#This Row],[Comunicación]])</f>
        <v>1.4270360378458291</v>
      </c>
      <c r="T59">
        <f ca="1">Tabla2[[#This Row],[Deuda actual]]*EXP(Tabla2[[#This Row],[Ki]]*Tabla2[[#This Row],[diferencia de días]])*(1+Tabla2[[#This Row],[Hg]])</f>
        <v>110.68510546818767</v>
      </c>
    </row>
    <row r="60" spans="1:20" ht="14.5" x14ac:dyDescent="0.35">
      <c r="A60" t="e">
        <f t="shared" si="0"/>
        <v>#VALUE!</v>
      </c>
      <c r="B60" s="21">
        <f t="shared" ca="1" si="1"/>
        <v>46101</v>
      </c>
      <c r="C60" s="21">
        <f t="shared" ca="1" si="2"/>
        <v>46157</v>
      </c>
      <c r="D60">
        <f t="shared" ca="1" si="3"/>
        <v>67</v>
      </c>
      <c r="E60">
        <f t="shared" ca="1" si="4"/>
        <v>0.84772542109079985</v>
      </c>
      <c r="F60" s="47">
        <f t="shared" ca="1" si="5"/>
        <v>9142.7900000000009</v>
      </c>
      <c r="G60" s="32" t="str">
        <f t="shared" ca="1" si="6"/>
        <v>personal</v>
      </c>
      <c r="H6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60" t="str">
        <f t="shared" ca="1" si="7"/>
        <v>No</v>
      </c>
      <c r="J6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11999.300340621538</v>
      </c>
      <c r="K60" s="32" t="str">
        <f ca="1">IF(Tabla2[[#This Row],[¿cliente deuda abierta?]]="Sí", Tabla2[[#This Row],[Deuda actual]]*Tabla2[[#This Row],[diferencia de días]], "0")</f>
        <v>0</v>
      </c>
      <c r="L6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6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60">
        <f t="shared" ca="1" si="8"/>
        <v>1430.77</v>
      </c>
      <c r="P60">
        <f t="shared" ca="1" si="9"/>
        <v>20371.919999999998</v>
      </c>
      <c r="Q60">
        <f t="shared" ca="1" si="10"/>
        <v>4</v>
      </c>
      <c r="R60">
        <f ca="1">((Tabla2[[#This Row],[Fantasma Comunicación]]+1)/(Tabla2[[#This Row],[Fantasma Comunicación]]+RANDBETWEEN(0,5)+2))-0.5</f>
        <v>0.125</v>
      </c>
      <c r="S60" s="51">
        <f ca="1">1+MAX(0,Tabla2[[#This Row],[Deuda actual]]/Tabla2[[#This Row],[Liquidez]]+Tabla2[[#This Row],[Liquidez]]/(Tabla2[[#This Row],[Activos]]+Tabla2[[#This Row],[Liquidez]])+Tabla2[[#This Row],[Comunicación]])</f>
        <v>7.5807421612539541</v>
      </c>
      <c r="T60">
        <f ca="1">Tabla2[[#This Row],[Deuda actual]]*EXP(Tabla2[[#This Row],[Ki]]*Tabla2[[#This Row],[diferencia de días]])*(1+Tabla2[[#This Row],[Hg]])</f>
        <v>8798.7096044099599</v>
      </c>
    </row>
    <row r="61" spans="1:20" ht="14.5" x14ac:dyDescent="0.35">
      <c r="A61" t="e">
        <f t="shared" si="0"/>
        <v>#VALUE!</v>
      </c>
      <c r="B61" s="21">
        <f t="shared" ca="1" si="1"/>
        <v>46118</v>
      </c>
      <c r="C61" s="21">
        <f t="shared" ca="1" si="2"/>
        <v>46157</v>
      </c>
      <c r="D61">
        <f t="shared" ca="1" si="3"/>
        <v>4</v>
      </c>
      <c r="E61">
        <f t="shared" ca="1" si="4"/>
        <v>0.90288172773503239</v>
      </c>
      <c r="F61" s="47">
        <f t="shared" ca="1" si="5"/>
        <v>1926</v>
      </c>
      <c r="G61" s="32" t="str">
        <f t="shared" ca="1" si="6"/>
        <v>hipotecario</v>
      </c>
      <c r="H6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1" t="str">
        <f t="shared" ca="1" si="7"/>
        <v>Sí</v>
      </c>
      <c r="J6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1" s="32">
        <f ca="1">IF(Tabla2[[#This Row],[¿cliente deuda abierta?]]="Sí", Tabla2[[#This Row],[Deuda actual]]*Tabla2[[#This Row],[diferencia de días]], "0")</f>
        <v>7704</v>
      </c>
      <c r="L6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1">
        <f t="shared" ca="1" si="8"/>
        <v>2346.06</v>
      </c>
      <c r="P61">
        <f t="shared" ca="1" si="9"/>
        <v>88138.63</v>
      </c>
      <c r="Q61">
        <f t="shared" ca="1" si="10"/>
        <v>3</v>
      </c>
      <c r="R61">
        <f ca="1">((Tabla2[[#This Row],[Fantasma Comunicación]]+1)/(Tabla2[[#This Row],[Fantasma Comunicación]]+RANDBETWEEN(0,5)+2))-0.5</f>
        <v>0.16666666666666663</v>
      </c>
      <c r="S61" s="51">
        <f ca="1">1+MAX(0,Tabla2[[#This Row],[Deuda actual]]/Tabla2[[#This Row],[Liquidez]]+Tabla2[[#This Row],[Liquidez]]/(Tabla2[[#This Row],[Activos]]+Tabla2[[#This Row],[Liquidez]])+Tabla2[[#This Row],[Comunicación]])</f>
        <v>2.0135452386276604</v>
      </c>
      <c r="T61">
        <f ca="1">Tabla2[[#This Row],[Deuda actual]]*EXP(Tabla2[[#This Row],[Ki]]*Tabla2[[#This Row],[diferencia de días]])*(1+Tabla2[[#This Row],[Hg]])</f>
        <v>2023.9184873086042</v>
      </c>
    </row>
    <row r="62" spans="1:20" ht="14.5" x14ac:dyDescent="0.35">
      <c r="A62" t="e">
        <f t="shared" si="0"/>
        <v>#VALUE!</v>
      </c>
      <c r="B62" s="21">
        <f t="shared" ca="1" si="1"/>
        <v>46104</v>
      </c>
      <c r="C62" s="21">
        <f t="shared" ca="1" si="2"/>
        <v>46157</v>
      </c>
      <c r="D62">
        <f t="shared" ca="1" si="3"/>
        <v>2</v>
      </c>
      <c r="E62">
        <f t="shared" ca="1" si="4"/>
        <v>0.3920721694687741</v>
      </c>
      <c r="F62" s="47">
        <f t="shared" ca="1" si="5"/>
        <v>1463.58</v>
      </c>
      <c r="G62" s="32" t="str">
        <f t="shared" ca="1" si="6"/>
        <v>personal</v>
      </c>
      <c r="H6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2" t="str">
        <f t="shared" ca="1" si="7"/>
        <v>No</v>
      </c>
      <c r="J6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11998.772707641972</v>
      </c>
      <c r="K62" s="32" t="str">
        <f ca="1">IF(Tabla2[[#This Row],[¿cliente deuda abierta?]]="Sí", Tabla2[[#This Row],[Deuda actual]]*Tabla2[[#This Row],[diferencia de días]], "0")</f>
        <v>0</v>
      </c>
      <c r="L6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6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62">
        <f t="shared" ca="1" si="8"/>
        <v>1656.61</v>
      </c>
      <c r="P62">
        <f t="shared" ca="1" si="9"/>
        <v>174650.34</v>
      </c>
      <c r="Q62">
        <f t="shared" ca="1" si="10"/>
        <v>0</v>
      </c>
      <c r="R62">
        <f ca="1">((Tabla2[[#This Row],[Fantasma Comunicación]]+1)/(Tabla2[[#This Row],[Fantasma Comunicación]]+RANDBETWEEN(0,5)+2))-0.5</f>
        <v>0</v>
      </c>
      <c r="S62" s="51">
        <f ca="1">1+MAX(0,Tabla2[[#This Row],[Deuda actual]]/Tabla2[[#This Row],[Liquidez]]+Tabla2[[#This Row],[Liquidez]]/(Tabla2[[#This Row],[Activos]]+Tabla2[[#This Row],[Liquidez]])+Tabla2[[#This Row],[Comunicación]])</f>
        <v>1.8928750813316344</v>
      </c>
      <c r="T62">
        <f ca="1">Tabla2[[#This Row],[Deuda actual]]*EXP(Tabla2[[#This Row],[Ki]]*Tabla2[[#This Row],[diferencia de días]])*(1+Tabla2[[#This Row],[Hg]])</f>
        <v>1317.7489941918118</v>
      </c>
    </row>
    <row r="63" spans="1:20" ht="14.5" x14ac:dyDescent="0.35">
      <c r="A63" t="e">
        <f t="shared" si="0"/>
        <v>#VALUE!</v>
      </c>
      <c r="B63" s="21">
        <f t="shared" ca="1" si="1"/>
        <v>46125</v>
      </c>
      <c r="C63" s="21">
        <f t="shared" ca="1" si="2"/>
        <v>46157</v>
      </c>
      <c r="D63">
        <f t="shared" ca="1" si="3"/>
        <v>38</v>
      </c>
      <c r="E63">
        <f t="shared" ca="1" si="4"/>
        <v>0.489844845659414</v>
      </c>
      <c r="F63" s="47">
        <f t="shared" ca="1" si="5"/>
        <v>1759.08</v>
      </c>
      <c r="G63" s="32" t="str">
        <f t="shared" ca="1" si="6"/>
        <v>hipotecario</v>
      </c>
      <c r="H6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63" t="str">
        <f t="shared" ca="1" si="7"/>
        <v>Sí</v>
      </c>
      <c r="J6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3" s="32">
        <f ca="1">IF(Tabla2[[#This Row],[¿cliente deuda abierta?]]="Sí", Tabla2[[#This Row],[Deuda actual]]*Tabla2[[#This Row],[diferencia de días]], "0")</f>
        <v>66845.039999999994</v>
      </c>
      <c r="L6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6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3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63">
        <f t="shared" ca="1" si="8"/>
        <v>1548.68</v>
      </c>
      <c r="P63">
        <f t="shared" ca="1" si="9"/>
        <v>189204.19</v>
      </c>
      <c r="Q63">
        <f t="shared" ca="1" si="10"/>
        <v>4</v>
      </c>
      <c r="R63">
        <f ca="1">((Tabla2[[#This Row],[Fantasma Comunicación]]+1)/(Tabla2[[#This Row],[Fantasma Comunicación]]+RANDBETWEEN(0,5)+2))-0.5</f>
        <v>0</v>
      </c>
      <c r="S63" s="51">
        <f ca="1">1+MAX(0,Tabla2[[#This Row],[Deuda actual]]/Tabla2[[#This Row],[Liquidez]]+Tabla2[[#This Row],[Liquidez]]/(Tabla2[[#This Row],[Activos]]+Tabla2[[#This Row],[Liquidez]])+Tabla2[[#This Row],[Comunicación]])</f>
        <v>2.1439764105261379</v>
      </c>
      <c r="T63">
        <f ca="1">Tabla2[[#This Row],[Deuda actual]]*EXP(Tabla2[[#This Row],[Ki]]*Tabla2[[#This Row],[diferencia de días]])*(1+Tabla2[[#This Row],[Hg]])</f>
        <v>2101.2930377016937</v>
      </c>
    </row>
    <row r="64" spans="1:20" ht="14.5" x14ac:dyDescent="0.35">
      <c r="A64" t="e">
        <f t="shared" si="0"/>
        <v>#VALUE!</v>
      </c>
      <c r="B64" s="21">
        <f t="shared" ca="1" si="1"/>
        <v>46123</v>
      </c>
      <c r="C64" s="21">
        <f t="shared" ca="1" si="2"/>
        <v>46157</v>
      </c>
      <c r="D64">
        <f t="shared" ca="1" si="3"/>
        <v>11</v>
      </c>
      <c r="E64">
        <f t="shared" ca="1" si="4"/>
        <v>0.45906981952030013</v>
      </c>
      <c r="F64" s="47">
        <f t="shared" ca="1" si="5"/>
        <v>5028.88</v>
      </c>
      <c r="G64" s="32" t="str">
        <f t="shared" ca="1" si="6"/>
        <v>hipotecario</v>
      </c>
      <c r="H6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4" t="str">
        <f t="shared" ca="1" si="7"/>
        <v>No</v>
      </c>
      <c r="J6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165000.80128604241</v>
      </c>
      <c r="K64" s="32" t="str">
        <f ca="1">IF(Tabla2[[#This Row],[¿cliente deuda abierta?]]="Sí", Tabla2[[#This Row],[Deuda actual]]*Tabla2[[#This Row],[diferencia de días]], "0")</f>
        <v>0</v>
      </c>
      <c r="L6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6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64">
        <f t="shared" ca="1" si="8"/>
        <v>2183.56</v>
      </c>
      <c r="P64">
        <f t="shared" ca="1" si="9"/>
        <v>75966.5</v>
      </c>
      <c r="Q64">
        <f t="shared" ca="1" si="10"/>
        <v>3</v>
      </c>
      <c r="R64">
        <f ca="1">((Tabla2[[#This Row],[Fantasma Comunicación]]+1)/(Tabla2[[#This Row],[Fantasma Comunicación]]+RANDBETWEEN(0,5)+2))-0.5</f>
        <v>0.16666666666666663</v>
      </c>
      <c r="S64" s="51">
        <f ca="1">1+MAX(0,Tabla2[[#This Row],[Deuda actual]]/Tabla2[[#This Row],[Liquidez]]+Tabla2[[#This Row],[Liquidez]]/(Tabla2[[#This Row],[Activos]]+Tabla2[[#This Row],[Liquidez]])+Tabla2[[#This Row],[Comunicación]])</f>
        <v>3.4976719922130406</v>
      </c>
      <c r="T64">
        <f ca="1">Tabla2[[#This Row],[Deuda actual]]*EXP(Tabla2[[#This Row],[Ki]]*Tabla2[[#This Row],[diferencia de días]])*(1+Tabla2[[#This Row],[Hg]])</f>
        <v>4031.964571855277</v>
      </c>
    </row>
    <row r="65" spans="1:20" ht="14.5" x14ac:dyDescent="0.35">
      <c r="A65" t="e">
        <f t="shared" si="0"/>
        <v>#VALUE!</v>
      </c>
      <c r="B65" s="21">
        <f t="shared" ca="1" si="1"/>
        <v>46101</v>
      </c>
      <c r="C65" s="21">
        <f t="shared" ca="1" si="2"/>
        <v>46157</v>
      </c>
      <c r="D65">
        <f t="shared" ca="1" si="3"/>
        <v>8</v>
      </c>
      <c r="E65">
        <f t="shared" ca="1" si="4"/>
        <v>0.6891323104348468</v>
      </c>
      <c r="F65" s="47">
        <f t="shared" ca="1" si="5"/>
        <v>691.35</v>
      </c>
      <c r="G65" s="32" t="str">
        <f t="shared" ca="1" si="6"/>
        <v>personal</v>
      </c>
      <c r="H6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5" t="str">
        <f t="shared" ca="1" si="7"/>
        <v>No</v>
      </c>
      <c r="J6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11998.197838072909</v>
      </c>
      <c r="K65" s="32" t="str">
        <f ca="1">IF(Tabla2[[#This Row],[¿cliente deuda abierta?]]="Sí", Tabla2[[#This Row],[Deuda actual]]*Tabla2[[#This Row],[diferencia de días]], "0")</f>
        <v>0</v>
      </c>
      <c r="L6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6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65">
        <f t="shared" ca="1" si="8"/>
        <v>1476.56</v>
      </c>
      <c r="P65">
        <f t="shared" ca="1" si="9"/>
        <v>181907.62</v>
      </c>
      <c r="Q65">
        <f t="shared" ca="1" si="10"/>
        <v>0</v>
      </c>
      <c r="R65">
        <f ca="1">((Tabla2[[#This Row],[Fantasma Comunicación]]+1)/(Tabla2[[#This Row],[Fantasma Comunicación]]+RANDBETWEEN(0,5)+2))-0.5</f>
        <v>-0.25</v>
      </c>
      <c r="S65" s="51">
        <f ca="1">1+MAX(0,Tabla2[[#This Row],[Deuda actual]]/Tabla2[[#This Row],[Liquidez]]+Tabla2[[#This Row],[Liquidez]]/(Tabla2[[#This Row],[Activos]]+Tabla2[[#This Row],[Liquidez]])+Tabla2[[#This Row],[Comunicación]])</f>
        <v>1.2262683962891681</v>
      </c>
      <c r="T65">
        <f ca="1">Tabla2[[#This Row],[Deuda actual]]*EXP(Tabla2[[#This Row],[Ki]]*Tabla2[[#This Row],[diferencia de días]])*(1+Tabla2[[#This Row],[Hg]])</f>
        <v>623.21134086013535</v>
      </c>
    </row>
    <row r="66" spans="1:20" ht="14.5" x14ac:dyDescent="0.35">
      <c r="A66" t="e">
        <f t="shared" ref="A66:A129" si="11">A65+1</f>
        <v>#VALUE!</v>
      </c>
      <c r="B66" s="21">
        <f t="shared" ref="B66:B129" ca="1" si="12">RANDBETWEEN(DATE(2026,3,1), DATE(2026,5,1))</f>
        <v>46105</v>
      </c>
      <c r="C66" s="21">
        <f t="shared" ref="C66:C129" ca="1" si="13">TODAY()</f>
        <v>46157</v>
      </c>
      <c r="D66">
        <f t="shared" ref="D66:D129" ca="1" si="14">ROUND((-(15) * LN(RAND())),0)</f>
        <v>24</v>
      </c>
      <c r="E66">
        <f t="shared" ref="E66:E129" ca="1" si="15">RAND()</f>
        <v>0.35666627974721654</v>
      </c>
      <c r="F66" s="47">
        <f t="shared" ref="F66:F129" ca="1" si="16">ROUND(MIN(10000, _xlfn.LOGNORM.INV(RAND(), 69/10, 13/10)),2)</f>
        <v>6358.47</v>
      </c>
      <c r="G66" s="32" t="str">
        <f t="shared" ref="G66:G129" ca="1" si="17">IF(RAND()&lt;=0.5,"personal","hipotecario")</f>
        <v>hipotecario</v>
      </c>
      <c r="H6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66" t="str">
        <f t="shared" ref="I66:I129" ca="1" si="18">IF(RAND()&lt;=0.65, "Sí", "No")</f>
        <v>No</v>
      </c>
      <c r="J6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164998.79689534445</v>
      </c>
      <c r="K66" s="32" t="str">
        <f ca="1">IF(Tabla2[[#This Row],[¿cliente deuda abierta?]]="Sí", Tabla2[[#This Row],[Deuda actual]]*Tabla2[[#This Row],[diferencia de días]], "0")</f>
        <v>0</v>
      </c>
      <c r="L6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6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66">
        <f t="shared" ref="O66:O129" ca="1" si="19">ROUND(1000*(_xlfn.LOGNORM.INV(RAND(), 0.5, 0.2)),2)</f>
        <v>2942.64</v>
      </c>
      <c r="P66">
        <f t="shared" ref="P66:P129" ca="1" si="20">ROUND(50000*(_xlfn.LOGNORM.INV(RAND(), 1, 0.75)),2)</f>
        <v>161529.99</v>
      </c>
      <c r="Q66">
        <f t="shared" ref="Q66:Q129" ca="1" si="21">RANDBETWEEN(0,5)</f>
        <v>2</v>
      </c>
      <c r="R66">
        <f ca="1">((Tabla2[[#This Row],[Fantasma Comunicación]]+1)/(Tabla2[[#This Row],[Fantasma Comunicación]]+RANDBETWEEN(0,5)+2))-0.5</f>
        <v>-0.16666666666666669</v>
      </c>
      <c r="S66" s="51">
        <f ca="1">1+MAX(0,Tabla2[[#This Row],[Deuda actual]]/Tabla2[[#This Row],[Liquidez]]+Tabla2[[#This Row],[Liquidez]]/(Tabla2[[#This Row],[Activos]]+Tabla2[[#This Row],[Liquidez]])+Tabla2[[#This Row],[Comunicación]])</f>
        <v>3.0120292828490132</v>
      </c>
      <c r="T66">
        <f ca="1">Tabla2[[#This Row],[Deuda actual]]*EXP(Tabla2[[#This Row],[Ki]]*Tabla2[[#This Row],[diferencia de días]])*(1+Tabla2[[#This Row],[Hg]])</f>
        <v>5135.8442001173653</v>
      </c>
    </row>
    <row r="67" spans="1:20" ht="14.5" x14ac:dyDescent="0.35">
      <c r="A67" t="e">
        <f t="shared" si="11"/>
        <v>#VALUE!</v>
      </c>
      <c r="B67" s="21">
        <f t="shared" ca="1" si="12"/>
        <v>46086</v>
      </c>
      <c r="C67" s="21">
        <f t="shared" ca="1" si="13"/>
        <v>46157</v>
      </c>
      <c r="D67">
        <f t="shared" ca="1" si="14"/>
        <v>35</v>
      </c>
      <c r="E67">
        <f t="shared" ca="1" si="15"/>
        <v>0.18597211172081474</v>
      </c>
      <c r="F67" s="47">
        <f t="shared" ca="1" si="16"/>
        <v>1415.38</v>
      </c>
      <c r="G67" s="32" t="str">
        <f t="shared" ca="1" si="17"/>
        <v>hipotecario</v>
      </c>
      <c r="H6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67" t="str">
        <f t="shared" ca="1" si="18"/>
        <v>Sí</v>
      </c>
      <c r="J6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7" s="32">
        <f ca="1">IF(Tabla2[[#This Row],[¿cliente deuda abierta?]]="Sí", Tabla2[[#This Row],[Deuda actual]]*Tabla2[[#This Row],[diferencia de días]], "0")</f>
        <v>49538.3</v>
      </c>
      <c r="L6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6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7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67">
        <f t="shared" ca="1" si="19"/>
        <v>1341.83</v>
      </c>
      <c r="P67">
        <f t="shared" ca="1" si="20"/>
        <v>125162.33</v>
      </c>
      <c r="Q67">
        <f t="shared" ca="1" si="21"/>
        <v>3</v>
      </c>
      <c r="R67">
        <f ca="1">((Tabla2[[#This Row],[Fantasma Comunicación]]+1)/(Tabla2[[#This Row],[Fantasma Comunicación]]+RANDBETWEEN(0,5)+2))-0.5</f>
        <v>-5.555555555555558E-2</v>
      </c>
      <c r="S67" s="51">
        <f ca="1">1+MAX(0,Tabla2[[#This Row],[Deuda actual]]/Tabla2[[#This Row],[Liquidez]]+Tabla2[[#This Row],[Liquidez]]/(Tabla2[[#This Row],[Activos]]+Tabla2[[#This Row],[Liquidez]])+Tabla2[[#This Row],[Comunicación]])</f>
        <v>2.0098646502725699</v>
      </c>
      <c r="T67">
        <f ca="1">Tabla2[[#This Row],[Deuda actual]]*EXP(Tabla2[[#This Row],[Ki]]*Tabla2[[#This Row],[diferencia de días]])*(1+Tabla2[[#This Row],[Hg]])</f>
        <v>1612.3749657848921</v>
      </c>
    </row>
    <row r="68" spans="1:20" ht="14.5" x14ac:dyDescent="0.35">
      <c r="A68" t="e">
        <f t="shared" si="11"/>
        <v>#VALUE!</v>
      </c>
      <c r="B68" s="21">
        <f t="shared" ca="1" si="12"/>
        <v>46138</v>
      </c>
      <c r="C68" s="21">
        <f t="shared" ca="1" si="13"/>
        <v>46157</v>
      </c>
      <c r="D68">
        <f t="shared" ca="1" si="14"/>
        <v>13</v>
      </c>
      <c r="E68">
        <f t="shared" ca="1" si="15"/>
        <v>0.63304581072196475</v>
      </c>
      <c r="F68" s="47">
        <f t="shared" ca="1" si="16"/>
        <v>895.35</v>
      </c>
      <c r="G68" s="32" t="str">
        <f t="shared" ca="1" si="17"/>
        <v>hipotecario</v>
      </c>
      <c r="H6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8" t="str">
        <f t="shared" ca="1" si="18"/>
        <v>No</v>
      </c>
      <c r="J6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165000.11046068367</v>
      </c>
      <c r="K68" s="32" t="str">
        <f ca="1">IF(Tabla2[[#This Row],[¿cliente deuda abierta?]]="Sí", Tabla2[[#This Row],[Deuda actual]]*Tabla2[[#This Row],[diferencia de días]], "0")</f>
        <v>0</v>
      </c>
      <c r="L6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6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68">
        <f t="shared" ca="1" si="19"/>
        <v>1870.31</v>
      </c>
      <c r="P68">
        <f t="shared" ca="1" si="20"/>
        <v>265398.78999999998</v>
      </c>
      <c r="Q68">
        <f t="shared" ca="1" si="21"/>
        <v>1</v>
      </c>
      <c r="R68">
        <f ca="1">((Tabla2[[#This Row],[Fantasma Comunicación]]+1)/(Tabla2[[#This Row],[Fantasma Comunicación]]+RANDBETWEEN(0,5)+2))-0.5</f>
        <v>0</v>
      </c>
      <c r="S68" s="51">
        <f ca="1">1+MAX(0,Tabla2[[#This Row],[Deuda actual]]/Tabla2[[#This Row],[Liquidez]]+Tabla2[[#This Row],[Liquidez]]/(Tabla2[[#This Row],[Activos]]+Tabla2[[#This Row],[Liquidez]])+Tabla2[[#This Row],[Comunicación]])</f>
        <v>1.4857152853438531</v>
      </c>
      <c r="T68">
        <f ca="1">Tabla2[[#This Row],[Deuda actual]]*EXP(Tabla2[[#This Row],[Ki]]*Tabla2[[#This Row],[diferencia de días]])*(1+Tabla2[[#This Row],[Hg]])</f>
        <v>718.14475112598757</v>
      </c>
    </row>
    <row r="69" spans="1:20" ht="14.5" x14ac:dyDescent="0.35">
      <c r="A69" t="e">
        <f t="shared" si="11"/>
        <v>#VALUE!</v>
      </c>
      <c r="B69" s="21">
        <f t="shared" ca="1" si="12"/>
        <v>46109</v>
      </c>
      <c r="C69" s="21">
        <f t="shared" ca="1" si="13"/>
        <v>46157</v>
      </c>
      <c r="D69">
        <f t="shared" ca="1" si="14"/>
        <v>1</v>
      </c>
      <c r="E69">
        <f t="shared" ca="1" si="15"/>
        <v>0.61254781379517531</v>
      </c>
      <c r="F69" s="47">
        <f t="shared" ca="1" si="16"/>
        <v>932.3</v>
      </c>
      <c r="G69" s="32" t="str">
        <f t="shared" ca="1" si="17"/>
        <v>hipotecario</v>
      </c>
      <c r="H6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9" t="str">
        <f t="shared" ca="1" si="18"/>
        <v>Sí</v>
      </c>
      <c r="J6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9" s="32">
        <f ca="1">IF(Tabla2[[#This Row],[¿cliente deuda abierta?]]="Sí", Tabla2[[#This Row],[Deuda actual]]*Tabla2[[#This Row],[diferencia de días]], "0")</f>
        <v>932.3</v>
      </c>
      <c r="L6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9">
        <f t="shared" ca="1" si="19"/>
        <v>1666.46</v>
      </c>
      <c r="P69">
        <f t="shared" ca="1" si="20"/>
        <v>161431.32</v>
      </c>
      <c r="Q69">
        <f t="shared" ca="1" si="21"/>
        <v>4</v>
      </c>
      <c r="R69">
        <f ca="1">((Tabla2[[#This Row],[Fantasma Comunicación]]+1)/(Tabla2[[#This Row],[Fantasma Comunicación]]+RANDBETWEEN(0,5)+2))-0.5</f>
        <v>5.555555555555558E-2</v>
      </c>
      <c r="S69" s="51">
        <f ca="1">1+MAX(0,Tabla2[[#This Row],[Deuda actual]]/Tabla2[[#This Row],[Liquidez]]+Tabla2[[#This Row],[Liquidez]]/(Tabla2[[#This Row],[Activos]]+Tabla2[[#This Row],[Liquidez]])+Tabla2[[#This Row],[Comunicación]])</f>
        <v>1.625222478981909</v>
      </c>
      <c r="T69">
        <f ca="1">Tabla2[[#This Row],[Deuda actual]]*EXP(Tabla2[[#This Row],[Ki]]*Tabla2[[#This Row],[diferencia de días]])*(1+Tabla2[[#This Row],[Hg]])</f>
        <v>979.11080257960543</v>
      </c>
    </row>
    <row r="70" spans="1:20" ht="14.5" x14ac:dyDescent="0.35">
      <c r="A70" t="e">
        <f t="shared" si="11"/>
        <v>#VALUE!</v>
      </c>
      <c r="B70" s="21">
        <f t="shared" ca="1" si="12"/>
        <v>46120</v>
      </c>
      <c r="C70" s="21">
        <f t="shared" ca="1" si="13"/>
        <v>46157</v>
      </c>
      <c r="D70">
        <f t="shared" ca="1" si="14"/>
        <v>2</v>
      </c>
      <c r="E70">
        <f t="shared" ca="1" si="15"/>
        <v>0.53870510573886587</v>
      </c>
      <c r="F70" s="47">
        <f t="shared" ca="1" si="16"/>
        <v>1005.65</v>
      </c>
      <c r="G70" s="32" t="str">
        <f t="shared" ca="1" si="17"/>
        <v>hipotecario</v>
      </c>
      <c r="H7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0" t="str">
        <f t="shared" ca="1" si="18"/>
        <v>No</v>
      </c>
      <c r="J7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164999.39007413448</v>
      </c>
      <c r="K70" s="32" t="str">
        <f ca="1">IF(Tabla2[[#This Row],[¿cliente deuda abierta?]]="Sí", Tabla2[[#This Row],[Deuda actual]]*Tabla2[[#This Row],[diferencia de días]], "0")</f>
        <v>0</v>
      </c>
      <c r="L7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7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70">
        <f t="shared" ca="1" si="19"/>
        <v>1766.23</v>
      </c>
      <c r="P70">
        <f t="shared" ca="1" si="20"/>
        <v>269553.62</v>
      </c>
      <c r="Q70">
        <f t="shared" ca="1" si="21"/>
        <v>2</v>
      </c>
      <c r="R70">
        <f ca="1">((Tabla2[[#This Row],[Fantasma Comunicación]]+1)/(Tabla2[[#This Row],[Fantasma Comunicación]]+RANDBETWEEN(0,5)+2))-0.5</f>
        <v>9.9999999999999978E-2</v>
      </c>
      <c r="S70" s="51">
        <f ca="1">1+MAX(0,Tabla2[[#This Row],[Deuda actual]]/Tabla2[[#This Row],[Liquidez]]+Tabla2[[#This Row],[Liquidez]]/(Tabla2[[#This Row],[Activos]]+Tabla2[[#This Row],[Liquidez]])+Tabla2[[#This Row],[Comunicación]])</f>
        <v>1.6758863524225527</v>
      </c>
      <c r="T70">
        <f ca="1">Tabla2[[#This Row],[Deuda actual]]*EXP(Tabla2[[#This Row],[Ki]]*Tabla2[[#This Row],[diferencia de días]])*(1+Tabla2[[#This Row],[Hg]])</f>
        <v>804.8418723701825</v>
      </c>
    </row>
    <row r="71" spans="1:20" ht="14.5" x14ac:dyDescent="0.35">
      <c r="A71" t="e">
        <f t="shared" si="11"/>
        <v>#VALUE!</v>
      </c>
      <c r="B71" s="21">
        <f t="shared" ca="1" si="12"/>
        <v>46103</v>
      </c>
      <c r="C71" s="21">
        <f t="shared" ca="1" si="13"/>
        <v>46157</v>
      </c>
      <c r="D71">
        <f t="shared" ca="1" si="14"/>
        <v>5</v>
      </c>
      <c r="E71">
        <f t="shared" ca="1" si="15"/>
        <v>0.35237141363580338</v>
      </c>
      <c r="F71" s="47">
        <f t="shared" ca="1" si="16"/>
        <v>316.58</v>
      </c>
      <c r="G71" s="32" t="str">
        <f t="shared" ca="1" si="17"/>
        <v>hipotecario</v>
      </c>
      <c r="H7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1" t="str">
        <f t="shared" ca="1" si="18"/>
        <v>Sí</v>
      </c>
      <c r="J7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1" s="32">
        <f ca="1">IF(Tabla2[[#This Row],[¿cliente deuda abierta?]]="Sí", Tabla2[[#This Row],[Deuda actual]]*Tabla2[[#This Row],[diferencia de días]], "0")</f>
        <v>1582.8999999999999</v>
      </c>
      <c r="L7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1">
        <f t="shared" ca="1" si="19"/>
        <v>2161.5</v>
      </c>
      <c r="P71">
        <f t="shared" ca="1" si="20"/>
        <v>81500</v>
      </c>
      <c r="Q71">
        <f t="shared" ca="1" si="21"/>
        <v>2</v>
      </c>
      <c r="R71">
        <f ca="1">((Tabla2[[#This Row],[Fantasma Comunicación]]+1)/(Tabla2[[#This Row],[Fantasma Comunicación]]+RANDBETWEEN(0,5)+2))-0.5</f>
        <v>9.9999999999999978E-2</v>
      </c>
      <c r="S71" s="51">
        <f ca="1">1+MAX(0,Tabla2[[#This Row],[Deuda actual]]/Tabla2[[#This Row],[Liquidez]]+Tabla2[[#This Row],[Liquidez]]/(Tabla2[[#This Row],[Activos]]+Tabla2[[#This Row],[Liquidez]])+Tabla2[[#This Row],[Comunicación]])</f>
        <v>1.27229936114634</v>
      </c>
      <c r="T71">
        <f ca="1">Tabla2[[#This Row],[Deuda actual]]*EXP(Tabla2[[#This Row],[Ki]]*Tabla2[[#This Row],[diferencia de días]])*(1+Tabla2[[#This Row],[Hg]])</f>
        <v>332.74157525991535</v>
      </c>
    </row>
    <row r="72" spans="1:20" ht="14.5" x14ac:dyDescent="0.35">
      <c r="A72" t="e">
        <f t="shared" si="11"/>
        <v>#VALUE!</v>
      </c>
      <c r="B72" s="21">
        <f t="shared" ca="1" si="12"/>
        <v>46133</v>
      </c>
      <c r="C72" s="21">
        <f t="shared" ca="1" si="13"/>
        <v>46157</v>
      </c>
      <c r="D72">
        <f t="shared" ca="1" si="14"/>
        <v>0</v>
      </c>
      <c r="E72">
        <f t="shared" ca="1" si="15"/>
        <v>0.98735190307977083</v>
      </c>
      <c r="F72" s="47">
        <f t="shared" ca="1" si="16"/>
        <v>2782.63</v>
      </c>
      <c r="G72" s="32" t="str">
        <f t="shared" ca="1" si="17"/>
        <v>personal</v>
      </c>
      <c r="H7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2" t="str">
        <f t="shared" ca="1" si="18"/>
        <v>Sí</v>
      </c>
      <c r="J7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2" s="32">
        <f ca="1">IF(Tabla2[[#This Row],[¿cliente deuda abierta?]]="Sí", Tabla2[[#This Row],[Deuda actual]]*Tabla2[[#This Row],[diferencia de días]], "0")</f>
        <v>0</v>
      </c>
      <c r="L7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2" s="32">
        <f ca="1">MAX(Tabla2[[#This Row],[VALORES DE Hg para actuales deudores]:[Valores de HG para deudores cerrados]])*IF(Tabla2[[#This Row],[VALORES DE Hg para actuales deudores]]&gt;Tabla2[[#This Row],[Valores de HG para deudores cerrados]],-1,1)</f>
        <v>0</v>
      </c>
      <c r="O72">
        <f t="shared" ca="1" si="19"/>
        <v>1292.7</v>
      </c>
      <c r="P72">
        <f t="shared" ca="1" si="20"/>
        <v>318253.15999999997</v>
      </c>
      <c r="Q72">
        <f t="shared" ca="1" si="21"/>
        <v>3</v>
      </c>
      <c r="R72">
        <f ca="1">((Tabla2[[#This Row],[Fantasma Comunicación]]+1)/(Tabla2[[#This Row],[Fantasma Comunicación]]+RANDBETWEEN(0,5)+2))-0.5</f>
        <v>-9.9999999999999978E-2</v>
      </c>
      <c r="S72" s="51">
        <f ca="1">1+MAX(0,Tabla2[[#This Row],[Deuda actual]]/Tabla2[[#This Row],[Liquidez]]+Tabla2[[#This Row],[Liquidez]]/(Tabla2[[#This Row],[Activos]]+Tabla2[[#This Row],[Liquidez]])+Tabla2[[#This Row],[Comunicación]])</f>
        <v>3.0566175645615892</v>
      </c>
      <c r="T72">
        <f ca="1">Tabla2[[#This Row],[Deuda actual]]*EXP(Tabla2[[#This Row],[Ki]]*Tabla2[[#This Row],[diferencia de días]])*(1+Tabla2[[#This Row],[Hg]])</f>
        <v>2782.63</v>
      </c>
    </row>
    <row r="73" spans="1:20" ht="14.5" x14ac:dyDescent="0.35">
      <c r="A73" t="e">
        <f t="shared" si="11"/>
        <v>#VALUE!</v>
      </c>
      <c r="B73" s="21">
        <f t="shared" ca="1" si="12"/>
        <v>46140</v>
      </c>
      <c r="C73" s="21">
        <f t="shared" ca="1" si="13"/>
        <v>46157</v>
      </c>
      <c r="D73">
        <f t="shared" ca="1" si="14"/>
        <v>25</v>
      </c>
      <c r="E73">
        <f t="shared" ca="1" si="15"/>
        <v>0.6699216170224972</v>
      </c>
      <c r="F73" s="47">
        <f t="shared" ca="1" si="16"/>
        <v>318.64999999999998</v>
      </c>
      <c r="G73" s="32" t="str">
        <f t="shared" ca="1" si="17"/>
        <v>personal</v>
      </c>
      <c r="H7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73" t="str">
        <f t="shared" ca="1" si="18"/>
        <v>Sí</v>
      </c>
      <c r="J7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3" s="32">
        <f ca="1">IF(Tabla2[[#This Row],[¿cliente deuda abierta?]]="Sí", Tabla2[[#This Row],[Deuda actual]]*Tabla2[[#This Row],[diferencia de días]], "0")</f>
        <v>7966.2499999999991</v>
      </c>
      <c r="L7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3">
        <f t="shared" ca="1" si="19"/>
        <v>2095.3000000000002</v>
      </c>
      <c r="P73">
        <f t="shared" ca="1" si="20"/>
        <v>156324.32999999999</v>
      </c>
      <c r="Q73">
        <f t="shared" ca="1" si="21"/>
        <v>4</v>
      </c>
      <c r="R73">
        <f ca="1">((Tabla2[[#This Row],[Fantasma Comunicación]]+1)/(Tabla2[[#This Row],[Fantasma Comunicación]]+RANDBETWEEN(0,5)+2))-0.5</f>
        <v>5.555555555555558E-2</v>
      </c>
      <c r="S73" s="51">
        <f ca="1">1+MAX(0,Tabla2[[#This Row],[Deuda actual]]/Tabla2[[#This Row],[Liquidez]]+Tabla2[[#This Row],[Liquidez]]/(Tabla2[[#This Row],[Activos]]+Tabla2[[#This Row],[Liquidez]])+Tabla2[[#This Row],[Comunicación]])</f>
        <v>1.220860281825884</v>
      </c>
      <c r="T73">
        <f ca="1">Tabla2[[#This Row],[Deuda actual]]*EXP(Tabla2[[#This Row],[Ki]]*Tabla2[[#This Row],[diferencia de días]])*(1+Tabla2[[#This Row],[Hg]])</f>
        <v>337.94511002843865</v>
      </c>
    </row>
    <row r="74" spans="1:20" ht="14.5" x14ac:dyDescent="0.35">
      <c r="A74" t="e">
        <f t="shared" si="11"/>
        <v>#VALUE!</v>
      </c>
      <c r="B74" s="21">
        <f t="shared" ca="1" si="12"/>
        <v>46111</v>
      </c>
      <c r="C74" s="21">
        <f t="shared" ca="1" si="13"/>
        <v>46157</v>
      </c>
      <c r="D74">
        <f t="shared" ca="1" si="14"/>
        <v>4</v>
      </c>
      <c r="E74">
        <f t="shared" ca="1" si="15"/>
        <v>0.28350113409273647</v>
      </c>
      <c r="F74" s="47">
        <f t="shared" ca="1" si="16"/>
        <v>915.07</v>
      </c>
      <c r="G74" s="32" t="str">
        <f t="shared" ca="1" si="17"/>
        <v>personal</v>
      </c>
      <c r="H7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4" t="str">
        <f t="shared" ca="1" si="18"/>
        <v>Sí</v>
      </c>
      <c r="J7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4" s="32">
        <f ca="1">IF(Tabla2[[#This Row],[¿cliente deuda abierta?]]="Sí", Tabla2[[#This Row],[Deuda actual]]*Tabla2[[#This Row],[diferencia de días]], "0")</f>
        <v>3660.28</v>
      </c>
      <c r="L7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4">
        <f t="shared" ca="1" si="19"/>
        <v>1681.83</v>
      </c>
      <c r="P74">
        <f t="shared" ca="1" si="20"/>
        <v>117303.93</v>
      </c>
      <c r="Q74">
        <f t="shared" ca="1" si="21"/>
        <v>0</v>
      </c>
      <c r="R74">
        <f ca="1">((Tabla2[[#This Row],[Fantasma Comunicación]]+1)/(Tabla2[[#This Row],[Fantasma Comunicación]]+RANDBETWEEN(0,5)+2))-0.5</f>
        <v>-0.33333333333333337</v>
      </c>
      <c r="S74" s="51">
        <f ca="1">1+MAX(0,Tabla2[[#This Row],[Deuda actual]]/Tabla2[[#This Row],[Liquidez]]+Tabla2[[#This Row],[Liquidez]]/(Tabla2[[#This Row],[Activos]]+Tabla2[[#This Row],[Liquidez]])+Tabla2[[#This Row],[Comunicación]])</f>
        <v>1.2248932356191045</v>
      </c>
      <c r="T74">
        <f ca="1">Tabla2[[#This Row],[Deuda actual]]*EXP(Tabla2[[#This Row],[Ki]]*Tabla2[[#This Row],[diferencia de días]])*(1+Tabla2[[#This Row],[Hg]])</f>
        <v>961.59246634552665</v>
      </c>
    </row>
    <row r="75" spans="1:20" ht="14.5" x14ac:dyDescent="0.35">
      <c r="A75" t="e">
        <f t="shared" si="11"/>
        <v>#VALUE!</v>
      </c>
      <c r="B75" s="21">
        <f t="shared" ca="1" si="12"/>
        <v>46136</v>
      </c>
      <c r="C75" s="21">
        <f t="shared" ca="1" si="13"/>
        <v>46157</v>
      </c>
      <c r="D75">
        <f t="shared" ca="1" si="14"/>
        <v>12</v>
      </c>
      <c r="E75">
        <f t="shared" ca="1" si="15"/>
        <v>0.70951308412655956</v>
      </c>
      <c r="F75" s="47">
        <f t="shared" ca="1" si="16"/>
        <v>552.41999999999996</v>
      </c>
      <c r="G75" s="32" t="str">
        <f t="shared" ca="1" si="17"/>
        <v>hipotecario</v>
      </c>
      <c r="H7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5" t="str">
        <f t="shared" ca="1" si="18"/>
        <v>No</v>
      </c>
      <c r="J7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165000.1528887926</v>
      </c>
      <c r="K75" s="32" t="str">
        <f ca="1">IF(Tabla2[[#This Row],[¿cliente deuda abierta?]]="Sí", Tabla2[[#This Row],[Deuda actual]]*Tabla2[[#This Row],[diferencia de días]], "0")</f>
        <v>0</v>
      </c>
      <c r="L7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7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75">
        <f t="shared" ca="1" si="19"/>
        <v>2212.5500000000002</v>
      </c>
      <c r="P75">
        <f t="shared" ca="1" si="20"/>
        <v>142945.07</v>
      </c>
      <c r="Q75">
        <f t="shared" ca="1" si="21"/>
        <v>4</v>
      </c>
      <c r="R75">
        <f ca="1">((Tabla2[[#This Row],[Fantasma Comunicación]]+1)/(Tabla2[[#This Row],[Fantasma Comunicación]]+RANDBETWEEN(0,5)+2))-0.5</f>
        <v>0.125</v>
      </c>
      <c r="S75" s="51">
        <f ca="1">1+MAX(0,Tabla2[[#This Row],[Deuda actual]]/Tabla2[[#This Row],[Liquidez]]+Tabla2[[#This Row],[Liquidez]]/(Tabla2[[#This Row],[Activos]]+Tabla2[[#This Row],[Liquidez]])+Tabla2[[#This Row],[Comunicación]])</f>
        <v>1.3899181100498355</v>
      </c>
      <c r="T75">
        <f ca="1">Tabla2[[#This Row],[Deuda actual]]*EXP(Tabla2[[#This Row],[Ki]]*Tabla2[[#This Row],[diferencia de días]])*(1+Tabla2[[#This Row],[Hg]])</f>
        <v>442.99792019451172</v>
      </c>
    </row>
    <row r="76" spans="1:20" ht="14.5" x14ac:dyDescent="0.35">
      <c r="A76" t="e">
        <f t="shared" si="11"/>
        <v>#VALUE!</v>
      </c>
      <c r="B76" s="21">
        <f t="shared" ca="1" si="12"/>
        <v>46093</v>
      </c>
      <c r="C76" s="21">
        <f t="shared" ca="1" si="13"/>
        <v>46157</v>
      </c>
      <c r="D76">
        <f t="shared" ca="1" si="14"/>
        <v>3</v>
      </c>
      <c r="E76">
        <f t="shared" ca="1" si="15"/>
        <v>0.86630758309104672</v>
      </c>
      <c r="F76" s="47">
        <f t="shared" ca="1" si="16"/>
        <v>948.67</v>
      </c>
      <c r="G76" s="32" t="str">
        <f t="shared" ca="1" si="17"/>
        <v>hipotecario</v>
      </c>
      <c r="H7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6" t="str">
        <f t="shared" ca="1" si="18"/>
        <v>No</v>
      </c>
      <c r="J7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165000.91004163772</v>
      </c>
      <c r="K76" s="32" t="str">
        <f ca="1">IF(Tabla2[[#This Row],[¿cliente deuda abierta?]]="Sí", Tabla2[[#This Row],[Deuda actual]]*Tabla2[[#This Row],[diferencia de días]], "0")</f>
        <v>0</v>
      </c>
      <c r="L7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7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76">
        <f t="shared" ca="1" si="19"/>
        <v>1093.81</v>
      </c>
      <c r="P76">
        <f t="shared" ca="1" si="20"/>
        <v>147170.65</v>
      </c>
      <c r="Q76">
        <f t="shared" ca="1" si="21"/>
        <v>0</v>
      </c>
      <c r="R76">
        <f ca="1">((Tabla2[[#This Row],[Fantasma Comunicación]]+1)/(Tabla2[[#This Row],[Fantasma Comunicación]]+RANDBETWEEN(0,5)+2))-0.5</f>
        <v>-0.25</v>
      </c>
      <c r="S76" s="51">
        <f ca="1">1+MAX(0,Tabla2[[#This Row],[Deuda actual]]/Tabla2[[#This Row],[Liquidez]]+Tabla2[[#This Row],[Liquidez]]/(Tabla2[[#This Row],[Activos]]+Tabla2[[#This Row],[Liquidez]])+Tabla2[[#This Row],[Comunicación]])</f>
        <v>1.6246852759871651</v>
      </c>
      <c r="T76">
        <f ca="1">Tabla2[[#This Row],[Deuda actual]]*EXP(Tabla2[[#This Row],[Ki]]*Tabla2[[#This Row],[diferencia de días]])*(1+Tabla2[[#This Row],[Hg]])</f>
        <v>759.39149823580578</v>
      </c>
    </row>
    <row r="77" spans="1:20" ht="14.5" x14ac:dyDescent="0.35">
      <c r="A77" t="e">
        <f t="shared" si="11"/>
        <v>#VALUE!</v>
      </c>
      <c r="B77" s="21">
        <f t="shared" ca="1" si="12"/>
        <v>46125</v>
      </c>
      <c r="C77" s="21">
        <f t="shared" ca="1" si="13"/>
        <v>46157</v>
      </c>
      <c r="D77">
        <f t="shared" ca="1" si="14"/>
        <v>2</v>
      </c>
      <c r="E77">
        <f t="shared" ca="1" si="15"/>
        <v>0.22723713171202531</v>
      </c>
      <c r="F77" s="47">
        <f t="shared" ca="1" si="16"/>
        <v>3531.67</v>
      </c>
      <c r="G77" s="32" t="str">
        <f t="shared" ca="1" si="17"/>
        <v>personal</v>
      </c>
      <c r="H7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7" t="str">
        <f t="shared" ca="1" si="18"/>
        <v>Sí</v>
      </c>
      <c r="J7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7" s="32">
        <f ca="1">IF(Tabla2[[#This Row],[¿cliente deuda abierta?]]="Sí", Tabla2[[#This Row],[Deuda actual]]*Tabla2[[#This Row],[diferencia de días]], "0")</f>
        <v>7063.34</v>
      </c>
      <c r="L7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7">
        <f t="shared" ca="1" si="19"/>
        <v>1664.99</v>
      </c>
      <c r="P77">
        <f t="shared" ca="1" si="20"/>
        <v>79117.539999999994</v>
      </c>
      <c r="Q77">
        <f t="shared" ca="1" si="21"/>
        <v>4</v>
      </c>
      <c r="R77">
        <f ca="1">((Tabla2[[#This Row],[Fantasma Comunicación]]+1)/(Tabla2[[#This Row],[Fantasma Comunicación]]+RANDBETWEEN(0,5)+2))-0.5</f>
        <v>0.2142857142857143</v>
      </c>
      <c r="S77" s="51">
        <f ca="1">1+MAX(0,Tabla2[[#This Row],[Deuda actual]]/Tabla2[[#This Row],[Liquidez]]+Tabla2[[#This Row],[Liquidez]]/(Tabla2[[#This Row],[Activos]]+Tabla2[[#This Row],[Liquidez]])+Tabla2[[#This Row],[Comunicación]])</f>
        <v>3.3560323451581273</v>
      </c>
      <c r="T77">
        <f ca="1">Tabla2[[#This Row],[Deuda actual]]*EXP(Tabla2[[#This Row],[Ki]]*Tabla2[[#This Row],[diferencia de días]])*(1+Tabla2[[#This Row],[Hg]])</f>
        <v>3709.7370980998394</v>
      </c>
    </row>
    <row r="78" spans="1:20" ht="14.5" x14ac:dyDescent="0.35">
      <c r="A78" t="e">
        <f t="shared" si="11"/>
        <v>#VALUE!</v>
      </c>
      <c r="B78" s="21">
        <f t="shared" ca="1" si="12"/>
        <v>46135</v>
      </c>
      <c r="C78" s="21">
        <f t="shared" ca="1" si="13"/>
        <v>46157</v>
      </c>
      <c r="D78">
        <f t="shared" ca="1" si="14"/>
        <v>22</v>
      </c>
      <c r="E78">
        <f t="shared" ca="1" si="15"/>
        <v>0.93443781921140023</v>
      </c>
      <c r="F78" s="47">
        <f t="shared" ca="1" si="16"/>
        <v>1371.6</v>
      </c>
      <c r="G78" s="32" t="str">
        <f t="shared" ca="1" si="17"/>
        <v>hipotecario</v>
      </c>
      <c r="H7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78" t="str">
        <f t="shared" ca="1" si="18"/>
        <v>No</v>
      </c>
      <c r="J7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165000.42633022345</v>
      </c>
      <c r="K78" s="32" t="str">
        <f ca="1">IF(Tabla2[[#This Row],[¿cliente deuda abierta?]]="Sí", Tabla2[[#This Row],[Deuda actual]]*Tabla2[[#This Row],[diferencia de días]], "0")</f>
        <v>0</v>
      </c>
      <c r="L7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7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78">
        <f t="shared" ca="1" si="19"/>
        <v>1748.07</v>
      </c>
      <c r="P78">
        <f t="shared" ca="1" si="20"/>
        <v>235449.9</v>
      </c>
      <c r="Q78">
        <f t="shared" ca="1" si="21"/>
        <v>2</v>
      </c>
      <c r="R78">
        <f ca="1">((Tabla2[[#This Row],[Fantasma Comunicación]]+1)/(Tabla2[[#This Row],[Fantasma Comunicación]]+RANDBETWEEN(0,5)+2))-0.5</f>
        <v>-7.1428571428571452E-2</v>
      </c>
      <c r="S78" s="51">
        <f ca="1">1+MAX(0,Tabla2[[#This Row],[Deuda actual]]/Tabla2[[#This Row],[Liquidez]]+Tabla2[[#This Row],[Liquidez]]/(Tabla2[[#This Row],[Activos]]+Tabla2[[#This Row],[Liquidez]])+Tabla2[[#This Row],[Comunicación]])</f>
        <v>1.7205778661909998</v>
      </c>
      <c r="T78">
        <f ca="1">Tabla2[[#This Row],[Deuda actual]]*EXP(Tabla2[[#This Row],[Ki]]*Tabla2[[#This Row],[diferencia de días]])*(1+Tabla2[[#This Row],[Hg]])</f>
        <v>1106.9786755838634</v>
      </c>
    </row>
    <row r="79" spans="1:20" ht="14.5" x14ac:dyDescent="0.35">
      <c r="A79" t="e">
        <f t="shared" si="11"/>
        <v>#VALUE!</v>
      </c>
      <c r="B79" s="21">
        <f t="shared" ca="1" si="12"/>
        <v>46098</v>
      </c>
      <c r="C79" s="21">
        <f t="shared" ca="1" si="13"/>
        <v>46157</v>
      </c>
      <c r="D79">
        <f t="shared" ca="1" si="14"/>
        <v>1</v>
      </c>
      <c r="E79">
        <f t="shared" ca="1" si="15"/>
        <v>6.6182716644788697E-2</v>
      </c>
      <c r="F79" s="47">
        <f t="shared" ca="1" si="16"/>
        <v>443.69</v>
      </c>
      <c r="G79" s="32" t="str">
        <f t="shared" ca="1" si="17"/>
        <v>personal</v>
      </c>
      <c r="H7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9" t="str">
        <f t="shared" ca="1" si="18"/>
        <v>Sí</v>
      </c>
      <c r="J7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9" s="32">
        <f ca="1">IF(Tabla2[[#This Row],[¿cliente deuda abierta?]]="Sí", Tabla2[[#This Row],[Deuda actual]]*Tabla2[[#This Row],[diferencia de días]], "0")</f>
        <v>443.69</v>
      </c>
      <c r="L7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9">
        <f t="shared" ca="1" si="19"/>
        <v>2676.19</v>
      </c>
      <c r="P79">
        <f t="shared" ca="1" si="20"/>
        <v>221658.14</v>
      </c>
      <c r="Q79">
        <f t="shared" ca="1" si="21"/>
        <v>5</v>
      </c>
      <c r="R79">
        <f ca="1">((Tabla2[[#This Row],[Fantasma Comunicación]]+1)/(Tabla2[[#This Row],[Fantasma Comunicación]]+RANDBETWEEN(0,5)+2))-0.5</f>
        <v>0.16666666666666663</v>
      </c>
      <c r="S79" s="51">
        <f ca="1">1+MAX(0,Tabla2[[#This Row],[Deuda actual]]/Tabla2[[#This Row],[Liquidez]]+Tabla2[[#This Row],[Liquidez]]/(Tabla2[[#This Row],[Activos]]+Tabla2[[#This Row],[Liquidez]])+Tabla2[[#This Row],[Comunicación]])</f>
        <v>1.344387804694549</v>
      </c>
      <c r="T79">
        <f ca="1">Tabla2[[#This Row],[Deuda actual]]*EXP(Tabla2[[#This Row],[Ki]]*Tabla2[[#This Row],[diferencia de días]])*(1+Tabla2[[#This Row],[Hg]])</f>
        <v>465.96768421811123</v>
      </c>
    </row>
    <row r="80" spans="1:20" ht="14.5" x14ac:dyDescent="0.35">
      <c r="A80" t="e">
        <f t="shared" si="11"/>
        <v>#VALUE!</v>
      </c>
      <c r="B80" s="21">
        <f t="shared" ca="1" si="12"/>
        <v>46134</v>
      </c>
      <c r="C80" s="21">
        <f t="shared" ca="1" si="13"/>
        <v>46157</v>
      </c>
      <c r="D80">
        <f t="shared" ca="1" si="14"/>
        <v>20</v>
      </c>
      <c r="E80">
        <f t="shared" ca="1" si="15"/>
        <v>0.95529879035167187</v>
      </c>
      <c r="F80" s="47">
        <f t="shared" ca="1" si="16"/>
        <v>1125.32</v>
      </c>
      <c r="G80" s="32" t="str">
        <f t="shared" ca="1" si="17"/>
        <v>hipotecario</v>
      </c>
      <c r="H8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0" t="str">
        <f t="shared" ca="1" si="18"/>
        <v>Sí</v>
      </c>
      <c r="J8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0" s="32">
        <f ca="1">IF(Tabla2[[#This Row],[¿cliente deuda abierta?]]="Sí", Tabla2[[#This Row],[Deuda actual]]*Tabla2[[#This Row],[diferencia de días]], "0")</f>
        <v>22506.399999999998</v>
      </c>
      <c r="L8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0">
        <f t="shared" ca="1" si="19"/>
        <v>2067.77</v>
      </c>
      <c r="P80">
        <f t="shared" ca="1" si="20"/>
        <v>48280.45</v>
      </c>
      <c r="Q80">
        <f t="shared" ca="1" si="21"/>
        <v>3</v>
      </c>
      <c r="R80">
        <f ca="1">((Tabla2[[#This Row],[Fantasma Comunicación]]+1)/(Tabla2[[#This Row],[Fantasma Comunicación]]+RANDBETWEEN(0,5)+2))-0.5</f>
        <v>0</v>
      </c>
      <c r="S80" s="51">
        <f ca="1">1+MAX(0,Tabla2[[#This Row],[Deuda actual]]/Tabla2[[#This Row],[Liquidez]]+Tabla2[[#This Row],[Liquidez]]/(Tabla2[[#This Row],[Activos]]+Tabla2[[#This Row],[Liquidez]])+Tabla2[[#This Row],[Comunicación]])</f>
        <v>1.5852885110580475</v>
      </c>
      <c r="T80">
        <f ca="1">Tabla2[[#This Row],[Deuda actual]]*EXP(Tabla2[[#This Row],[Ki]]*Tabla2[[#This Row],[diferencia de días]])*(1+Tabla2[[#This Row],[Hg]])</f>
        <v>1191.0765997826525</v>
      </c>
    </row>
    <row r="81" spans="1:20" ht="14.5" x14ac:dyDescent="0.35">
      <c r="A81" t="e">
        <f t="shared" si="11"/>
        <v>#VALUE!</v>
      </c>
      <c r="B81" s="21">
        <f t="shared" ca="1" si="12"/>
        <v>46125</v>
      </c>
      <c r="C81" s="21">
        <f t="shared" ca="1" si="13"/>
        <v>46157</v>
      </c>
      <c r="D81">
        <f t="shared" ca="1" si="14"/>
        <v>22</v>
      </c>
      <c r="E81">
        <f t="shared" ca="1" si="15"/>
        <v>0.10552459573614514</v>
      </c>
      <c r="F81" s="47">
        <f t="shared" ca="1" si="16"/>
        <v>384.05</v>
      </c>
      <c r="G81" s="32" t="str">
        <f t="shared" ca="1" si="17"/>
        <v>personal</v>
      </c>
      <c r="H8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1" t="str">
        <f t="shared" ca="1" si="18"/>
        <v>No</v>
      </c>
      <c r="J8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11999.858160423806</v>
      </c>
      <c r="K81" s="32" t="str">
        <f ca="1">IF(Tabla2[[#This Row],[¿cliente deuda abierta?]]="Sí", Tabla2[[#This Row],[Deuda actual]]*Tabla2[[#This Row],[diferencia de días]], "0")</f>
        <v>0</v>
      </c>
      <c r="L8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8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81">
        <f t="shared" ca="1" si="19"/>
        <v>1220.05</v>
      </c>
      <c r="P81">
        <f t="shared" ca="1" si="20"/>
        <v>249911.75</v>
      </c>
      <c r="Q81">
        <f t="shared" ca="1" si="21"/>
        <v>0</v>
      </c>
      <c r="R81">
        <f ca="1">((Tabla2[[#This Row],[Fantasma Comunicación]]+1)/(Tabla2[[#This Row],[Fantasma Comunicación]]+RANDBETWEEN(0,5)+2))-0.5</f>
        <v>0</v>
      </c>
      <c r="S81" s="51">
        <f ca="1">1+MAX(0,Tabla2[[#This Row],[Deuda actual]]/Tabla2[[#This Row],[Liquidez]]+Tabla2[[#This Row],[Liquidez]]/(Tabla2[[#This Row],[Activos]]+Tabla2[[#This Row],[Liquidez]])+Tabla2[[#This Row],[Comunicación]])</f>
        <v>1.3196403869882665</v>
      </c>
      <c r="T81">
        <f ca="1">Tabla2[[#This Row],[Deuda actual]]*EXP(Tabla2[[#This Row],[Ki]]*Tabla2[[#This Row],[diferencia de días]])*(1+Tabla2[[#This Row],[Hg]])</f>
        <v>348.70009871881786</v>
      </c>
    </row>
    <row r="82" spans="1:20" ht="14.5" x14ac:dyDescent="0.35">
      <c r="A82" t="e">
        <f t="shared" si="11"/>
        <v>#VALUE!</v>
      </c>
      <c r="B82" s="21">
        <f t="shared" ca="1" si="12"/>
        <v>46126</v>
      </c>
      <c r="C82" s="21">
        <f t="shared" ca="1" si="13"/>
        <v>46157</v>
      </c>
      <c r="D82">
        <f t="shared" ca="1" si="14"/>
        <v>5</v>
      </c>
      <c r="E82">
        <f t="shared" ca="1" si="15"/>
        <v>0.28388131851188636</v>
      </c>
      <c r="F82" s="47">
        <f t="shared" ca="1" si="16"/>
        <v>763.28</v>
      </c>
      <c r="G82" s="32" t="str">
        <f t="shared" ca="1" si="17"/>
        <v>hipotecario</v>
      </c>
      <c r="H8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2" t="str">
        <f t="shared" ca="1" si="18"/>
        <v>No</v>
      </c>
      <c r="J8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165000.30170391704</v>
      </c>
      <c r="K82" s="32" t="str">
        <f ca="1">IF(Tabla2[[#This Row],[¿cliente deuda abierta?]]="Sí", Tabla2[[#This Row],[Deuda actual]]*Tabla2[[#This Row],[diferencia de días]], "0")</f>
        <v>0</v>
      </c>
      <c r="L8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8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82">
        <f t="shared" ca="1" si="19"/>
        <v>1737.91</v>
      </c>
      <c r="P82">
        <f t="shared" ca="1" si="20"/>
        <v>69921.03</v>
      </c>
      <c r="Q82">
        <f t="shared" ca="1" si="21"/>
        <v>5</v>
      </c>
      <c r="R82">
        <f ca="1">((Tabla2[[#This Row],[Fantasma Comunicación]]+1)/(Tabla2[[#This Row],[Fantasma Comunicación]]+RANDBETWEEN(0,5)+2))-0.5</f>
        <v>0.25</v>
      </c>
      <c r="S82" s="51">
        <f ca="1">1+MAX(0,Tabla2[[#This Row],[Deuda actual]]/Tabla2[[#This Row],[Liquidez]]+Tabla2[[#This Row],[Liquidez]]/(Tabla2[[#This Row],[Activos]]+Tabla2[[#This Row],[Liquidez]])+Tabla2[[#This Row],[Comunicación]])</f>
        <v>1.7134467262700257</v>
      </c>
      <c r="T82">
        <f ca="1">Tabla2[[#This Row],[Deuda actual]]*EXP(Tabla2[[#This Row],[Ki]]*Tabla2[[#This Row],[diferencia de días]])*(1+Tabla2[[#This Row],[Hg]])</f>
        <v>611.23492941379607</v>
      </c>
    </row>
    <row r="83" spans="1:20" ht="14.5" x14ac:dyDescent="0.35">
      <c r="A83" t="e">
        <f t="shared" si="11"/>
        <v>#VALUE!</v>
      </c>
      <c r="B83" s="21">
        <f t="shared" ca="1" si="12"/>
        <v>46130</v>
      </c>
      <c r="C83" s="21">
        <f t="shared" ca="1" si="13"/>
        <v>46157</v>
      </c>
      <c r="D83">
        <f t="shared" ca="1" si="14"/>
        <v>19</v>
      </c>
      <c r="E83">
        <f t="shared" ca="1" si="15"/>
        <v>0.6432844957758076</v>
      </c>
      <c r="F83" s="47">
        <f t="shared" ca="1" si="16"/>
        <v>3157.94</v>
      </c>
      <c r="G83" s="32" t="str">
        <f t="shared" ca="1" si="17"/>
        <v>hipotecario</v>
      </c>
      <c r="H8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3" t="str">
        <f t="shared" ca="1" si="18"/>
        <v>Sí</v>
      </c>
      <c r="J8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3" s="32">
        <f ca="1">IF(Tabla2[[#This Row],[¿cliente deuda abierta?]]="Sí", Tabla2[[#This Row],[Deuda actual]]*Tabla2[[#This Row],[diferencia de días]], "0")</f>
        <v>60000.86</v>
      </c>
      <c r="L8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8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3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83">
        <f t="shared" ca="1" si="19"/>
        <v>1381.06</v>
      </c>
      <c r="P83">
        <f t="shared" ca="1" si="20"/>
        <v>192368.31</v>
      </c>
      <c r="Q83">
        <f t="shared" ca="1" si="21"/>
        <v>3</v>
      </c>
      <c r="R83">
        <f ca="1">((Tabla2[[#This Row],[Fantasma Comunicación]]+1)/(Tabla2[[#This Row],[Fantasma Comunicación]]+RANDBETWEEN(0,5)+2))-0.5</f>
        <v>-5.555555555555558E-2</v>
      </c>
      <c r="S83" s="51">
        <f ca="1">1+MAX(0,Tabla2[[#This Row],[Deuda actual]]/Tabla2[[#This Row],[Liquidez]]+Tabla2[[#This Row],[Liquidez]]/(Tabla2[[#This Row],[Activos]]+Tabla2[[#This Row],[Liquidez]])+Tabla2[[#This Row],[Comunicación]])</f>
        <v>3.2381784595997356</v>
      </c>
      <c r="T83">
        <f ca="1">Tabla2[[#This Row],[Deuda actual]]*EXP(Tabla2[[#This Row],[Ki]]*Tabla2[[#This Row],[diferencia de días]])*(1+Tabla2[[#This Row],[Hg]])</f>
        <v>3659.3365433086865</v>
      </c>
    </row>
    <row r="84" spans="1:20" ht="14.5" x14ac:dyDescent="0.35">
      <c r="A84" t="e">
        <f t="shared" si="11"/>
        <v>#VALUE!</v>
      </c>
      <c r="B84" s="21">
        <f t="shared" ca="1" si="12"/>
        <v>46132</v>
      </c>
      <c r="C84" s="21">
        <f t="shared" ca="1" si="13"/>
        <v>46157</v>
      </c>
      <c r="D84">
        <f t="shared" ca="1" si="14"/>
        <v>1</v>
      </c>
      <c r="E84">
        <f t="shared" ca="1" si="15"/>
        <v>0.74742652214353389</v>
      </c>
      <c r="F84" s="47">
        <f t="shared" ca="1" si="16"/>
        <v>372.81</v>
      </c>
      <c r="G84" s="32" t="str">
        <f t="shared" ca="1" si="17"/>
        <v>hipotecario</v>
      </c>
      <c r="H8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4" t="str">
        <f t="shared" ca="1" si="18"/>
        <v>No</v>
      </c>
      <c r="J8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165001.18882316214</v>
      </c>
      <c r="K84" s="32" t="str">
        <f ca="1">IF(Tabla2[[#This Row],[¿cliente deuda abierta?]]="Sí", Tabla2[[#This Row],[Deuda actual]]*Tabla2[[#This Row],[diferencia de días]], "0")</f>
        <v>0</v>
      </c>
      <c r="L8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8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84">
        <f t="shared" ca="1" si="19"/>
        <v>1230.8900000000001</v>
      </c>
      <c r="P84">
        <f t="shared" ca="1" si="20"/>
        <v>619770.04</v>
      </c>
      <c r="Q84">
        <f t="shared" ca="1" si="21"/>
        <v>4</v>
      </c>
      <c r="R84">
        <f ca="1">((Tabla2[[#This Row],[Fantasma Comunicación]]+1)/(Tabla2[[#This Row],[Fantasma Comunicación]]+RANDBETWEEN(0,5)+2))-0.5</f>
        <v>0.125</v>
      </c>
      <c r="S84" s="51">
        <f ca="1">1+MAX(0,Tabla2[[#This Row],[Deuda actual]]/Tabla2[[#This Row],[Liquidez]]+Tabla2[[#This Row],[Liquidez]]/(Tabla2[[#This Row],[Activos]]+Tabla2[[#This Row],[Liquidez]])+Tabla2[[#This Row],[Comunicación]])</f>
        <v>1.4298605115889369</v>
      </c>
      <c r="T84">
        <f ca="1">Tabla2[[#This Row],[Deuda actual]]*EXP(Tabla2[[#This Row],[Ki]]*Tabla2[[#This Row],[diferencia de días]])*(1+Tabla2[[#This Row],[Hg]])</f>
        <v>298.30765556535772</v>
      </c>
    </row>
    <row r="85" spans="1:20" ht="14.5" x14ac:dyDescent="0.35">
      <c r="A85" t="e">
        <f t="shared" si="11"/>
        <v>#VALUE!</v>
      </c>
      <c r="B85" s="21">
        <f t="shared" ca="1" si="12"/>
        <v>46087</v>
      </c>
      <c r="C85" s="21">
        <f t="shared" ca="1" si="13"/>
        <v>46157</v>
      </c>
      <c r="D85">
        <f t="shared" ca="1" si="14"/>
        <v>17</v>
      </c>
      <c r="E85">
        <f t="shared" ca="1" si="15"/>
        <v>0.97168480048623862</v>
      </c>
      <c r="F85" s="47">
        <f t="shared" ca="1" si="16"/>
        <v>221.81</v>
      </c>
      <c r="G85" s="32" t="str">
        <f t="shared" ca="1" si="17"/>
        <v>hipotecario</v>
      </c>
      <c r="H8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5" t="str">
        <f t="shared" ca="1" si="18"/>
        <v>Sí</v>
      </c>
      <c r="J8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5" s="32">
        <f ca="1">IF(Tabla2[[#This Row],[¿cliente deuda abierta?]]="Sí", Tabla2[[#This Row],[Deuda actual]]*Tabla2[[#This Row],[diferencia de días]], "0")</f>
        <v>3770.77</v>
      </c>
      <c r="L8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5">
        <f t="shared" ca="1" si="19"/>
        <v>1978.98</v>
      </c>
      <c r="P85">
        <f t="shared" ca="1" si="20"/>
        <v>175144.59</v>
      </c>
      <c r="Q85">
        <f t="shared" ca="1" si="21"/>
        <v>0</v>
      </c>
      <c r="R85">
        <f ca="1">((Tabla2[[#This Row],[Fantasma Comunicación]]+1)/(Tabla2[[#This Row],[Fantasma Comunicación]]+RANDBETWEEN(0,5)+2))-0.5</f>
        <v>-0.33333333333333337</v>
      </c>
      <c r="S85" s="51">
        <f ca="1">1+MAX(0,Tabla2[[#This Row],[Deuda actual]]/Tabla2[[#This Row],[Liquidez]]+Tabla2[[#This Row],[Liquidez]]/(Tabla2[[#This Row],[Activos]]+Tabla2[[#This Row],[Liquidez]])+Tabla2[[#This Row],[Comunicación]])</f>
        <v>1</v>
      </c>
      <c r="T85">
        <f ca="1">Tabla2[[#This Row],[Deuda actual]]*EXP(Tabla2[[#This Row],[Ki]]*Tabla2[[#This Row],[diferencia de días]])*(1+Tabla2[[#This Row],[Hg]])</f>
        <v>234.48962028556551</v>
      </c>
    </row>
    <row r="86" spans="1:20" ht="14.5" x14ac:dyDescent="0.35">
      <c r="A86" t="e">
        <f t="shared" si="11"/>
        <v>#VALUE!</v>
      </c>
      <c r="B86" s="21">
        <f t="shared" ca="1" si="12"/>
        <v>46141</v>
      </c>
      <c r="C86" s="21">
        <f t="shared" ca="1" si="13"/>
        <v>46157</v>
      </c>
      <c r="D86">
        <f t="shared" ca="1" si="14"/>
        <v>10</v>
      </c>
      <c r="E86">
        <f t="shared" ca="1" si="15"/>
        <v>0.59540962438928513</v>
      </c>
      <c r="F86" s="47">
        <f t="shared" ca="1" si="16"/>
        <v>837.07</v>
      </c>
      <c r="G86" s="32" t="str">
        <f t="shared" ca="1" si="17"/>
        <v>personal</v>
      </c>
      <c r="H8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6" t="str">
        <f t="shared" ca="1" si="18"/>
        <v>Sí</v>
      </c>
      <c r="J8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6" s="32">
        <f ca="1">IF(Tabla2[[#This Row],[¿cliente deuda abierta?]]="Sí", Tabla2[[#This Row],[Deuda actual]]*Tabla2[[#This Row],[diferencia de días]], "0")</f>
        <v>8370.7000000000007</v>
      </c>
      <c r="L8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6">
        <f t="shared" ca="1" si="19"/>
        <v>1397.21</v>
      </c>
      <c r="P86">
        <f t="shared" ca="1" si="20"/>
        <v>39897.19</v>
      </c>
      <c r="Q86">
        <f t="shared" ca="1" si="21"/>
        <v>5</v>
      </c>
      <c r="R86">
        <f ca="1">((Tabla2[[#This Row],[Fantasma Comunicación]]+1)/(Tabla2[[#This Row],[Fantasma Comunicación]]+RANDBETWEEN(0,5)+2))-0.5</f>
        <v>0.25</v>
      </c>
      <c r="S86" s="51">
        <f ca="1">1+MAX(0,Tabla2[[#This Row],[Deuda actual]]/Tabla2[[#This Row],[Liquidez]]+Tabla2[[#This Row],[Liquidez]]/(Tabla2[[#This Row],[Activos]]+Tabla2[[#This Row],[Liquidez]])+Tabla2[[#This Row],[Comunicación]])</f>
        <v>1.8829364041430352</v>
      </c>
      <c r="T86">
        <f ca="1">Tabla2[[#This Row],[Deuda actual]]*EXP(Tabla2[[#This Row],[Ki]]*Tabla2[[#This Row],[diferencia de días]])*(1+Tabla2[[#This Row],[Hg]])</f>
        <v>880.68310601948428</v>
      </c>
    </row>
    <row r="87" spans="1:20" ht="14.5" x14ac:dyDescent="0.35">
      <c r="A87" t="e">
        <f t="shared" si="11"/>
        <v>#VALUE!</v>
      </c>
      <c r="B87" s="21">
        <f t="shared" ca="1" si="12"/>
        <v>46138</v>
      </c>
      <c r="C87" s="21">
        <f t="shared" ca="1" si="13"/>
        <v>46157</v>
      </c>
      <c r="D87">
        <f t="shared" ca="1" si="14"/>
        <v>4</v>
      </c>
      <c r="E87">
        <f t="shared" ca="1" si="15"/>
        <v>0.56305077612225274</v>
      </c>
      <c r="F87" s="47">
        <f t="shared" ca="1" si="16"/>
        <v>277.14</v>
      </c>
      <c r="G87" s="32" t="str">
        <f t="shared" ca="1" si="17"/>
        <v>hipotecario</v>
      </c>
      <c r="H8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7" t="str">
        <f t="shared" ca="1" si="18"/>
        <v>Sí</v>
      </c>
      <c r="J8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7" s="32">
        <f ca="1">IF(Tabla2[[#This Row],[¿cliente deuda abierta?]]="Sí", Tabla2[[#This Row],[Deuda actual]]*Tabla2[[#This Row],[diferencia de días]], "0")</f>
        <v>1108.56</v>
      </c>
      <c r="L8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7">
        <f t="shared" ca="1" si="19"/>
        <v>1820.08</v>
      </c>
      <c r="P87">
        <f t="shared" ca="1" si="20"/>
        <v>98999.92</v>
      </c>
      <c r="Q87">
        <f t="shared" ca="1" si="21"/>
        <v>4</v>
      </c>
      <c r="R87">
        <f ca="1">((Tabla2[[#This Row],[Fantasma Comunicación]]+1)/(Tabla2[[#This Row],[Fantasma Comunicación]]+RANDBETWEEN(0,5)+2))-0.5</f>
        <v>0</v>
      </c>
      <c r="S87" s="51">
        <f ca="1">1+MAX(0,Tabla2[[#This Row],[Deuda actual]]/Tabla2[[#This Row],[Liquidez]]+Tabla2[[#This Row],[Liquidez]]/(Tabla2[[#This Row],[Activos]]+Tabla2[[#This Row],[Liquidez]])+Tabla2[[#This Row],[Comunicación]])</f>
        <v>1.1703207994824836</v>
      </c>
      <c r="T87">
        <f ca="1">Tabla2[[#This Row],[Deuda actual]]*EXP(Tabla2[[#This Row],[Ki]]*Tabla2[[#This Row],[diferencia de días]])*(1+Tabla2[[#This Row],[Hg]])</f>
        <v>291.22989074387669</v>
      </c>
    </row>
    <row r="88" spans="1:20" ht="14.5" x14ac:dyDescent="0.35">
      <c r="A88" t="e">
        <f t="shared" si="11"/>
        <v>#VALUE!</v>
      </c>
      <c r="B88" s="21">
        <f t="shared" ca="1" si="12"/>
        <v>46094</v>
      </c>
      <c r="C88" s="21">
        <f t="shared" ca="1" si="13"/>
        <v>46157</v>
      </c>
      <c r="D88">
        <f t="shared" ca="1" si="14"/>
        <v>8</v>
      </c>
      <c r="E88">
        <f t="shared" ca="1" si="15"/>
        <v>0.68003688022744913</v>
      </c>
      <c r="F88" s="47">
        <f t="shared" ca="1" si="16"/>
        <v>500.47</v>
      </c>
      <c r="G88" s="32" t="str">
        <f t="shared" ca="1" si="17"/>
        <v>hipotecario</v>
      </c>
      <c r="H8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8" t="str">
        <f t="shared" ca="1" si="18"/>
        <v>Sí</v>
      </c>
      <c r="J8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8" s="32">
        <f ca="1">IF(Tabla2[[#This Row],[¿cliente deuda abierta?]]="Sí", Tabla2[[#This Row],[Deuda actual]]*Tabla2[[#This Row],[diferencia de días]], "0")</f>
        <v>4003.76</v>
      </c>
      <c r="L8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8">
        <f t="shared" ca="1" si="19"/>
        <v>1973.03</v>
      </c>
      <c r="P88">
        <f t="shared" ca="1" si="20"/>
        <v>64118.65</v>
      </c>
      <c r="Q88">
        <f t="shared" ca="1" si="21"/>
        <v>3</v>
      </c>
      <c r="R88">
        <f ca="1">((Tabla2[[#This Row],[Fantasma Comunicación]]+1)/(Tabla2[[#This Row],[Fantasma Comunicación]]+RANDBETWEEN(0,5)+2))-0.5</f>
        <v>-9.9999999999999978E-2</v>
      </c>
      <c r="S88" s="51">
        <f ca="1">1+MAX(0,Tabla2[[#This Row],[Deuda actual]]/Tabla2[[#This Row],[Liquidez]]+Tabla2[[#This Row],[Liquidez]]/(Tabla2[[#This Row],[Activos]]+Tabla2[[#This Row],[Liquidez]])+Tabla2[[#This Row],[Comunicación]])</f>
        <v>1.183508470536613</v>
      </c>
      <c r="T88">
        <f ca="1">Tabla2[[#This Row],[Deuda actual]]*EXP(Tabla2[[#This Row],[Ki]]*Tabla2[[#This Row],[diferencia de días]])*(1+Tabla2[[#This Row],[Hg]])</f>
        <v>526.33496259056039</v>
      </c>
    </row>
    <row r="89" spans="1:20" ht="14.5" x14ac:dyDescent="0.35">
      <c r="A89" t="e">
        <f t="shared" si="11"/>
        <v>#VALUE!</v>
      </c>
      <c r="B89" s="21">
        <f t="shared" ca="1" si="12"/>
        <v>46083</v>
      </c>
      <c r="C89" s="21">
        <f t="shared" ca="1" si="13"/>
        <v>46157</v>
      </c>
      <c r="D89">
        <f t="shared" ca="1" si="14"/>
        <v>3</v>
      </c>
      <c r="E89">
        <f t="shared" ca="1" si="15"/>
        <v>0.43880557286206068</v>
      </c>
      <c r="F89" s="47">
        <f t="shared" ca="1" si="16"/>
        <v>425.57</v>
      </c>
      <c r="G89" s="32" t="str">
        <f t="shared" ca="1" si="17"/>
        <v>hipotecario</v>
      </c>
      <c r="H8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9" t="str">
        <f t="shared" ca="1" si="18"/>
        <v>Sí</v>
      </c>
      <c r="J8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9" s="32">
        <f ca="1">IF(Tabla2[[#This Row],[¿cliente deuda abierta?]]="Sí", Tabla2[[#This Row],[Deuda actual]]*Tabla2[[#This Row],[diferencia de días]], "0")</f>
        <v>1276.71</v>
      </c>
      <c r="L8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9">
        <f t="shared" ca="1" si="19"/>
        <v>1162.72</v>
      </c>
      <c r="P89">
        <f t="shared" ca="1" si="20"/>
        <v>68257.279999999999</v>
      </c>
      <c r="Q89">
        <f t="shared" ca="1" si="21"/>
        <v>2</v>
      </c>
      <c r="R89">
        <f ca="1">((Tabla2[[#This Row],[Fantasma Comunicación]]+1)/(Tabla2[[#This Row],[Fantasma Comunicación]]+RANDBETWEEN(0,5)+2))-0.5</f>
        <v>-0.16666666666666669</v>
      </c>
      <c r="S89" s="51">
        <f ca="1">1+MAX(0,Tabla2[[#This Row],[Deuda actual]]/Tabla2[[#This Row],[Liquidez]]+Tabla2[[#This Row],[Liquidez]]/(Tabla2[[#This Row],[Activos]]+Tabla2[[#This Row],[Liquidez]])+Tabla2[[#This Row],[Comunicación]])</f>
        <v>1.2160948505609215</v>
      </c>
      <c r="T89">
        <f ca="1">Tabla2[[#This Row],[Deuda actual]]*EXP(Tabla2[[#This Row],[Ki]]*Tabla2[[#This Row],[diferencia de días]])*(1+Tabla2[[#This Row],[Hg]])</f>
        <v>447.11668954881895</v>
      </c>
    </row>
    <row r="90" spans="1:20" ht="14.5" x14ac:dyDescent="0.35">
      <c r="A90" t="e">
        <f t="shared" si="11"/>
        <v>#VALUE!</v>
      </c>
      <c r="B90" s="21">
        <f t="shared" ca="1" si="12"/>
        <v>46086</v>
      </c>
      <c r="C90" s="21">
        <f t="shared" ca="1" si="13"/>
        <v>46157</v>
      </c>
      <c r="D90">
        <f t="shared" ca="1" si="14"/>
        <v>9</v>
      </c>
      <c r="E90">
        <f t="shared" ca="1" si="15"/>
        <v>0.44405015288914185</v>
      </c>
      <c r="F90" s="47">
        <f t="shared" ca="1" si="16"/>
        <v>895.01</v>
      </c>
      <c r="G90" s="32" t="str">
        <f t="shared" ca="1" si="17"/>
        <v>hipotecario</v>
      </c>
      <c r="H9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0" t="str">
        <f t="shared" ca="1" si="18"/>
        <v>Sí</v>
      </c>
      <c r="J9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0" s="32">
        <f ca="1">IF(Tabla2[[#This Row],[¿cliente deuda abierta?]]="Sí", Tabla2[[#This Row],[Deuda actual]]*Tabla2[[#This Row],[diferencia de días]], "0")</f>
        <v>8055.09</v>
      </c>
      <c r="L9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0">
        <f t="shared" ca="1" si="19"/>
        <v>1608.9</v>
      </c>
      <c r="P90">
        <f t="shared" ca="1" si="20"/>
        <v>109637.41</v>
      </c>
      <c r="Q90">
        <f t="shared" ca="1" si="21"/>
        <v>5</v>
      </c>
      <c r="R90">
        <f ca="1">((Tabla2[[#This Row],[Fantasma Comunicación]]+1)/(Tabla2[[#This Row],[Fantasma Comunicación]]+RANDBETWEEN(0,5)+2))-0.5</f>
        <v>0.16666666666666663</v>
      </c>
      <c r="S90" s="51">
        <f ca="1">1+MAX(0,Tabla2[[#This Row],[Deuda actual]]/Tabla2[[#This Row],[Liquidez]]+Tabla2[[#This Row],[Liquidez]]/(Tabla2[[#This Row],[Activos]]+Tabla2[[#This Row],[Liquidez]])+Tabla2[[#This Row],[Comunicación]])</f>
        <v>1.7374160729346149</v>
      </c>
      <c r="T90">
        <f ca="1">Tabla2[[#This Row],[Deuda actual]]*EXP(Tabla2[[#This Row],[Ki]]*Tabla2[[#This Row],[diferencia de días]])*(1+Tabla2[[#This Row],[Hg]])</f>
        <v>941.45359222586853</v>
      </c>
    </row>
    <row r="91" spans="1:20" ht="14.5" x14ac:dyDescent="0.35">
      <c r="A91" t="e">
        <f t="shared" si="11"/>
        <v>#VALUE!</v>
      </c>
      <c r="B91" s="21">
        <f t="shared" ca="1" si="12"/>
        <v>46133</v>
      </c>
      <c r="C91" s="21">
        <f t="shared" ca="1" si="13"/>
        <v>46157</v>
      </c>
      <c r="D91">
        <f t="shared" ca="1" si="14"/>
        <v>2</v>
      </c>
      <c r="E91">
        <f t="shared" ca="1" si="15"/>
        <v>5.3909640198319009E-2</v>
      </c>
      <c r="F91" s="47">
        <f t="shared" ca="1" si="16"/>
        <v>2109.61</v>
      </c>
      <c r="G91" s="32" t="str">
        <f t="shared" ca="1" si="17"/>
        <v>hipotecario</v>
      </c>
      <c r="H9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1" t="str">
        <f t="shared" ca="1" si="18"/>
        <v>Sí</v>
      </c>
      <c r="J9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1" s="32">
        <f ca="1">IF(Tabla2[[#This Row],[¿cliente deuda abierta?]]="Sí", Tabla2[[#This Row],[Deuda actual]]*Tabla2[[#This Row],[diferencia de días]], "0")</f>
        <v>4219.22</v>
      </c>
      <c r="L9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1">
        <f t="shared" ca="1" si="19"/>
        <v>1762.95</v>
      </c>
      <c r="P91">
        <f t="shared" ca="1" si="20"/>
        <v>36271.1</v>
      </c>
      <c r="Q91">
        <f t="shared" ca="1" si="21"/>
        <v>0</v>
      </c>
      <c r="R91">
        <f ca="1">((Tabla2[[#This Row],[Fantasma Comunicación]]+1)/(Tabla2[[#This Row],[Fantasma Comunicación]]+RANDBETWEEN(0,5)+2))-0.5</f>
        <v>-0.16666666666666669</v>
      </c>
      <c r="S91" s="51">
        <f ca="1">1+MAX(0,Tabla2[[#This Row],[Deuda actual]]/Tabla2[[#This Row],[Liquidez]]+Tabla2[[#This Row],[Liquidez]]/(Tabla2[[#This Row],[Activos]]+Tabla2[[#This Row],[Liquidez]])+Tabla2[[#This Row],[Comunicación]])</f>
        <v>2.0763215404602242</v>
      </c>
      <c r="T91">
        <f ca="1">Tabla2[[#This Row],[Deuda actual]]*EXP(Tabla2[[#This Row],[Ki]]*Tabla2[[#This Row],[diferencia de días]])*(1+Tabla2[[#This Row],[Hg]])</f>
        <v>2215.9767134308704</v>
      </c>
    </row>
    <row r="92" spans="1:20" ht="14.5" x14ac:dyDescent="0.35">
      <c r="A92" t="e">
        <f t="shared" si="11"/>
        <v>#VALUE!</v>
      </c>
      <c r="B92" s="21">
        <f t="shared" ca="1" si="12"/>
        <v>46091</v>
      </c>
      <c r="C92" s="21">
        <f t="shared" ca="1" si="13"/>
        <v>46157</v>
      </c>
      <c r="D92">
        <f t="shared" ca="1" si="14"/>
        <v>2</v>
      </c>
      <c r="E92">
        <f t="shared" ca="1" si="15"/>
        <v>0.65948301267086074</v>
      </c>
      <c r="F92" s="47">
        <f t="shared" ca="1" si="16"/>
        <v>10000</v>
      </c>
      <c r="G92" s="32" t="str">
        <f t="shared" ca="1" si="17"/>
        <v>personal</v>
      </c>
      <c r="H9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2" t="str">
        <f t="shared" ca="1" si="18"/>
        <v>Sí</v>
      </c>
      <c r="J9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2" s="32">
        <f ca="1">IF(Tabla2[[#This Row],[¿cliente deuda abierta?]]="Sí", Tabla2[[#This Row],[Deuda actual]]*Tabla2[[#This Row],[diferencia de días]], "0")</f>
        <v>20000</v>
      </c>
      <c r="L9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2">
        <f t="shared" ca="1" si="19"/>
        <v>1321.38</v>
      </c>
      <c r="P92">
        <f t="shared" ca="1" si="20"/>
        <v>63897.96</v>
      </c>
      <c r="Q92">
        <f t="shared" ca="1" si="21"/>
        <v>1</v>
      </c>
      <c r="R92">
        <f ca="1">((Tabla2[[#This Row],[Fantasma Comunicación]]+1)/(Tabla2[[#This Row],[Fantasma Comunicación]]+RANDBETWEEN(0,5)+2))-0.5</f>
        <v>-0.25</v>
      </c>
      <c r="S92" s="51">
        <f ca="1">1+MAX(0,Tabla2[[#This Row],[Deuda actual]]/Tabla2[[#This Row],[Liquidez]]+Tabla2[[#This Row],[Liquidez]]/(Tabla2[[#This Row],[Activos]]+Tabla2[[#This Row],[Liquidez]])+Tabla2[[#This Row],[Comunicación]])</f>
        <v>8.338106291647124</v>
      </c>
      <c r="T92">
        <f ca="1">Tabla2[[#This Row],[Deuda actual]]*EXP(Tabla2[[#This Row],[Ki]]*Tabla2[[#This Row],[diferencia de días]])*(1+Tabla2[[#This Row],[Hg]])</f>
        <v>10504.200840112013</v>
      </c>
    </row>
    <row r="93" spans="1:20" ht="14.5" x14ac:dyDescent="0.35">
      <c r="A93" t="e">
        <f t="shared" si="11"/>
        <v>#VALUE!</v>
      </c>
      <c r="B93" s="21">
        <f t="shared" ca="1" si="12"/>
        <v>46139</v>
      </c>
      <c r="C93" s="21">
        <f t="shared" ca="1" si="13"/>
        <v>46157</v>
      </c>
      <c r="D93">
        <f t="shared" ca="1" si="14"/>
        <v>5</v>
      </c>
      <c r="E93">
        <f t="shared" ca="1" si="15"/>
        <v>0.19742346853995152</v>
      </c>
      <c r="F93" s="47">
        <f t="shared" ca="1" si="16"/>
        <v>9569.4500000000007</v>
      </c>
      <c r="G93" s="32" t="str">
        <f t="shared" ca="1" si="17"/>
        <v>hipotecario</v>
      </c>
      <c r="H9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3" t="str">
        <f t="shared" ca="1" si="18"/>
        <v>No</v>
      </c>
      <c r="J9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165000.70211332102</v>
      </c>
      <c r="K93" s="32" t="str">
        <f ca="1">IF(Tabla2[[#This Row],[¿cliente deuda abierta?]]="Sí", Tabla2[[#This Row],[Deuda actual]]*Tabla2[[#This Row],[diferencia de días]], "0")</f>
        <v>0</v>
      </c>
      <c r="L9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9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93">
        <f t="shared" ca="1" si="19"/>
        <v>1257.69</v>
      </c>
      <c r="P93">
        <f t="shared" ca="1" si="20"/>
        <v>112657.06</v>
      </c>
      <c r="Q93">
        <f t="shared" ca="1" si="21"/>
        <v>2</v>
      </c>
      <c r="R93">
        <f ca="1">((Tabla2[[#This Row],[Fantasma Comunicación]]+1)/(Tabla2[[#This Row],[Fantasma Comunicación]]+RANDBETWEEN(0,5)+2))-0.5</f>
        <v>9.9999999999999978E-2</v>
      </c>
      <c r="S93" s="51">
        <f ca="1">1+MAX(0,Tabla2[[#This Row],[Deuda actual]]/Tabla2[[#This Row],[Liquidez]]+Tabla2[[#This Row],[Liquidez]]/(Tabla2[[#This Row],[Activos]]+Tabla2[[#This Row],[Liquidez]])+Tabla2[[#This Row],[Comunicación]])</f>
        <v>8.7197915887467126</v>
      </c>
      <c r="T93">
        <f ca="1">Tabla2[[#This Row],[Deuda actual]]*EXP(Tabla2[[#This Row],[Ki]]*Tabla2[[#This Row],[diferencia de días]])*(1+Tabla2[[#This Row],[Hg]])</f>
        <v>7663.2193890562476</v>
      </c>
    </row>
    <row r="94" spans="1:20" ht="14.5" x14ac:dyDescent="0.35">
      <c r="A94" t="e">
        <f t="shared" si="11"/>
        <v>#VALUE!</v>
      </c>
      <c r="B94" s="21">
        <f t="shared" ca="1" si="12"/>
        <v>46136</v>
      </c>
      <c r="C94" s="21">
        <f t="shared" ca="1" si="13"/>
        <v>46157</v>
      </c>
      <c r="D94">
        <f t="shared" ca="1" si="14"/>
        <v>22</v>
      </c>
      <c r="E94">
        <f t="shared" ca="1" si="15"/>
        <v>0.40946990248834825</v>
      </c>
      <c r="F94" s="47">
        <f t="shared" ca="1" si="16"/>
        <v>2201.7800000000002</v>
      </c>
      <c r="G94" s="32" t="str">
        <f t="shared" ca="1" si="17"/>
        <v>hipotecario</v>
      </c>
      <c r="H9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94" t="str">
        <f t="shared" ca="1" si="18"/>
        <v>Sí</v>
      </c>
      <c r="J9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4" s="32">
        <f ca="1">IF(Tabla2[[#This Row],[¿cliente deuda abierta?]]="Sí", Tabla2[[#This Row],[Deuda actual]]*Tabla2[[#This Row],[diferencia de días]], "0")</f>
        <v>48439.16</v>
      </c>
      <c r="L9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9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4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94">
        <f t="shared" ca="1" si="19"/>
        <v>2131.12</v>
      </c>
      <c r="P94">
        <f t="shared" ca="1" si="20"/>
        <v>146424.57</v>
      </c>
      <c r="Q94">
        <f t="shared" ca="1" si="21"/>
        <v>1</v>
      </c>
      <c r="R94">
        <f ca="1">((Tabla2[[#This Row],[Fantasma Comunicación]]+1)/(Tabla2[[#This Row],[Fantasma Comunicación]]+RANDBETWEEN(0,5)+2))-0.5</f>
        <v>-9.9999999999999978E-2</v>
      </c>
      <c r="S94" s="51">
        <f ca="1">1+MAX(0,Tabla2[[#This Row],[Deuda actual]]/Tabla2[[#This Row],[Liquidez]]+Tabla2[[#This Row],[Liquidez]]/(Tabla2[[#This Row],[Activos]]+Tabla2[[#This Row],[Liquidez]])+Tabla2[[#This Row],[Comunicación]])</f>
        <v>1.9475018712256804</v>
      </c>
      <c r="T94">
        <f ca="1">Tabla2[[#This Row],[Deuda actual]]*EXP(Tabla2[[#This Row],[Ki]]*Tabla2[[#This Row],[diferencia de días]])*(1+Tabla2[[#This Row],[Hg]])</f>
        <v>2443.3652843027694</v>
      </c>
    </row>
    <row r="95" spans="1:20" ht="14.5" x14ac:dyDescent="0.35">
      <c r="A95" t="e">
        <f t="shared" si="11"/>
        <v>#VALUE!</v>
      </c>
      <c r="B95" s="21">
        <f t="shared" ca="1" si="12"/>
        <v>46111</v>
      </c>
      <c r="C95" s="21">
        <f t="shared" ca="1" si="13"/>
        <v>46157</v>
      </c>
      <c r="D95">
        <f t="shared" ca="1" si="14"/>
        <v>9</v>
      </c>
      <c r="E95">
        <f t="shared" ca="1" si="15"/>
        <v>5.4684289356099591E-2</v>
      </c>
      <c r="F95" s="47">
        <f t="shared" ca="1" si="16"/>
        <v>76.86</v>
      </c>
      <c r="G95" s="32" t="str">
        <f t="shared" ca="1" si="17"/>
        <v>hipotecario</v>
      </c>
      <c r="H9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5" t="str">
        <f t="shared" ca="1" si="18"/>
        <v>No</v>
      </c>
      <c r="J9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165000.33634324514</v>
      </c>
      <c r="K95" s="32" t="str">
        <f ca="1">IF(Tabla2[[#This Row],[¿cliente deuda abierta?]]="Sí", Tabla2[[#This Row],[Deuda actual]]*Tabla2[[#This Row],[diferencia de días]], "0")</f>
        <v>0</v>
      </c>
      <c r="L9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9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95">
        <f t="shared" ca="1" si="19"/>
        <v>1474.91</v>
      </c>
      <c r="P95">
        <f t="shared" ca="1" si="20"/>
        <v>107064.59</v>
      </c>
      <c r="Q95">
        <f t="shared" ca="1" si="21"/>
        <v>5</v>
      </c>
      <c r="R95">
        <f ca="1">((Tabla2[[#This Row],[Fantasma Comunicación]]+1)/(Tabla2[[#This Row],[Fantasma Comunicación]]+RANDBETWEEN(0,5)+2))-0.5</f>
        <v>9.9999999999999978E-2</v>
      </c>
      <c r="S95" s="51">
        <f ca="1">1+MAX(0,Tabla2[[#This Row],[Deuda actual]]/Tabla2[[#This Row],[Liquidez]]+Tabla2[[#This Row],[Liquidez]]/(Tabla2[[#This Row],[Activos]]+Tabla2[[#This Row],[Liquidez]])+Tabla2[[#This Row],[Comunicación]])</f>
        <v>1.1657003477875367</v>
      </c>
      <c r="T95">
        <f ca="1">Tabla2[[#This Row],[Deuda actual]]*EXP(Tabla2[[#This Row],[Ki]]*Tabla2[[#This Row],[diferencia de días]])*(1+Tabla2[[#This Row],[Hg]])</f>
        <v>61.598778070353241</v>
      </c>
    </row>
    <row r="96" spans="1:20" ht="14.5" x14ac:dyDescent="0.35">
      <c r="A96" t="e">
        <f t="shared" si="11"/>
        <v>#VALUE!</v>
      </c>
      <c r="B96" s="21">
        <f t="shared" ca="1" si="12"/>
        <v>46091</v>
      </c>
      <c r="C96" s="21">
        <f t="shared" ca="1" si="13"/>
        <v>46157</v>
      </c>
      <c r="D96">
        <f t="shared" ca="1" si="14"/>
        <v>39</v>
      </c>
      <c r="E96">
        <f t="shared" ca="1" si="15"/>
        <v>0.57376673541887324</v>
      </c>
      <c r="F96" s="47">
        <f t="shared" ca="1" si="16"/>
        <v>1433.79</v>
      </c>
      <c r="G96" s="32" t="str">
        <f t="shared" ca="1" si="17"/>
        <v>personal</v>
      </c>
      <c r="H9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96" t="str">
        <f t="shared" ca="1" si="18"/>
        <v>Sí</v>
      </c>
      <c r="J9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6" s="32">
        <f ca="1">IF(Tabla2[[#This Row],[¿cliente deuda abierta?]]="Sí", Tabla2[[#This Row],[Deuda actual]]*Tabla2[[#This Row],[diferencia de días]], "0")</f>
        <v>55917.81</v>
      </c>
      <c r="L9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9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6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96">
        <f t="shared" ca="1" si="19"/>
        <v>1609.12</v>
      </c>
      <c r="P96">
        <f t="shared" ca="1" si="20"/>
        <v>41167.69</v>
      </c>
      <c r="Q96">
        <f t="shared" ca="1" si="21"/>
        <v>0</v>
      </c>
      <c r="R96">
        <f ca="1">((Tabla2[[#This Row],[Fantasma Comunicación]]+1)/(Tabla2[[#This Row],[Fantasma Comunicación]]+RANDBETWEEN(0,5)+2))-0.5</f>
        <v>-0.16666666666666669</v>
      </c>
      <c r="S96" s="51">
        <f ca="1">1+MAX(0,Tabla2[[#This Row],[Deuda actual]]/Tabla2[[#This Row],[Liquidez]]+Tabla2[[#This Row],[Liquidez]]/(Tabla2[[#This Row],[Activos]]+Tabla2[[#This Row],[Liquidez]])+Tabla2[[#This Row],[Comunicación]])</f>
        <v>1.7619897995654621</v>
      </c>
      <c r="T96">
        <f ca="1">Tabla2[[#This Row],[Deuda actual]]*EXP(Tabla2[[#This Row],[Ki]]*Tabla2[[#This Row],[diferencia de días]])*(1+Tabla2[[#This Row],[Hg]])</f>
        <v>1639.8937739280359</v>
      </c>
    </row>
    <row r="97" spans="1:20" ht="14.5" x14ac:dyDescent="0.35">
      <c r="A97" t="e">
        <f t="shared" si="11"/>
        <v>#VALUE!</v>
      </c>
      <c r="B97" s="21">
        <f t="shared" ca="1" si="12"/>
        <v>46115</v>
      </c>
      <c r="C97" s="21">
        <f t="shared" ca="1" si="13"/>
        <v>46157</v>
      </c>
      <c r="D97">
        <f t="shared" ca="1" si="14"/>
        <v>34</v>
      </c>
      <c r="E97">
        <f t="shared" ca="1" si="15"/>
        <v>0.39609387275871422</v>
      </c>
      <c r="F97" s="47">
        <f t="shared" ca="1" si="16"/>
        <v>1389.27</v>
      </c>
      <c r="G97" s="32" t="str">
        <f t="shared" ca="1" si="17"/>
        <v>hipotecario</v>
      </c>
      <c r="H9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97" t="str">
        <f t="shared" ca="1" si="18"/>
        <v>Sí</v>
      </c>
      <c r="J9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7" s="32">
        <f ca="1">IF(Tabla2[[#This Row],[¿cliente deuda abierta?]]="Sí", Tabla2[[#This Row],[Deuda actual]]*Tabla2[[#This Row],[diferencia de días]], "0")</f>
        <v>47235.18</v>
      </c>
      <c r="L9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9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7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97">
        <f t="shared" ca="1" si="19"/>
        <v>2036.86</v>
      </c>
      <c r="P97">
        <f t="shared" ca="1" si="20"/>
        <v>70413.350000000006</v>
      </c>
      <c r="Q97">
        <f t="shared" ca="1" si="21"/>
        <v>3</v>
      </c>
      <c r="R97">
        <f ca="1">((Tabla2[[#This Row],[Fantasma Comunicación]]+1)/(Tabla2[[#This Row],[Fantasma Comunicación]]+RANDBETWEEN(0,5)+2))-0.5</f>
        <v>7.1428571428571397E-2</v>
      </c>
      <c r="S97" s="51">
        <f ca="1">1+MAX(0,Tabla2[[#This Row],[Deuda actual]]/Tabla2[[#This Row],[Liquidez]]+Tabla2[[#This Row],[Liquidez]]/(Tabla2[[#This Row],[Activos]]+Tabla2[[#This Row],[Liquidez]])+Tabla2[[#This Row],[Comunicación]])</f>
        <v>1.7816070499380441</v>
      </c>
      <c r="T97">
        <f ca="1">Tabla2[[#This Row],[Deuda actual]]*EXP(Tabla2[[#This Row],[Ki]]*Tabla2[[#This Row],[diferencia de días]])*(1+Tabla2[[#This Row],[Hg]])</f>
        <v>1581.0490922480897</v>
      </c>
    </row>
    <row r="98" spans="1:20" ht="14.5" x14ac:dyDescent="0.35">
      <c r="A98" t="e">
        <f t="shared" si="11"/>
        <v>#VALUE!</v>
      </c>
      <c r="B98" s="21">
        <f t="shared" ca="1" si="12"/>
        <v>46127</v>
      </c>
      <c r="C98" s="21">
        <f t="shared" ca="1" si="13"/>
        <v>46157</v>
      </c>
      <c r="D98">
        <f t="shared" ca="1" si="14"/>
        <v>36</v>
      </c>
      <c r="E98">
        <f t="shared" ca="1" si="15"/>
        <v>0.32936813101988727</v>
      </c>
      <c r="F98" s="47">
        <f t="shared" ca="1" si="16"/>
        <v>1926.87</v>
      </c>
      <c r="G98" s="32" t="str">
        <f t="shared" ca="1" si="17"/>
        <v>hipotecario</v>
      </c>
      <c r="H9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98" t="str">
        <f t="shared" ca="1" si="18"/>
        <v>No</v>
      </c>
      <c r="J9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165000.28649660089</v>
      </c>
      <c r="K98" s="32" t="str">
        <f ca="1">IF(Tabla2[[#This Row],[¿cliente deuda abierta?]]="Sí", Tabla2[[#This Row],[Deuda actual]]*Tabla2[[#This Row],[diferencia de días]], "0")</f>
        <v>0</v>
      </c>
      <c r="L9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9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98">
        <f t="shared" ca="1" si="19"/>
        <v>1939.65</v>
      </c>
      <c r="P98">
        <f t="shared" ca="1" si="20"/>
        <v>503599.12</v>
      </c>
      <c r="Q98">
        <f t="shared" ca="1" si="21"/>
        <v>2</v>
      </c>
      <c r="R98">
        <f ca="1">((Tabla2[[#This Row],[Fantasma Comunicación]]+1)/(Tabla2[[#This Row],[Fantasma Comunicación]]+RANDBETWEEN(0,5)+2))-0.5</f>
        <v>0</v>
      </c>
      <c r="S98" s="51">
        <f ca="1">1+MAX(0,Tabla2[[#This Row],[Deuda actual]]/Tabla2[[#This Row],[Liquidez]]+Tabla2[[#This Row],[Liquidez]]/(Tabla2[[#This Row],[Activos]]+Tabla2[[#This Row],[Liquidez]])+Tabla2[[#This Row],[Comunicación]])</f>
        <v>1.997247980149607</v>
      </c>
      <c r="T98">
        <f ca="1">Tabla2[[#This Row],[Deuda actual]]*EXP(Tabla2[[#This Row],[Ki]]*Tabla2[[#This Row],[diferencia de días]])*(1+Tabla2[[#This Row],[Hg]])</f>
        <v>1598.0008407423729</v>
      </c>
    </row>
    <row r="99" spans="1:20" ht="14.5" x14ac:dyDescent="0.35">
      <c r="A99" t="e">
        <f t="shared" si="11"/>
        <v>#VALUE!</v>
      </c>
      <c r="B99" s="21">
        <f t="shared" ca="1" si="12"/>
        <v>46084</v>
      </c>
      <c r="C99" s="21">
        <f t="shared" ca="1" si="13"/>
        <v>46157</v>
      </c>
      <c r="D99">
        <f t="shared" ca="1" si="14"/>
        <v>7</v>
      </c>
      <c r="E99">
        <f t="shared" ca="1" si="15"/>
        <v>1.2771847074327325E-2</v>
      </c>
      <c r="F99" s="47">
        <f t="shared" ca="1" si="16"/>
        <v>2937.77</v>
      </c>
      <c r="G99" s="32" t="str">
        <f t="shared" ca="1" si="17"/>
        <v>personal</v>
      </c>
      <c r="H9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9" t="str">
        <f t="shared" ca="1" si="18"/>
        <v>Sí</v>
      </c>
      <c r="J9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9" s="32">
        <f ca="1">IF(Tabla2[[#This Row],[¿cliente deuda abierta?]]="Sí", Tabla2[[#This Row],[Deuda actual]]*Tabla2[[#This Row],[diferencia de días]], "0")</f>
        <v>20564.39</v>
      </c>
      <c r="L9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9">
        <f t="shared" ca="1" si="19"/>
        <v>1987.78</v>
      </c>
      <c r="P99">
        <f t="shared" ca="1" si="20"/>
        <v>434364.7</v>
      </c>
      <c r="Q99">
        <f t="shared" ca="1" si="21"/>
        <v>2</v>
      </c>
      <c r="R99">
        <f ca="1">((Tabla2[[#This Row],[Fantasma Comunicación]]+1)/(Tabla2[[#This Row],[Fantasma Comunicación]]+RANDBETWEEN(0,5)+2))-0.5</f>
        <v>0</v>
      </c>
      <c r="S99" s="51">
        <f ca="1">1+MAX(0,Tabla2[[#This Row],[Deuda actual]]/Tabla2[[#This Row],[Liquidez]]+Tabla2[[#This Row],[Liquidez]]/(Tabla2[[#This Row],[Activos]]+Tabla2[[#This Row],[Liquidez]])+Tabla2[[#This Row],[Comunicación]])</f>
        <v>2.4824705066570765</v>
      </c>
      <c r="T99">
        <f ca="1">Tabla2[[#This Row],[Deuda actual]]*EXP(Tabla2[[#This Row],[Ki]]*Tabla2[[#This Row],[diferencia de días]])*(1+Tabla2[[#This Row],[Hg]])</f>
        <v>3088.9800462765411</v>
      </c>
    </row>
    <row r="100" spans="1:20" ht="14.5" x14ac:dyDescent="0.35">
      <c r="A100" t="e">
        <f t="shared" si="11"/>
        <v>#VALUE!</v>
      </c>
      <c r="B100" s="21">
        <f t="shared" ca="1" si="12"/>
        <v>46097</v>
      </c>
      <c r="C100" s="21">
        <f t="shared" ca="1" si="13"/>
        <v>46157</v>
      </c>
      <c r="D100">
        <f t="shared" ca="1" si="14"/>
        <v>50</v>
      </c>
      <c r="E100">
        <f t="shared" ca="1" si="15"/>
        <v>0.50768424133377255</v>
      </c>
      <c r="F100" s="47">
        <f t="shared" ca="1" si="16"/>
        <v>127.98</v>
      </c>
      <c r="G100" s="32" t="str">
        <f t="shared" ca="1" si="17"/>
        <v>hipotecario</v>
      </c>
      <c r="H10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1.5E-3</v>
      </c>
      <c r="I100" t="str">
        <f t="shared" ca="1" si="18"/>
        <v>Sí</v>
      </c>
      <c r="J10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00" s="32">
        <f ca="1">IF(Tabla2[[#This Row],[¿cliente deuda abierta?]]="Sí", Tabla2[[#This Row],[Deuda actual]]*Tabla2[[#This Row],[diferencia de días]], "0")</f>
        <v>6399</v>
      </c>
      <c r="L10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0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0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00">
        <f t="shared" ca="1" si="19"/>
        <v>1463.33</v>
      </c>
      <c r="P100">
        <f t="shared" ca="1" si="20"/>
        <v>45495.32</v>
      </c>
      <c r="Q100">
        <f t="shared" ca="1" si="21"/>
        <v>2</v>
      </c>
      <c r="R100">
        <f ca="1">((Tabla2[[#This Row],[Fantasma Comunicación]]+1)/(Tabla2[[#This Row],[Fantasma Comunicación]]+RANDBETWEEN(0,5)+2))-0.5</f>
        <v>-0.125</v>
      </c>
      <c r="S100" s="51">
        <f ca="1">1+MAX(0,Tabla2[[#This Row],[Deuda actual]]/Tabla2[[#This Row],[Liquidez]]+Tabla2[[#This Row],[Liquidez]]/(Tabla2[[#This Row],[Activos]]+Tabla2[[#This Row],[Liquidez]])+Tabla2[[#This Row],[Comunicación]])</f>
        <v>1</v>
      </c>
      <c r="T100">
        <f ca="1">Tabla2[[#This Row],[Deuda actual]]*EXP(Tabla2[[#This Row],[Ki]]*Tabla2[[#This Row],[diferencia de días]])*(1+Tabla2[[#This Row],[Hg]])</f>
        <v>144.84499431172591</v>
      </c>
    </row>
    <row r="101" spans="1:20" ht="14.5" x14ac:dyDescent="0.35">
      <c r="A101" t="e">
        <f t="shared" si="11"/>
        <v>#VALUE!</v>
      </c>
      <c r="B101" s="21">
        <f t="shared" ca="1" si="12"/>
        <v>46133</v>
      </c>
      <c r="C101" s="21">
        <f t="shared" ca="1" si="13"/>
        <v>46157</v>
      </c>
      <c r="D101">
        <f t="shared" ca="1" si="14"/>
        <v>9</v>
      </c>
      <c r="E101">
        <f t="shared" ca="1" si="15"/>
        <v>0.38580352868943835</v>
      </c>
      <c r="F101" s="47">
        <f t="shared" ca="1" si="16"/>
        <v>404.72</v>
      </c>
      <c r="G101" s="32" t="str">
        <f t="shared" ca="1" si="17"/>
        <v>personal</v>
      </c>
      <c r="H10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01" t="str">
        <f t="shared" ca="1" si="18"/>
        <v>Sí</v>
      </c>
      <c r="J10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01" s="32">
        <f ca="1">IF(Tabla2[[#This Row],[¿cliente deuda abierta?]]="Sí", Tabla2[[#This Row],[Deuda actual]]*Tabla2[[#This Row],[diferencia de días]], "0")</f>
        <v>3642.4800000000005</v>
      </c>
      <c r="L10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0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0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01">
        <f t="shared" ca="1" si="19"/>
        <v>1892.4</v>
      </c>
      <c r="P101">
        <f t="shared" ca="1" si="20"/>
        <v>487920.98</v>
      </c>
      <c r="Q101">
        <f t="shared" ca="1" si="21"/>
        <v>1</v>
      </c>
      <c r="R101">
        <f ca="1">((Tabla2[[#This Row],[Fantasma Comunicación]]+1)/(Tabla2[[#This Row],[Fantasma Comunicación]]+RANDBETWEEN(0,5)+2))-0.5</f>
        <v>-0.16666666666666669</v>
      </c>
      <c r="S101" s="51">
        <f ca="1">1+MAX(0,Tabla2[[#This Row],[Deuda actual]]/Tabla2[[#This Row],[Liquidez]]+Tabla2[[#This Row],[Liquidez]]/(Tabla2[[#This Row],[Activos]]+Tabla2[[#This Row],[Liquidez]])+Tabla2[[#This Row],[Comunicación]])</f>
        <v>1.0510628358727987</v>
      </c>
      <c r="T101">
        <f ca="1">Tabla2[[#This Row],[Deuda actual]]*EXP(Tabla2[[#This Row],[Ki]]*Tabla2[[#This Row],[diferencia de días]])*(1+Tabla2[[#This Row],[Hg]])</f>
        <v>425.72160964196325</v>
      </c>
    </row>
    <row r="102" spans="1:20" ht="14.5" x14ac:dyDescent="0.35">
      <c r="A102" t="e">
        <f t="shared" si="11"/>
        <v>#VALUE!</v>
      </c>
      <c r="B102" s="21">
        <f t="shared" ca="1" si="12"/>
        <v>46142</v>
      </c>
      <c r="C102" s="21">
        <f t="shared" ca="1" si="13"/>
        <v>46157</v>
      </c>
      <c r="D102">
        <f t="shared" ca="1" si="14"/>
        <v>12</v>
      </c>
      <c r="E102">
        <f t="shared" ca="1" si="15"/>
        <v>7.1065757972673671E-3</v>
      </c>
      <c r="F102" s="47">
        <f t="shared" ca="1" si="16"/>
        <v>4639.28</v>
      </c>
      <c r="G102" s="32" t="str">
        <f t="shared" ca="1" si="17"/>
        <v>personal</v>
      </c>
      <c r="H10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02" t="str">
        <f t="shared" ca="1" si="18"/>
        <v>Sí</v>
      </c>
      <c r="J10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02" s="32">
        <f ca="1">IF(Tabla2[[#This Row],[¿cliente deuda abierta?]]="Sí", Tabla2[[#This Row],[Deuda actual]]*Tabla2[[#This Row],[diferencia de días]], "0")</f>
        <v>55671.360000000001</v>
      </c>
      <c r="L10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10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02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102">
        <f t="shared" ca="1" si="19"/>
        <v>1510.91</v>
      </c>
      <c r="P102">
        <f t="shared" ca="1" si="20"/>
        <v>102178.88</v>
      </c>
      <c r="Q102">
        <f t="shared" ca="1" si="21"/>
        <v>3</v>
      </c>
      <c r="R102">
        <f ca="1">((Tabla2[[#This Row],[Fantasma Comunicación]]+1)/(Tabla2[[#This Row],[Fantasma Comunicación]]+RANDBETWEEN(0,5)+2))-0.5</f>
        <v>0.16666666666666663</v>
      </c>
      <c r="S102" s="51">
        <f ca="1">1+MAX(0,Tabla2[[#This Row],[Deuda actual]]/Tabla2[[#This Row],[Liquidez]]+Tabla2[[#This Row],[Liquidez]]/(Tabla2[[#This Row],[Activos]]+Tabla2[[#This Row],[Liquidez]])+Tabla2[[#This Row],[Comunicación]])</f>
        <v>4.2517585258211676</v>
      </c>
      <c r="T102">
        <f ca="1">Tabla2[[#This Row],[Deuda actual]]*EXP(Tabla2[[#This Row],[Ki]]*Tabla2[[#This Row],[diferencia de días]])*(1+Tabla2[[#This Row],[Hg]])</f>
        <v>5115.4704082038888</v>
      </c>
    </row>
    <row r="103" spans="1:20" ht="14.5" x14ac:dyDescent="0.35">
      <c r="A103" t="e">
        <f t="shared" si="11"/>
        <v>#VALUE!</v>
      </c>
      <c r="B103" s="21">
        <f t="shared" ca="1" si="12"/>
        <v>46093</v>
      </c>
      <c r="C103" s="21">
        <f t="shared" ca="1" si="13"/>
        <v>46157</v>
      </c>
      <c r="D103">
        <f t="shared" ca="1" si="14"/>
        <v>51</v>
      </c>
      <c r="E103">
        <f t="shared" ca="1" si="15"/>
        <v>0.46427987246492397</v>
      </c>
      <c r="F103" s="47">
        <f t="shared" ca="1" si="16"/>
        <v>1736.73</v>
      </c>
      <c r="G103" s="32" t="str">
        <f t="shared" ca="1" si="17"/>
        <v>personal</v>
      </c>
      <c r="H10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1.5E-3</v>
      </c>
      <c r="I103" t="str">
        <f t="shared" ca="1" si="18"/>
        <v>Sí</v>
      </c>
      <c r="J10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03" s="32">
        <f ca="1">IF(Tabla2[[#This Row],[¿cliente deuda abierta?]]="Sí", Tabla2[[#This Row],[Deuda actual]]*Tabla2[[#This Row],[diferencia de días]], "0")</f>
        <v>88573.23</v>
      </c>
      <c r="L10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10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03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103">
        <f t="shared" ca="1" si="19"/>
        <v>1593.79</v>
      </c>
      <c r="P103">
        <f t="shared" ca="1" si="20"/>
        <v>90577.77</v>
      </c>
      <c r="Q103">
        <f t="shared" ca="1" si="21"/>
        <v>2</v>
      </c>
      <c r="R103">
        <f ca="1">((Tabla2[[#This Row],[Fantasma Comunicación]]+1)/(Tabla2[[#This Row],[Fantasma Comunicación]]+RANDBETWEEN(0,5)+2))-0.5</f>
        <v>-7.1428571428571452E-2</v>
      </c>
      <c r="S103" s="51">
        <f ca="1">1+MAX(0,Tabla2[[#This Row],[Deuda actual]]/Tabla2[[#This Row],[Liquidez]]+Tabla2[[#This Row],[Liquidez]]/(Tabla2[[#This Row],[Activos]]+Tabla2[[#This Row],[Liquidez]])+Tabla2[[#This Row],[Comunicación]])</f>
        <v>2.035548580124849</v>
      </c>
      <c r="T103">
        <f ca="1">Tabla2[[#This Row],[Deuda actual]]*EXP(Tabla2[[#This Row],[Ki]]*Tabla2[[#This Row],[diferencia de días]])*(1+Tabla2[[#This Row],[Hg]])</f>
        <v>2156.0244148779052</v>
      </c>
    </row>
    <row r="104" spans="1:20" ht="14.5" x14ac:dyDescent="0.35">
      <c r="A104" t="e">
        <f t="shared" si="11"/>
        <v>#VALUE!</v>
      </c>
      <c r="B104" s="21">
        <f t="shared" ca="1" si="12"/>
        <v>46142</v>
      </c>
      <c r="C104" s="21">
        <f t="shared" ca="1" si="13"/>
        <v>46157</v>
      </c>
      <c r="D104">
        <f t="shared" ca="1" si="14"/>
        <v>46</v>
      </c>
      <c r="E104">
        <f t="shared" ca="1" si="15"/>
        <v>0.89798416429597527</v>
      </c>
      <c r="F104" s="47">
        <f t="shared" ca="1" si="16"/>
        <v>324.37</v>
      </c>
      <c r="G104" s="32" t="str">
        <f t="shared" ca="1" si="17"/>
        <v>personal</v>
      </c>
      <c r="H10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104" t="str">
        <f t="shared" ca="1" si="18"/>
        <v>Sí</v>
      </c>
      <c r="J10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04" s="32">
        <f ca="1">IF(Tabla2[[#This Row],[¿cliente deuda abierta?]]="Sí", Tabla2[[#This Row],[Deuda actual]]*Tabla2[[#This Row],[diferencia de días]], "0")</f>
        <v>14921.02</v>
      </c>
      <c r="L10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0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0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04">
        <f t="shared" ca="1" si="19"/>
        <v>1447.06</v>
      </c>
      <c r="P104">
        <f t="shared" ca="1" si="20"/>
        <v>178514.29</v>
      </c>
      <c r="Q104">
        <f t="shared" ca="1" si="21"/>
        <v>4</v>
      </c>
      <c r="R104">
        <f ca="1">((Tabla2[[#This Row],[Fantasma Comunicación]]+1)/(Tabla2[[#This Row],[Fantasma Comunicación]]+RANDBETWEEN(0,5)+2))-0.5</f>
        <v>5.555555555555558E-2</v>
      </c>
      <c r="S104" s="51">
        <f ca="1">1+MAX(0,Tabla2[[#This Row],[Deuda actual]]/Tabla2[[#This Row],[Liquidez]]+Tabla2[[#This Row],[Liquidez]]/(Tabla2[[#This Row],[Activos]]+Tabla2[[#This Row],[Liquidez]])+Tabla2[[#This Row],[Comunicación]])</f>
        <v>1.2877544521872382</v>
      </c>
      <c r="T104">
        <f ca="1">Tabla2[[#This Row],[Deuda actual]]*EXP(Tabla2[[#This Row],[Ki]]*Tabla2[[#This Row],[diferencia de días]])*(1+Tabla2[[#This Row],[Hg]])</f>
        <v>356.62150301620687</v>
      </c>
    </row>
    <row r="105" spans="1:20" ht="14.5" x14ac:dyDescent="0.35">
      <c r="A105" t="e">
        <f t="shared" si="11"/>
        <v>#VALUE!</v>
      </c>
      <c r="B105" s="21">
        <f t="shared" ca="1" si="12"/>
        <v>46131</v>
      </c>
      <c r="C105" s="21">
        <f t="shared" ca="1" si="13"/>
        <v>46157</v>
      </c>
      <c r="D105">
        <f t="shared" ca="1" si="14"/>
        <v>5</v>
      </c>
      <c r="E105">
        <f t="shared" ca="1" si="15"/>
        <v>0.22007777161941389</v>
      </c>
      <c r="F105" s="47">
        <f t="shared" ca="1" si="16"/>
        <v>204.07</v>
      </c>
      <c r="G105" s="32" t="str">
        <f t="shared" ca="1" si="17"/>
        <v>hipotecario</v>
      </c>
      <c r="H10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05" t="str">
        <f t="shared" ca="1" si="18"/>
        <v>Sí</v>
      </c>
      <c r="J10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05" s="32">
        <f ca="1">IF(Tabla2[[#This Row],[¿cliente deuda abierta?]]="Sí", Tabla2[[#This Row],[Deuda actual]]*Tabla2[[#This Row],[diferencia de días]], "0")</f>
        <v>1020.3499999999999</v>
      </c>
      <c r="L10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0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0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05">
        <f t="shared" ca="1" si="19"/>
        <v>1609.64</v>
      </c>
      <c r="P105">
        <f t="shared" ca="1" si="20"/>
        <v>80739.37</v>
      </c>
      <c r="Q105">
        <f t="shared" ca="1" si="21"/>
        <v>5</v>
      </c>
      <c r="R105">
        <f ca="1">((Tabla2[[#This Row],[Fantasma Comunicación]]+1)/(Tabla2[[#This Row],[Fantasma Comunicación]]+RANDBETWEEN(0,5)+2))-0.5</f>
        <v>0.25</v>
      </c>
      <c r="S105" s="51">
        <f ca="1">1+MAX(0,Tabla2[[#This Row],[Deuda actual]]/Tabla2[[#This Row],[Liquidez]]+Tabla2[[#This Row],[Liquidez]]/(Tabla2[[#This Row],[Activos]]+Tabla2[[#This Row],[Liquidez]])+Tabla2[[#This Row],[Comunicación]])</f>
        <v>1.3963264627364076</v>
      </c>
      <c r="T105">
        <f ca="1">Tabla2[[#This Row],[Deuda actual]]*EXP(Tabla2[[#This Row],[Ki]]*Tabla2[[#This Row],[diferencia de días]])*(1+Tabla2[[#This Row],[Hg]])</f>
        <v>214.48788067247119</v>
      </c>
    </row>
    <row r="106" spans="1:20" ht="14.5" x14ac:dyDescent="0.35">
      <c r="A106" t="e">
        <f t="shared" si="11"/>
        <v>#VALUE!</v>
      </c>
      <c r="B106" s="21">
        <f t="shared" ca="1" si="12"/>
        <v>46131</v>
      </c>
      <c r="C106" s="21">
        <f t="shared" ca="1" si="13"/>
        <v>46157</v>
      </c>
      <c r="D106">
        <f t="shared" ca="1" si="14"/>
        <v>21</v>
      </c>
      <c r="E106">
        <f t="shared" ca="1" si="15"/>
        <v>0.93260129311769735</v>
      </c>
      <c r="F106" s="47">
        <f t="shared" ca="1" si="16"/>
        <v>378.95</v>
      </c>
      <c r="G106" s="32" t="str">
        <f t="shared" ca="1" si="17"/>
        <v>hipotecario</v>
      </c>
      <c r="H10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106" t="str">
        <f t="shared" ca="1" si="18"/>
        <v>Sí</v>
      </c>
      <c r="J10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06" s="32">
        <f ca="1">IF(Tabla2[[#This Row],[¿cliente deuda abierta?]]="Sí", Tabla2[[#This Row],[Deuda actual]]*Tabla2[[#This Row],[diferencia de días]], "0")</f>
        <v>7957.95</v>
      </c>
      <c r="L10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0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0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06">
        <f t="shared" ca="1" si="19"/>
        <v>2018.95</v>
      </c>
      <c r="P106">
        <f t="shared" ca="1" si="20"/>
        <v>90689.43</v>
      </c>
      <c r="Q106">
        <f t="shared" ca="1" si="21"/>
        <v>4</v>
      </c>
      <c r="R106">
        <f ca="1">((Tabla2[[#This Row],[Fantasma Comunicación]]+1)/(Tabla2[[#This Row],[Fantasma Comunicación]]+RANDBETWEEN(0,5)+2))-0.5</f>
        <v>0.2142857142857143</v>
      </c>
      <c r="S106" s="51">
        <f ca="1">1+MAX(0,Tabla2[[#This Row],[Deuda actual]]/Tabla2[[#This Row],[Liquidez]]+Tabla2[[#This Row],[Liquidez]]/(Tabla2[[#This Row],[Activos]]+Tabla2[[#This Row],[Liquidez]])+Tabla2[[#This Row],[Comunicación]])</f>
        <v>1.4237597164781675</v>
      </c>
      <c r="T106">
        <f ca="1">Tabla2[[#This Row],[Deuda actual]]*EXP(Tabla2[[#This Row],[Ki]]*Tabla2[[#This Row],[diferencia de días]])*(1+Tabla2[[#This Row],[Hg]])</f>
        <v>401.25391621238794</v>
      </c>
    </row>
    <row r="107" spans="1:20" ht="14.5" x14ac:dyDescent="0.35">
      <c r="A107" t="e">
        <f t="shared" si="11"/>
        <v>#VALUE!</v>
      </c>
      <c r="B107" s="21">
        <f t="shared" ca="1" si="12"/>
        <v>46098</v>
      </c>
      <c r="C107" s="21">
        <f t="shared" ca="1" si="13"/>
        <v>46157</v>
      </c>
      <c r="D107">
        <f t="shared" ca="1" si="14"/>
        <v>45</v>
      </c>
      <c r="E107">
        <f t="shared" ca="1" si="15"/>
        <v>0.37112263701456771</v>
      </c>
      <c r="F107" s="47">
        <f t="shared" ca="1" si="16"/>
        <v>245.31</v>
      </c>
      <c r="G107" s="32" t="str">
        <f t="shared" ca="1" si="17"/>
        <v>personal</v>
      </c>
      <c r="H10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107" t="str">
        <f t="shared" ca="1" si="18"/>
        <v>No</v>
      </c>
      <c r="J10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12001.062958116974</v>
      </c>
      <c r="K107" s="32" t="str">
        <f ca="1">IF(Tabla2[[#This Row],[¿cliente deuda abierta?]]="Sí", Tabla2[[#This Row],[Deuda actual]]*Tabla2[[#This Row],[diferencia de días]], "0")</f>
        <v>0</v>
      </c>
      <c r="L10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0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0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07">
        <f t="shared" ca="1" si="19"/>
        <v>1739.18</v>
      </c>
      <c r="P107">
        <f t="shared" ca="1" si="20"/>
        <v>26831.65</v>
      </c>
      <c r="Q107">
        <f t="shared" ca="1" si="21"/>
        <v>5</v>
      </c>
      <c r="R107">
        <f ca="1">((Tabla2[[#This Row],[Fantasma Comunicación]]+1)/(Tabla2[[#This Row],[Fantasma Comunicación]]+RANDBETWEEN(0,5)+2))-0.5</f>
        <v>4.5454545454545414E-2</v>
      </c>
      <c r="S107" s="51">
        <f ca="1">1+MAX(0,Tabla2[[#This Row],[Deuda actual]]/Tabla2[[#This Row],[Liquidez]]+Tabla2[[#This Row],[Liquidez]]/(Tabla2[[#This Row],[Activos]]+Tabla2[[#This Row],[Liquidez]])+Tabla2[[#This Row],[Comunicación]])</f>
        <v>1.2473763508319398</v>
      </c>
      <c r="T107">
        <f ca="1">Tabla2[[#This Row],[Deuda actual]]*EXP(Tabla2[[#This Row],[Ki]]*Tabla2[[#This Row],[diferencia de días]])*(1+Tabla2[[#This Row],[Hg]])</f>
        <v>230.94098488278661</v>
      </c>
    </row>
    <row r="108" spans="1:20" ht="14.5" x14ac:dyDescent="0.35">
      <c r="A108" t="e">
        <f t="shared" si="11"/>
        <v>#VALUE!</v>
      </c>
      <c r="B108" s="21">
        <f t="shared" ca="1" si="12"/>
        <v>46086</v>
      </c>
      <c r="C108" s="21">
        <f t="shared" ca="1" si="13"/>
        <v>46157</v>
      </c>
      <c r="D108">
        <f t="shared" ca="1" si="14"/>
        <v>12</v>
      </c>
      <c r="E108">
        <f t="shared" ca="1" si="15"/>
        <v>0.17153400126752283</v>
      </c>
      <c r="F108" s="47">
        <f t="shared" ca="1" si="16"/>
        <v>614.95000000000005</v>
      </c>
      <c r="G108" s="32" t="str">
        <f t="shared" ca="1" si="17"/>
        <v>hipotecario</v>
      </c>
      <c r="H10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08" t="str">
        <f t="shared" ca="1" si="18"/>
        <v>No</v>
      </c>
      <c r="J10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164999.65519446266</v>
      </c>
      <c r="K108" s="32" t="str">
        <f ca="1">IF(Tabla2[[#This Row],[¿cliente deuda abierta?]]="Sí", Tabla2[[#This Row],[Deuda actual]]*Tabla2[[#This Row],[diferencia de días]], "0")</f>
        <v>0</v>
      </c>
      <c r="L10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0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10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108">
        <f t="shared" ca="1" si="19"/>
        <v>1802.63</v>
      </c>
      <c r="P108">
        <f t="shared" ca="1" si="20"/>
        <v>43200.91</v>
      </c>
      <c r="Q108">
        <f t="shared" ca="1" si="21"/>
        <v>5</v>
      </c>
      <c r="R108">
        <f ca="1">((Tabla2[[#This Row],[Fantasma Comunicación]]+1)/(Tabla2[[#This Row],[Fantasma Comunicación]]+RANDBETWEEN(0,5)+2))-0.5</f>
        <v>4.5454545454545414E-2</v>
      </c>
      <c r="S108" s="51">
        <f ca="1">1+MAX(0,Tabla2[[#This Row],[Deuda actual]]/Tabla2[[#This Row],[Liquidez]]+Tabla2[[#This Row],[Liquidez]]/(Tabla2[[#This Row],[Activos]]+Tabla2[[#This Row],[Liquidez]])+Tabla2[[#This Row],[Comunicación]])</f>
        <v>1.4266502836771238</v>
      </c>
      <c r="T108">
        <f ca="1">Tabla2[[#This Row],[Deuda actual]]*EXP(Tabla2[[#This Row],[Ki]]*Tabla2[[#This Row],[diferencia de días]])*(1+Tabla2[[#This Row],[Hg]])</f>
        <v>493.14212197895625</v>
      </c>
    </row>
    <row r="109" spans="1:20" ht="14.5" x14ac:dyDescent="0.35">
      <c r="A109" t="e">
        <f t="shared" si="11"/>
        <v>#VALUE!</v>
      </c>
      <c r="B109" s="21">
        <f t="shared" ca="1" si="12"/>
        <v>46090</v>
      </c>
      <c r="C109" s="21">
        <f t="shared" ca="1" si="13"/>
        <v>46157</v>
      </c>
      <c r="D109">
        <f t="shared" ca="1" si="14"/>
        <v>21</v>
      </c>
      <c r="E109">
        <f t="shared" ca="1" si="15"/>
        <v>0.85882079098259823</v>
      </c>
      <c r="F109" s="47">
        <f t="shared" ca="1" si="16"/>
        <v>1720.04</v>
      </c>
      <c r="G109" s="32" t="str">
        <f t="shared" ca="1" si="17"/>
        <v>personal</v>
      </c>
      <c r="H10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109" t="str">
        <f t="shared" ca="1" si="18"/>
        <v>No</v>
      </c>
      <c r="J10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11999.336429479366</v>
      </c>
      <c r="K109" s="32" t="str">
        <f ca="1">IF(Tabla2[[#This Row],[¿cliente deuda abierta?]]="Sí", Tabla2[[#This Row],[Deuda actual]]*Tabla2[[#This Row],[diferencia de días]], "0")</f>
        <v>0</v>
      </c>
      <c r="L10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0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0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09">
        <f t="shared" ca="1" si="19"/>
        <v>2069.21</v>
      </c>
      <c r="P109">
        <f t="shared" ca="1" si="20"/>
        <v>152314.07</v>
      </c>
      <c r="Q109">
        <f t="shared" ca="1" si="21"/>
        <v>5</v>
      </c>
      <c r="R109">
        <f ca="1">((Tabla2[[#This Row],[Fantasma Comunicación]]+1)/(Tabla2[[#This Row],[Fantasma Comunicación]]+RANDBETWEEN(0,5)+2))-0.5</f>
        <v>0.25</v>
      </c>
      <c r="S109" s="51">
        <f ca="1">1+MAX(0,Tabla2[[#This Row],[Deuda actual]]/Tabla2[[#This Row],[Liquidez]]+Tabla2[[#This Row],[Liquidez]]/(Tabla2[[#This Row],[Activos]]+Tabla2[[#This Row],[Liquidez]])+Tabla2[[#This Row],[Comunicación]])</f>
        <v>2.0946575106919103</v>
      </c>
      <c r="T109">
        <f ca="1">Tabla2[[#This Row],[Deuda actual]]*EXP(Tabla2[[#This Row],[Ki]]*Tabla2[[#This Row],[diferencia de días]])*(1+Tabla2[[#This Row],[Hg]])</f>
        <v>1561.0942703529431</v>
      </c>
    </row>
    <row r="110" spans="1:20" ht="14.5" x14ac:dyDescent="0.35">
      <c r="A110" t="e">
        <f t="shared" si="11"/>
        <v>#VALUE!</v>
      </c>
      <c r="B110" s="21">
        <f t="shared" ca="1" si="12"/>
        <v>46135</v>
      </c>
      <c r="C110" s="21">
        <f t="shared" ca="1" si="13"/>
        <v>46157</v>
      </c>
      <c r="D110">
        <f t="shared" ca="1" si="14"/>
        <v>3</v>
      </c>
      <c r="E110">
        <f t="shared" ca="1" si="15"/>
        <v>0.75079258975737417</v>
      </c>
      <c r="F110" s="47">
        <f t="shared" ca="1" si="16"/>
        <v>3380.09</v>
      </c>
      <c r="G110" s="32" t="str">
        <f t="shared" ca="1" si="17"/>
        <v>personal</v>
      </c>
      <c r="H11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10" t="str">
        <f t="shared" ca="1" si="18"/>
        <v>No</v>
      </c>
      <c r="J11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12000.220071438564</v>
      </c>
      <c r="K110" s="32" t="str">
        <f ca="1">IF(Tabla2[[#This Row],[¿cliente deuda abierta?]]="Sí", Tabla2[[#This Row],[Deuda actual]]*Tabla2[[#This Row],[diferencia de días]], "0")</f>
        <v>0</v>
      </c>
      <c r="L11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1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1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10">
        <f t="shared" ca="1" si="19"/>
        <v>1693.99</v>
      </c>
      <c r="P110">
        <f t="shared" ca="1" si="20"/>
        <v>117260.6</v>
      </c>
      <c r="Q110">
        <f t="shared" ca="1" si="21"/>
        <v>2</v>
      </c>
      <c r="R110">
        <f ca="1">((Tabla2[[#This Row],[Fantasma Comunicación]]+1)/(Tabla2[[#This Row],[Fantasma Comunicación]]+RANDBETWEEN(0,5)+2))-0.5</f>
        <v>9.9999999999999978E-2</v>
      </c>
      <c r="S110" s="51">
        <f ca="1">1+MAX(0,Tabla2[[#This Row],[Deuda actual]]/Tabla2[[#This Row],[Liquidez]]+Tabla2[[#This Row],[Liquidez]]/(Tabla2[[#This Row],[Activos]]+Tabla2[[#This Row],[Liquidez]])+Tabla2[[#This Row],[Comunicación]])</f>
        <v>3.1095830016589185</v>
      </c>
      <c r="T110">
        <f ca="1">Tabla2[[#This Row],[Deuda actual]]*EXP(Tabla2[[#This Row],[Ki]]*Tabla2[[#This Row],[diferencia de días]])*(1+Tabla2[[#This Row],[Hg]])</f>
        <v>3043.9067962841114</v>
      </c>
    </row>
    <row r="111" spans="1:20" ht="14.5" x14ac:dyDescent="0.35">
      <c r="A111" t="e">
        <f t="shared" si="11"/>
        <v>#VALUE!</v>
      </c>
      <c r="B111" s="21">
        <f t="shared" ca="1" si="12"/>
        <v>46091</v>
      </c>
      <c r="C111" s="21">
        <f t="shared" ca="1" si="13"/>
        <v>46157</v>
      </c>
      <c r="D111">
        <f t="shared" ca="1" si="14"/>
        <v>5</v>
      </c>
      <c r="E111">
        <f t="shared" ca="1" si="15"/>
        <v>0.31526205847205913</v>
      </c>
      <c r="F111" s="47">
        <f t="shared" ca="1" si="16"/>
        <v>3459.76</v>
      </c>
      <c r="G111" s="32" t="str">
        <f t="shared" ca="1" si="17"/>
        <v>hipotecario</v>
      </c>
      <c r="H11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11" t="str">
        <f t="shared" ca="1" si="18"/>
        <v>Sí</v>
      </c>
      <c r="J11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11" s="32">
        <f ca="1">IF(Tabla2[[#This Row],[¿cliente deuda abierta?]]="Sí", Tabla2[[#This Row],[Deuda actual]]*Tabla2[[#This Row],[diferencia de días]], "0")</f>
        <v>17298.800000000003</v>
      </c>
      <c r="L11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1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1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11">
        <f t="shared" ca="1" si="19"/>
        <v>987.68</v>
      </c>
      <c r="P111">
        <f t="shared" ca="1" si="20"/>
        <v>58266.19</v>
      </c>
      <c r="Q111">
        <f t="shared" ca="1" si="21"/>
        <v>3</v>
      </c>
      <c r="R111">
        <f ca="1">((Tabla2[[#This Row],[Fantasma Comunicación]]+1)/(Tabla2[[#This Row],[Fantasma Comunicación]]+RANDBETWEEN(0,5)+2))-0.5</f>
        <v>0.30000000000000004</v>
      </c>
      <c r="S111" s="51">
        <f ca="1">1+MAX(0,Tabla2[[#This Row],[Deuda actual]]/Tabla2[[#This Row],[Liquidez]]+Tabla2[[#This Row],[Liquidez]]/(Tabla2[[#This Row],[Activos]]+Tabla2[[#This Row],[Liquidez]])+Tabla2[[#This Row],[Comunicación]])</f>
        <v>4.8195845400924098</v>
      </c>
      <c r="T111">
        <f ca="1">Tabla2[[#This Row],[Deuda actual]]*EXP(Tabla2[[#This Row],[Ki]]*Tabla2[[#This Row],[diferencia de días]])*(1+Tabla2[[#This Row],[Hg]])</f>
        <v>3636.3825649796099</v>
      </c>
    </row>
    <row r="112" spans="1:20" ht="14.5" x14ac:dyDescent="0.35">
      <c r="A112" t="e">
        <f t="shared" si="11"/>
        <v>#VALUE!</v>
      </c>
      <c r="B112" s="21">
        <f t="shared" ca="1" si="12"/>
        <v>46126</v>
      </c>
      <c r="C112" s="21">
        <f t="shared" ca="1" si="13"/>
        <v>46157</v>
      </c>
      <c r="D112">
        <f t="shared" ca="1" si="14"/>
        <v>39</v>
      </c>
      <c r="E112">
        <f t="shared" ca="1" si="15"/>
        <v>0.13380310634430248</v>
      </c>
      <c r="F112" s="47">
        <f t="shared" ca="1" si="16"/>
        <v>3033.1</v>
      </c>
      <c r="G112" s="32" t="str">
        <f t="shared" ca="1" si="17"/>
        <v>personal</v>
      </c>
      <c r="H11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112" t="str">
        <f t="shared" ca="1" si="18"/>
        <v>Sí</v>
      </c>
      <c r="J11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12" s="32">
        <f ca="1">IF(Tabla2[[#This Row],[¿cliente deuda abierta?]]="Sí", Tabla2[[#This Row],[Deuda actual]]*Tabla2[[#This Row],[diferencia de días]], "0")</f>
        <v>118290.9</v>
      </c>
      <c r="L11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11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12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112">
        <f t="shared" ca="1" si="19"/>
        <v>1682.83</v>
      </c>
      <c r="P112">
        <f t="shared" ca="1" si="20"/>
        <v>266917.37</v>
      </c>
      <c r="Q112">
        <f t="shared" ca="1" si="21"/>
        <v>2</v>
      </c>
      <c r="R112">
        <f ca="1">((Tabla2[[#This Row],[Fantasma Comunicación]]+1)/(Tabla2[[#This Row],[Fantasma Comunicación]]+RANDBETWEEN(0,5)+2))-0.5</f>
        <v>0.25</v>
      </c>
      <c r="S112" s="51">
        <f ca="1">1+MAX(0,Tabla2[[#This Row],[Deuda actual]]/Tabla2[[#This Row],[Liquidez]]+Tabla2[[#This Row],[Liquidez]]/(Tabla2[[#This Row],[Activos]]+Tabla2[[#This Row],[Liquidez]])+Tabla2[[#This Row],[Comunicación]])</f>
        <v>3.0586456989857376</v>
      </c>
      <c r="T112">
        <f ca="1">Tabla2[[#This Row],[Deuda actual]]*EXP(Tabla2[[#This Row],[Ki]]*Tabla2[[#This Row],[diferencia de días]])*(1+Tabla2[[#This Row],[Hg]])</f>
        <v>3626.7870320531874</v>
      </c>
    </row>
    <row r="113" spans="1:20" ht="14.5" x14ac:dyDescent="0.35">
      <c r="A113" t="e">
        <f t="shared" si="11"/>
        <v>#VALUE!</v>
      </c>
      <c r="B113" s="21">
        <f t="shared" ca="1" si="12"/>
        <v>46091</v>
      </c>
      <c r="C113" s="21">
        <f t="shared" ca="1" si="13"/>
        <v>46157</v>
      </c>
      <c r="D113">
        <f t="shared" ca="1" si="14"/>
        <v>4</v>
      </c>
      <c r="E113">
        <f t="shared" ca="1" si="15"/>
        <v>0.97376662982260398</v>
      </c>
      <c r="F113" s="47">
        <f t="shared" ca="1" si="16"/>
        <v>4848.93</v>
      </c>
      <c r="G113" s="32" t="str">
        <f t="shared" ca="1" si="17"/>
        <v>personal</v>
      </c>
      <c r="H11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13" t="str">
        <f t="shared" ca="1" si="18"/>
        <v>Sí</v>
      </c>
      <c r="J11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13" s="32">
        <f ca="1">IF(Tabla2[[#This Row],[¿cliente deuda abierta?]]="Sí", Tabla2[[#This Row],[Deuda actual]]*Tabla2[[#This Row],[diferencia de días]], "0")</f>
        <v>19395.72</v>
      </c>
      <c r="L11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1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1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13">
        <f t="shared" ca="1" si="19"/>
        <v>1583.62</v>
      </c>
      <c r="P113">
        <f t="shared" ca="1" si="20"/>
        <v>194492.6</v>
      </c>
      <c r="Q113">
        <f t="shared" ca="1" si="21"/>
        <v>0</v>
      </c>
      <c r="R113">
        <f ca="1">((Tabla2[[#This Row],[Fantasma Comunicación]]+1)/(Tabla2[[#This Row],[Fantasma Comunicación]]+RANDBETWEEN(0,5)+2))-0.5</f>
        <v>-0.33333333333333337</v>
      </c>
      <c r="S113" s="51">
        <f ca="1">1+MAX(0,Tabla2[[#This Row],[Deuda actual]]/Tabla2[[#This Row],[Liquidez]]+Tabla2[[#This Row],[Liquidez]]/(Tabla2[[#This Row],[Activos]]+Tabla2[[#This Row],[Liquidez]])+Tabla2[[#This Row],[Comunicación]])</f>
        <v>3.7366709549430301</v>
      </c>
      <c r="T113">
        <f ca="1">Tabla2[[#This Row],[Deuda actual]]*EXP(Tabla2[[#This Row],[Ki]]*Tabla2[[#This Row],[diferencia de días]])*(1+Tabla2[[#This Row],[Hg]])</f>
        <v>5095.4512308750318</v>
      </c>
    </row>
    <row r="114" spans="1:20" ht="14.5" x14ac:dyDescent="0.35">
      <c r="A114" t="e">
        <f t="shared" si="11"/>
        <v>#VALUE!</v>
      </c>
      <c r="B114" s="21">
        <f t="shared" ca="1" si="12"/>
        <v>46084</v>
      </c>
      <c r="C114" s="21">
        <f t="shared" ca="1" si="13"/>
        <v>46157</v>
      </c>
      <c r="D114">
        <f t="shared" ca="1" si="14"/>
        <v>23</v>
      </c>
      <c r="E114">
        <f t="shared" ca="1" si="15"/>
        <v>0.47286692936544461</v>
      </c>
      <c r="F114" s="47">
        <f t="shared" ca="1" si="16"/>
        <v>6405.56</v>
      </c>
      <c r="G114" s="32" t="str">
        <f t="shared" ca="1" si="17"/>
        <v>personal</v>
      </c>
      <c r="H11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114" t="str">
        <f t="shared" ca="1" si="18"/>
        <v>Sí</v>
      </c>
      <c r="J11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14" s="32">
        <f ca="1">IF(Tabla2[[#This Row],[¿cliente deuda abierta?]]="Sí", Tabla2[[#This Row],[Deuda actual]]*Tabla2[[#This Row],[diferencia de días]], "0")</f>
        <v>147327.88</v>
      </c>
      <c r="L11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11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14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114">
        <f t="shared" ca="1" si="19"/>
        <v>1365.52</v>
      </c>
      <c r="P114">
        <f t="shared" ca="1" si="20"/>
        <v>111142.08</v>
      </c>
      <c r="Q114">
        <f t="shared" ca="1" si="21"/>
        <v>1</v>
      </c>
      <c r="R114">
        <f ca="1">((Tabla2[[#This Row],[Fantasma Comunicación]]+1)/(Tabla2[[#This Row],[Fantasma Comunicación]]+RANDBETWEEN(0,5)+2))-0.5</f>
        <v>-0.2142857142857143</v>
      </c>
      <c r="S114" s="51">
        <f ca="1">1+MAX(0,Tabla2[[#This Row],[Deuda actual]]/Tabla2[[#This Row],[Liquidez]]+Tabla2[[#This Row],[Liquidez]]/(Tabla2[[#This Row],[Activos]]+Tabla2[[#This Row],[Liquidez]])+Tabla2[[#This Row],[Comunicación]])</f>
        <v>5.4887823487511698</v>
      </c>
      <c r="T114">
        <f ca="1">Tabla2[[#This Row],[Deuda actual]]*EXP(Tabla2[[#This Row],[Ki]]*Tabla2[[#This Row],[diferencia de días]])*(1+Tabla2[[#This Row],[Hg]])</f>
        <v>7434.4775288174142</v>
      </c>
    </row>
    <row r="115" spans="1:20" ht="14.5" x14ac:dyDescent="0.35">
      <c r="A115" t="e">
        <f t="shared" si="11"/>
        <v>#VALUE!</v>
      </c>
      <c r="B115" s="21">
        <f t="shared" ca="1" si="12"/>
        <v>46104</v>
      </c>
      <c r="C115" s="21">
        <f t="shared" ca="1" si="13"/>
        <v>46157</v>
      </c>
      <c r="D115">
        <f t="shared" ca="1" si="14"/>
        <v>3</v>
      </c>
      <c r="E115">
        <f t="shared" ca="1" si="15"/>
        <v>0.1333652338088025</v>
      </c>
      <c r="F115" s="47">
        <f t="shared" ca="1" si="16"/>
        <v>101.4</v>
      </c>
      <c r="G115" s="32" t="str">
        <f t="shared" ca="1" si="17"/>
        <v>personal</v>
      </c>
      <c r="H11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15" t="str">
        <f t="shared" ca="1" si="18"/>
        <v>No</v>
      </c>
      <c r="J11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12000.567811143845</v>
      </c>
      <c r="K115" s="32" t="str">
        <f ca="1">IF(Tabla2[[#This Row],[¿cliente deuda abierta?]]="Sí", Tabla2[[#This Row],[Deuda actual]]*Tabla2[[#This Row],[diferencia de días]], "0")</f>
        <v>0</v>
      </c>
      <c r="L11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1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1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15">
        <f t="shared" ca="1" si="19"/>
        <v>1198.9100000000001</v>
      </c>
      <c r="P115">
        <f t="shared" ca="1" si="20"/>
        <v>92150</v>
      </c>
      <c r="Q115">
        <f t="shared" ca="1" si="21"/>
        <v>5</v>
      </c>
      <c r="R115">
        <f ca="1">((Tabla2[[#This Row],[Fantasma Comunicación]]+1)/(Tabla2[[#This Row],[Fantasma Comunicación]]+RANDBETWEEN(0,5)+2))-0.5</f>
        <v>9.9999999999999978E-2</v>
      </c>
      <c r="S115" s="51">
        <f ca="1">1+MAX(0,Tabla2[[#This Row],[Deuda actual]]/Tabla2[[#This Row],[Liquidez]]+Tabla2[[#This Row],[Liquidez]]/(Tabla2[[#This Row],[Activos]]+Tabla2[[#This Row],[Liquidez]])+Tabla2[[#This Row],[Comunicación]])</f>
        <v>1.1974201447756261</v>
      </c>
      <c r="T115">
        <f ca="1">Tabla2[[#This Row],[Deuda actual]]*EXP(Tabla2[[#This Row],[Ki]]*Tabla2[[#This Row],[diferencia de días]])*(1+Tabla2[[#This Row],[Hg]])</f>
        <v>91.314772430085853</v>
      </c>
    </row>
    <row r="116" spans="1:20" ht="14.5" x14ac:dyDescent="0.35">
      <c r="A116" t="e">
        <f t="shared" si="11"/>
        <v>#VALUE!</v>
      </c>
      <c r="B116" s="21">
        <f t="shared" ca="1" si="12"/>
        <v>46123</v>
      </c>
      <c r="C116" s="21">
        <f t="shared" ca="1" si="13"/>
        <v>46157</v>
      </c>
      <c r="D116">
        <f t="shared" ca="1" si="14"/>
        <v>1</v>
      </c>
      <c r="E116">
        <f t="shared" ca="1" si="15"/>
        <v>0.74635479406711092</v>
      </c>
      <c r="F116" s="47">
        <f t="shared" ca="1" si="16"/>
        <v>136.66</v>
      </c>
      <c r="G116" s="32" t="str">
        <f t="shared" ca="1" si="17"/>
        <v>hipotecario</v>
      </c>
      <c r="H11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16" t="str">
        <f t="shared" ca="1" si="18"/>
        <v>No</v>
      </c>
      <c r="J11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164998.55828915763</v>
      </c>
      <c r="K116" s="32" t="str">
        <f ca="1">IF(Tabla2[[#This Row],[¿cliente deuda abierta?]]="Sí", Tabla2[[#This Row],[Deuda actual]]*Tabla2[[#This Row],[diferencia de días]], "0")</f>
        <v>0</v>
      </c>
      <c r="L11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1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11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116">
        <f t="shared" ca="1" si="19"/>
        <v>1478.53</v>
      </c>
      <c r="P116">
        <f t="shared" ca="1" si="20"/>
        <v>73447.11</v>
      </c>
      <c r="Q116">
        <f t="shared" ca="1" si="21"/>
        <v>2</v>
      </c>
      <c r="R116">
        <f ca="1">((Tabla2[[#This Row],[Fantasma Comunicación]]+1)/(Tabla2[[#This Row],[Fantasma Comunicación]]+RANDBETWEEN(0,5)+2))-0.5</f>
        <v>-0.125</v>
      </c>
      <c r="S116" s="51">
        <f ca="1">1+MAX(0,Tabla2[[#This Row],[Deuda actual]]/Tabla2[[#This Row],[Liquidez]]+Tabla2[[#This Row],[Liquidez]]/(Tabla2[[#This Row],[Activos]]+Tabla2[[#This Row],[Liquidez]])+Tabla2[[#This Row],[Comunicación]])</f>
        <v>1</v>
      </c>
      <c r="T116">
        <f ca="1">Tabla2[[#This Row],[Deuda actual]]*EXP(Tabla2[[#This Row],[Ki]]*Tabla2[[#This Row],[diferencia de días]])*(1+Tabla2[[#This Row],[Hg]])</f>
        <v>109.34986778670577</v>
      </c>
    </row>
    <row r="117" spans="1:20" ht="14.5" x14ac:dyDescent="0.35">
      <c r="A117" t="e">
        <f t="shared" si="11"/>
        <v>#VALUE!</v>
      </c>
      <c r="B117" s="21">
        <f t="shared" ca="1" si="12"/>
        <v>46125</v>
      </c>
      <c r="C117" s="21">
        <f t="shared" ca="1" si="13"/>
        <v>46157</v>
      </c>
      <c r="D117">
        <f t="shared" ca="1" si="14"/>
        <v>3</v>
      </c>
      <c r="E117">
        <f t="shared" ca="1" si="15"/>
        <v>0.2882553606364755</v>
      </c>
      <c r="F117" s="47">
        <f t="shared" ca="1" si="16"/>
        <v>2125.8000000000002</v>
      </c>
      <c r="G117" s="32" t="str">
        <f t="shared" ca="1" si="17"/>
        <v>personal</v>
      </c>
      <c r="H11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17" t="str">
        <f t="shared" ca="1" si="18"/>
        <v>No</v>
      </c>
      <c r="J11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12000.778102685512</v>
      </c>
      <c r="K117" s="32" t="str">
        <f ca="1">IF(Tabla2[[#This Row],[¿cliente deuda abierta?]]="Sí", Tabla2[[#This Row],[Deuda actual]]*Tabla2[[#This Row],[diferencia de días]], "0")</f>
        <v>0</v>
      </c>
      <c r="L11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1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1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17">
        <f t="shared" ca="1" si="19"/>
        <v>2050.92</v>
      </c>
      <c r="P117">
        <f t="shared" ca="1" si="20"/>
        <v>171742.47</v>
      </c>
      <c r="Q117">
        <f t="shared" ca="1" si="21"/>
        <v>1</v>
      </c>
      <c r="R117">
        <f ca="1">((Tabla2[[#This Row],[Fantasma Comunicación]]+1)/(Tabla2[[#This Row],[Fantasma Comunicación]]+RANDBETWEEN(0,5)+2))-0.5</f>
        <v>0</v>
      </c>
      <c r="S117" s="51">
        <f ca="1">1+MAX(0,Tabla2[[#This Row],[Deuda actual]]/Tabla2[[#This Row],[Liquidez]]+Tabla2[[#This Row],[Liquidez]]/(Tabla2[[#This Row],[Activos]]+Tabla2[[#This Row],[Liquidez]])+Tabla2[[#This Row],[Comunicación]])</f>
        <v>2.0483113532073598</v>
      </c>
      <c r="T117">
        <f ca="1">Tabla2[[#This Row],[Deuda actual]]*EXP(Tabla2[[#This Row],[Ki]]*Tabla2[[#This Row],[diferencia de días]])*(1+Tabla2[[#This Row],[Hg]])</f>
        <v>1914.3682764484865</v>
      </c>
    </row>
    <row r="118" spans="1:20" ht="14.5" x14ac:dyDescent="0.35">
      <c r="A118" t="e">
        <f t="shared" si="11"/>
        <v>#VALUE!</v>
      </c>
      <c r="B118" s="21">
        <f t="shared" ca="1" si="12"/>
        <v>46142</v>
      </c>
      <c r="C118" s="21">
        <f t="shared" ca="1" si="13"/>
        <v>46157</v>
      </c>
      <c r="D118">
        <f t="shared" ca="1" si="14"/>
        <v>2</v>
      </c>
      <c r="E118">
        <f t="shared" ca="1" si="15"/>
        <v>0.2814535835751073</v>
      </c>
      <c r="F118" s="47">
        <f t="shared" ca="1" si="16"/>
        <v>178.04</v>
      </c>
      <c r="G118" s="32" t="str">
        <f t="shared" ca="1" si="17"/>
        <v>personal</v>
      </c>
      <c r="H11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18" t="str">
        <f t="shared" ca="1" si="18"/>
        <v>No</v>
      </c>
      <c r="J11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11999.307012948455</v>
      </c>
      <c r="K118" s="32" t="str">
        <f ca="1">IF(Tabla2[[#This Row],[¿cliente deuda abierta?]]="Sí", Tabla2[[#This Row],[Deuda actual]]*Tabla2[[#This Row],[diferencia de días]], "0")</f>
        <v>0</v>
      </c>
      <c r="L11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1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1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18">
        <f t="shared" ca="1" si="19"/>
        <v>1748.3</v>
      </c>
      <c r="P118">
        <f t="shared" ca="1" si="20"/>
        <v>251155.51</v>
      </c>
      <c r="Q118">
        <f t="shared" ca="1" si="21"/>
        <v>5</v>
      </c>
      <c r="R118">
        <f ca="1">((Tabla2[[#This Row],[Fantasma Comunicación]]+1)/(Tabla2[[#This Row],[Fantasma Comunicación]]+RANDBETWEEN(0,5)+2))-0.5</f>
        <v>0.25</v>
      </c>
      <c r="S118" s="51">
        <f ca="1">1+MAX(0,Tabla2[[#This Row],[Deuda actual]]/Tabla2[[#This Row],[Liquidez]]+Tabla2[[#This Row],[Liquidez]]/(Tabla2[[#This Row],[Activos]]+Tabla2[[#This Row],[Liquidez]])+Tabla2[[#This Row],[Comunicación]])</f>
        <v>1.3587489742743961</v>
      </c>
      <c r="T118">
        <f ca="1">Tabla2[[#This Row],[Deuda actual]]*EXP(Tabla2[[#This Row],[Ki]]*Tabla2[[#This Row],[diferencia de días]])*(1+Tabla2[[#This Row],[Hg]])</f>
        <v>160.30010722058935</v>
      </c>
    </row>
    <row r="119" spans="1:20" ht="14.5" x14ac:dyDescent="0.35">
      <c r="A119" t="e">
        <f t="shared" si="11"/>
        <v>#VALUE!</v>
      </c>
      <c r="B119" s="21">
        <f t="shared" ca="1" si="12"/>
        <v>46111</v>
      </c>
      <c r="C119" s="21">
        <f t="shared" ca="1" si="13"/>
        <v>46157</v>
      </c>
      <c r="D119">
        <f t="shared" ca="1" si="14"/>
        <v>9</v>
      </c>
      <c r="E119">
        <f t="shared" ca="1" si="15"/>
        <v>0.22753270050888608</v>
      </c>
      <c r="F119" s="47">
        <f t="shared" ca="1" si="16"/>
        <v>387.45</v>
      </c>
      <c r="G119" s="32" t="str">
        <f t="shared" ca="1" si="17"/>
        <v>hipotecario</v>
      </c>
      <c r="H11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19" t="str">
        <f t="shared" ca="1" si="18"/>
        <v>No</v>
      </c>
      <c r="J11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164999.85181655368</v>
      </c>
      <c r="K119" s="32" t="str">
        <f ca="1">IF(Tabla2[[#This Row],[¿cliente deuda abierta?]]="Sí", Tabla2[[#This Row],[Deuda actual]]*Tabla2[[#This Row],[diferencia de días]], "0")</f>
        <v>0</v>
      </c>
      <c r="L11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1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11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119">
        <f t="shared" ca="1" si="19"/>
        <v>1496.22</v>
      </c>
      <c r="P119">
        <f t="shared" ca="1" si="20"/>
        <v>98855.56</v>
      </c>
      <c r="Q119">
        <f t="shared" ca="1" si="21"/>
        <v>3</v>
      </c>
      <c r="R119">
        <f ca="1">((Tabla2[[#This Row],[Fantasma Comunicación]]+1)/(Tabla2[[#This Row],[Fantasma Comunicación]]+RANDBETWEEN(0,5)+2))-0.5</f>
        <v>0.16666666666666663</v>
      </c>
      <c r="S119" s="51">
        <f ca="1">1+MAX(0,Tabla2[[#This Row],[Deuda actual]]/Tabla2[[#This Row],[Liquidez]]+Tabla2[[#This Row],[Liquidez]]/(Tabla2[[#This Row],[Activos]]+Tabla2[[#This Row],[Liquidez]])+Tabla2[[#This Row],[Comunicación]])</f>
        <v>1.4405289775987689</v>
      </c>
      <c r="T119">
        <f ca="1">Tabla2[[#This Row],[Deuda actual]]*EXP(Tabla2[[#This Row],[Ki]]*Tabla2[[#This Row],[diferencia de días]])*(1+Tabla2[[#This Row],[Hg]])</f>
        <v>310.51843043661677</v>
      </c>
    </row>
    <row r="120" spans="1:20" ht="14.5" x14ac:dyDescent="0.35">
      <c r="A120" t="e">
        <f t="shared" si="11"/>
        <v>#VALUE!</v>
      </c>
      <c r="B120" s="21">
        <f t="shared" ca="1" si="12"/>
        <v>46096</v>
      </c>
      <c r="C120" s="21">
        <f t="shared" ca="1" si="13"/>
        <v>46157</v>
      </c>
      <c r="D120">
        <f t="shared" ca="1" si="14"/>
        <v>4</v>
      </c>
      <c r="E120">
        <f t="shared" ca="1" si="15"/>
        <v>3.62000922934822E-2</v>
      </c>
      <c r="F120" s="47">
        <f t="shared" ca="1" si="16"/>
        <v>201.09</v>
      </c>
      <c r="G120" s="32" t="str">
        <f t="shared" ca="1" si="17"/>
        <v>hipotecario</v>
      </c>
      <c r="H12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20" t="str">
        <f t="shared" ca="1" si="18"/>
        <v>No</v>
      </c>
      <c r="J12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164999.72535578534</v>
      </c>
      <c r="K120" s="32" t="str">
        <f ca="1">IF(Tabla2[[#This Row],[¿cliente deuda abierta?]]="Sí", Tabla2[[#This Row],[Deuda actual]]*Tabla2[[#This Row],[diferencia de días]], "0")</f>
        <v>0</v>
      </c>
      <c r="L12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2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12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120">
        <f t="shared" ca="1" si="19"/>
        <v>1463.77</v>
      </c>
      <c r="P120">
        <f t="shared" ca="1" si="20"/>
        <v>219141.47</v>
      </c>
      <c r="Q120">
        <f t="shared" ca="1" si="21"/>
        <v>4</v>
      </c>
      <c r="R120">
        <f ca="1">((Tabla2[[#This Row],[Fantasma Comunicación]]+1)/(Tabla2[[#This Row],[Fantasma Comunicación]]+RANDBETWEEN(0,5)+2))-0.5</f>
        <v>5.555555555555558E-2</v>
      </c>
      <c r="S120" s="51">
        <f ca="1">1+MAX(0,Tabla2[[#This Row],[Deuda actual]]/Tabla2[[#This Row],[Liquidez]]+Tabla2[[#This Row],[Liquidez]]/(Tabla2[[#This Row],[Activos]]+Tabla2[[#This Row],[Liquidez]])+Tabla2[[#This Row],[Comunicación]])</f>
        <v>1.1995689413993926</v>
      </c>
      <c r="T120">
        <f ca="1">Tabla2[[#This Row],[Deuda actual]]*EXP(Tabla2[[#This Row],[Ki]]*Tabla2[[#This Row],[diferencia de días]])*(1+Tabla2[[#This Row],[Hg]])</f>
        <v>161.00074909277049</v>
      </c>
    </row>
    <row r="121" spans="1:20" ht="14.5" x14ac:dyDescent="0.35">
      <c r="A121" t="e">
        <f t="shared" si="11"/>
        <v>#VALUE!</v>
      </c>
      <c r="B121" s="21">
        <f t="shared" ca="1" si="12"/>
        <v>46101</v>
      </c>
      <c r="C121" s="21">
        <f t="shared" ca="1" si="13"/>
        <v>46157</v>
      </c>
      <c r="D121">
        <f t="shared" ca="1" si="14"/>
        <v>22</v>
      </c>
      <c r="E121">
        <f t="shared" ca="1" si="15"/>
        <v>0.92373357928025168</v>
      </c>
      <c r="F121" s="47">
        <f t="shared" ca="1" si="16"/>
        <v>2751.88</v>
      </c>
      <c r="G121" s="32" t="str">
        <f t="shared" ca="1" si="17"/>
        <v>hipotecario</v>
      </c>
      <c r="H12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121" t="str">
        <f t="shared" ca="1" si="18"/>
        <v>No</v>
      </c>
      <c r="J12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165000.39476171543</v>
      </c>
      <c r="K121" s="32" t="str">
        <f ca="1">IF(Tabla2[[#This Row],[¿cliente deuda abierta?]]="Sí", Tabla2[[#This Row],[Deuda actual]]*Tabla2[[#This Row],[diferencia de días]], "0")</f>
        <v>0</v>
      </c>
      <c r="L12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2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12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121">
        <f t="shared" ca="1" si="19"/>
        <v>1472.57</v>
      </c>
      <c r="P121">
        <f t="shared" ca="1" si="20"/>
        <v>199702.12</v>
      </c>
      <c r="Q121">
        <f t="shared" ca="1" si="21"/>
        <v>5</v>
      </c>
      <c r="R121">
        <f ca="1">((Tabla2[[#This Row],[Fantasma Comunicación]]+1)/(Tabla2[[#This Row],[Fantasma Comunicación]]+RANDBETWEEN(0,5)+2))-0.5</f>
        <v>0.25</v>
      </c>
      <c r="S121" s="51">
        <f ca="1">1+MAX(0,Tabla2[[#This Row],[Deuda actual]]/Tabla2[[#This Row],[Liquidez]]+Tabla2[[#This Row],[Liquidez]]/(Tabla2[[#This Row],[Activos]]+Tabla2[[#This Row],[Liquidez]])+Tabla2[[#This Row],[Comunicación]])</f>
        <v>3.1260799161293846</v>
      </c>
      <c r="T121">
        <f ca="1">Tabla2[[#This Row],[Deuda actual]]*EXP(Tabla2[[#This Row],[Ki]]*Tabla2[[#This Row],[diferencia de días]])*(1+Tabla2[[#This Row],[Hg]])</f>
        <v>2220.9627280298355</v>
      </c>
    </row>
    <row r="122" spans="1:20" ht="14.5" x14ac:dyDescent="0.35">
      <c r="A122" t="e">
        <f t="shared" si="11"/>
        <v>#VALUE!</v>
      </c>
      <c r="B122" s="21">
        <f t="shared" ca="1" si="12"/>
        <v>46127</v>
      </c>
      <c r="C122" s="21">
        <f t="shared" ca="1" si="13"/>
        <v>46157</v>
      </c>
      <c r="D122">
        <f t="shared" ca="1" si="14"/>
        <v>12</v>
      </c>
      <c r="E122">
        <f t="shared" ca="1" si="15"/>
        <v>0.25272920752182571</v>
      </c>
      <c r="F122" s="47">
        <f t="shared" ca="1" si="16"/>
        <v>119.84</v>
      </c>
      <c r="G122" s="32" t="str">
        <f t="shared" ca="1" si="17"/>
        <v>personal</v>
      </c>
      <c r="H12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22" t="str">
        <f t="shared" ca="1" si="18"/>
        <v>Sí</v>
      </c>
      <c r="J12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22" s="32">
        <f ca="1">IF(Tabla2[[#This Row],[¿cliente deuda abierta?]]="Sí", Tabla2[[#This Row],[Deuda actual]]*Tabla2[[#This Row],[diferencia de días]], "0")</f>
        <v>1438.08</v>
      </c>
      <c r="L12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2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2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22">
        <f t="shared" ca="1" si="19"/>
        <v>1419.46</v>
      </c>
      <c r="P122">
        <f t="shared" ca="1" si="20"/>
        <v>105641.08</v>
      </c>
      <c r="Q122">
        <f t="shared" ca="1" si="21"/>
        <v>5</v>
      </c>
      <c r="R122">
        <f ca="1">((Tabla2[[#This Row],[Fantasma Comunicación]]+1)/(Tabla2[[#This Row],[Fantasma Comunicación]]+RANDBETWEEN(0,5)+2))-0.5</f>
        <v>0.25</v>
      </c>
      <c r="S122" s="51">
        <f ca="1">1+MAX(0,Tabla2[[#This Row],[Deuda actual]]/Tabla2[[#This Row],[Liquidez]]+Tabla2[[#This Row],[Liquidez]]/(Tabla2[[#This Row],[Activos]]+Tabla2[[#This Row],[Liquidez]])+Tabla2[[#This Row],[Comunicación]])</f>
        <v>1.3476849517735863</v>
      </c>
      <c r="T122">
        <f ca="1">Tabla2[[#This Row],[Deuda actual]]*EXP(Tabla2[[#This Row],[Ki]]*Tabla2[[#This Row],[diferencia de días]])*(1+Tabla2[[#This Row],[Hg]])</f>
        <v>126.13435948625096</v>
      </c>
    </row>
    <row r="123" spans="1:20" ht="14.5" x14ac:dyDescent="0.35">
      <c r="A123" t="e">
        <f t="shared" si="11"/>
        <v>#VALUE!</v>
      </c>
      <c r="B123" s="21">
        <f t="shared" ca="1" si="12"/>
        <v>46139</v>
      </c>
      <c r="C123" s="21">
        <f t="shared" ca="1" si="13"/>
        <v>46157</v>
      </c>
      <c r="D123">
        <f t="shared" ca="1" si="14"/>
        <v>5</v>
      </c>
      <c r="E123">
        <f t="shared" ca="1" si="15"/>
        <v>0.10450507404799314</v>
      </c>
      <c r="F123" s="47">
        <f t="shared" ca="1" si="16"/>
        <v>9331.24</v>
      </c>
      <c r="G123" s="32" t="str">
        <f t="shared" ca="1" si="17"/>
        <v>personal</v>
      </c>
      <c r="H12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23" t="str">
        <f t="shared" ca="1" si="18"/>
        <v>Sí</v>
      </c>
      <c r="J12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23" s="32">
        <f ca="1">IF(Tabla2[[#This Row],[¿cliente deuda abierta?]]="Sí", Tabla2[[#This Row],[Deuda actual]]*Tabla2[[#This Row],[diferencia de días]], "0")</f>
        <v>46656.2</v>
      </c>
      <c r="L12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12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23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123">
        <f t="shared" ca="1" si="19"/>
        <v>1713.95</v>
      </c>
      <c r="P123">
        <f t="shared" ca="1" si="20"/>
        <v>385860.41</v>
      </c>
      <c r="Q123">
        <f t="shared" ca="1" si="21"/>
        <v>2</v>
      </c>
      <c r="R123">
        <f ca="1">((Tabla2[[#This Row],[Fantasma Comunicación]]+1)/(Tabla2[[#This Row],[Fantasma Comunicación]]+RANDBETWEEN(0,5)+2))-0.5</f>
        <v>0.25</v>
      </c>
      <c r="S123" s="51">
        <f ca="1">1+MAX(0,Tabla2[[#This Row],[Deuda actual]]/Tabla2[[#This Row],[Liquidez]]+Tabla2[[#This Row],[Liquidez]]/(Tabla2[[#This Row],[Activos]]+Tabla2[[#This Row],[Liquidez]])+Tabla2[[#This Row],[Comunicación]])</f>
        <v>6.6987117548540978</v>
      </c>
      <c r="T123">
        <f ca="1">Tabla2[[#This Row],[Deuda actual]]*EXP(Tabla2[[#This Row],[Ki]]*Tabla2[[#This Row],[diferencia de días]])*(1+Tabla2[[#This Row],[Hg]])</f>
        <v>10274.633497893157</v>
      </c>
    </row>
    <row r="124" spans="1:20" ht="14.5" x14ac:dyDescent="0.35">
      <c r="A124" t="e">
        <f t="shared" si="11"/>
        <v>#VALUE!</v>
      </c>
      <c r="B124" s="21">
        <f t="shared" ca="1" si="12"/>
        <v>46121</v>
      </c>
      <c r="C124" s="21">
        <f t="shared" ca="1" si="13"/>
        <v>46157</v>
      </c>
      <c r="D124">
        <f t="shared" ca="1" si="14"/>
        <v>1</v>
      </c>
      <c r="E124">
        <f t="shared" ca="1" si="15"/>
        <v>0.77338885125485812</v>
      </c>
      <c r="F124" s="47">
        <f t="shared" ca="1" si="16"/>
        <v>190.07</v>
      </c>
      <c r="G124" s="32" t="str">
        <f t="shared" ca="1" si="17"/>
        <v>hipotecario</v>
      </c>
      <c r="H12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24" t="str">
        <f t="shared" ca="1" si="18"/>
        <v>No</v>
      </c>
      <c r="J12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165000.18467337987</v>
      </c>
      <c r="K124" s="32" t="str">
        <f ca="1">IF(Tabla2[[#This Row],[¿cliente deuda abierta?]]="Sí", Tabla2[[#This Row],[Deuda actual]]*Tabla2[[#This Row],[diferencia de días]], "0")</f>
        <v>0</v>
      </c>
      <c r="L12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2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12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124">
        <f t="shared" ca="1" si="19"/>
        <v>1675.84</v>
      </c>
      <c r="P124">
        <f t="shared" ca="1" si="20"/>
        <v>164673.4</v>
      </c>
      <c r="Q124">
        <f t="shared" ca="1" si="21"/>
        <v>3</v>
      </c>
      <c r="R124">
        <f ca="1">((Tabla2[[#This Row],[Fantasma Comunicación]]+1)/(Tabla2[[#This Row],[Fantasma Comunicación]]+RANDBETWEEN(0,5)+2))-0.5</f>
        <v>0.30000000000000004</v>
      </c>
      <c r="S124" s="51">
        <f ca="1">1+MAX(0,Tabla2[[#This Row],[Deuda actual]]/Tabla2[[#This Row],[Liquidez]]+Tabla2[[#This Row],[Liquidez]]/(Tabla2[[#This Row],[Activos]]+Tabla2[[#This Row],[Liquidez]])+Tabla2[[#This Row],[Comunicación]])</f>
        <v>1.4234919756808115</v>
      </c>
      <c r="T124">
        <f ca="1">Tabla2[[#This Row],[Deuda actual]]*EXP(Tabla2[[#This Row],[Ki]]*Tabla2[[#This Row],[diferencia de días]])*(1+Tabla2[[#This Row],[Hg]])</f>
        <v>152.08641424132276</v>
      </c>
    </row>
    <row r="125" spans="1:20" ht="14.5" x14ac:dyDescent="0.35">
      <c r="A125" t="e">
        <f t="shared" si="11"/>
        <v>#VALUE!</v>
      </c>
      <c r="B125" s="21">
        <f t="shared" ca="1" si="12"/>
        <v>46117</v>
      </c>
      <c r="C125" s="21">
        <f t="shared" ca="1" si="13"/>
        <v>46157</v>
      </c>
      <c r="D125">
        <f t="shared" ca="1" si="14"/>
        <v>8</v>
      </c>
      <c r="E125">
        <f t="shared" ca="1" si="15"/>
        <v>0.42806896100166802</v>
      </c>
      <c r="F125" s="47">
        <f t="shared" ca="1" si="16"/>
        <v>2321.08</v>
      </c>
      <c r="G125" s="32" t="str">
        <f t="shared" ca="1" si="17"/>
        <v>hipotecario</v>
      </c>
      <c r="H12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25" t="str">
        <f t="shared" ca="1" si="18"/>
        <v>Sí</v>
      </c>
      <c r="J12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25" s="32">
        <f ca="1">IF(Tabla2[[#This Row],[¿cliente deuda abierta?]]="Sí", Tabla2[[#This Row],[Deuda actual]]*Tabla2[[#This Row],[diferencia de días]], "0")</f>
        <v>18568.64</v>
      </c>
      <c r="L12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2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2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25">
        <f t="shared" ca="1" si="19"/>
        <v>2302.6999999999998</v>
      </c>
      <c r="P125">
        <f t="shared" ca="1" si="20"/>
        <v>200956.08</v>
      </c>
      <c r="Q125">
        <f t="shared" ca="1" si="21"/>
        <v>1</v>
      </c>
      <c r="R125">
        <f ca="1">((Tabla2[[#This Row],[Fantasma Comunicación]]+1)/(Tabla2[[#This Row],[Fantasma Comunicación]]+RANDBETWEEN(0,5)+2))-0.5</f>
        <v>-0.25</v>
      </c>
      <c r="S125" s="51">
        <f ca="1">1+MAX(0,Tabla2[[#This Row],[Deuda actual]]/Tabla2[[#This Row],[Liquidez]]+Tabla2[[#This Row],[Liquidez]]/(Tabla2[[#This Row],[Activos]]+Tabla2[[#This Row],[Liquidez]])+Tabla2[[#This Row],[Comunicación]])</f>
        <v>1.7693108421585433</v>
      </c>
      <c r="T125">
        <f ca="1">Tabla2[[#This Row],[Deuda actual]]*EXP(Tabla2[[#This Row],[Ki]]*Tabla2[[#This Row],[diferencia de días]])*(1+Tabla2[[#This Row],[Hg]])</f>
        <v>2441.0365355959357</v>
      </c>
    </row>
    <row r="126" spans="1:20" ht="14.5" x14ac:dyDescent="0.35">
      <c r="A126" t="e">
        <f t="shared" si="11"/>
        <v>#VALUE!</v>
      </c>
      <c r="B126" s="21">
        <f t="shared" ca="1" si="12"/>
        <v>46136</v>
      </c>
      <c r="C126" s="21">
        <f t="shared" ca="1" si="13"/>
        <v>46157</v>
      </c>
      <c r="D126">
        <f t="shared" ca="1" si="14"/>
        <v>16</v>
      </c>
      <c r="E126">
        <f t="shared" ca="1" si="15"/>
        <v>0.53792645940717843</v>
      </c>
      <c r="F126" s="47">
        <f t="shared" ca="1" si="16"/>
        <v>116.17</v>
      </c>
      <c r="G126" s="32" t="str">
        <f t="shared" ca="1" si="17"/>
        <v>hipotecario</v>
      </c>
      <c r="H12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126" t="str">
        <f t="shared" ca="1" si="18"/>
        <v>Sí</v>
      </c>
      <c r="J12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26" s="32">
        <f ca="1">IF(Tabla2[[#This Row],[¿cliente deuda abierta?]]="Sí", Tabla2[[#This Row],[Deuda actual]]*Tabla2[[#This Row],[diferencia de días]], "0")</f>
        <v>1858.72</v>
      </c>
      <c r="L12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2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2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26">
        <f t="shared" ca="1" si="19"/>
        <v>1916.58</v>
      </c>
      <c r="P126">
        <f t="shared" ca="1" si="20"/>
        <v>301074.76</v>
      </c>
      <c r="Q126">
        <f t="shared" ca="1" si="21"/>
        <v>3</v>
      </c>
      <c r="R126">
        <f ca="1">((Tabla2[[#This Row],[Fantasma Comunicación]]+1)/(Tabla2[[#This Row],[Fantasma Comunicación]]+RANDBETWEEN(0,5)+2))-0.5</f>
        <v>-5.555555555555558E-2</v>
      </c>
      <c r="S126" s="51">
        <f ca="1">1+MAX(0,Tabla2[[#This Row],[Deuda actual]]/Tabla2[[#This Row],[Liquidez]]+Tabla2[[#This Row],[Liquidez]]/(Tabla2[[#This Row],[Activos]]+Tabla2[[#This Row],[Liquidez]])+Tabla2[[#This Row],[Comunicación]])</f>
        <v>1.0113831473203825</v>
      </c>
      <c r="T126">
        <f ca="1">Tabla2[[#This Row],[Deuda actual]]*EXP(Tabla2[[#This Row],[Ki]]*Tabla2[[#This Row],[diferencia de días]])*(1+Tabla2[[#This Row],[Hg]])</f>
        <v>122.76166585753984</v>
      </c>
    </row>
    <row r="127" spans="1:20" ht="14.5" x14ac:dyDescent="0.35">
      <c r="A127" t="e">
        <f t="shared" si="11"/>
        <v>#VALUE!</v>
      </c>
      <c r="B127" s="21">
        <f t="shared" ca="1" si="12"/>
        <v>46125</v>
      </c>
      <c r="C127" s="21">
        <f t="shared" ca="1" si="13"/>
        <v>46157</v>
      </c>
      <c r="D127">
        <f t="shared" ca="1" si="14"/>
        <v>22</v>
      </c>
      <c r="E127">
        <f t="shared" ca="1" si="15"/>
        <v>0.92856641774959436</v>
      </c>
      <c r="F127" s="47">
        <f t="shared" ca="1" si="16"/>
        <v>6425.22</v>
      </c>
      <c r="G127" s="32" t="str">
        <f t="shared" ca="1" si="17"/>
        <v>personal</v>
      </c>
      <c r="H12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127" t="str">
        <f t="shared" ca="1" si="18"/>
        <v>Sí</v>
      </c>
      <c r="J12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27" s="32">
        <f ca="1">IF(Tabla2[[#This Row],[¿cliente deuda abierta?]]="Sí", Tabla2[[#This Row],[Deuda actual]]*Tabla2[[#This Row],[diferencia de días]], "0")</f>
        <v>141354.84</v>
      </c>
      <c r="L12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12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27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127">
        <f t="shared" ca="1" si="19"/>
        <v>2066.64</v>
      </c>
      <c r="P127">
        <f t="shared" ca="1" si="20"/>
        <v>124037.07</v>
      </c>
      <c r="Q127">
        <f t="shared" ca="1" si="21"/>
        <v>3</v>
      </c>
      <c r="R127">
        <f ca="1">((Tabla2[[#This Row],[Fantasma Comunicación]]+1)/(Tabla2[[#This Row],[Fantasma Comunicación]]+RANDBETWEEN(0,5)+2))-0.5</f>
        <v>0</v>
      </c>
      <c r="S127" s="51">
        <f ca="1">1+MAX(0,Tabla2[[#This Row],[Deuda actual]]/Tabla2[[#This Row],[Liquidez]]+Tabla2[[#This Row],[Liquidez]]/(Tabla2[[#This Row],[Activos]]+Tabla2[[#This Row],[Liquidez]])+Tabla2[[#This Row],[Comunicación]])</f>
        <v>4.1254059512452566</v>
      </c>
      <c r="T127">
        <f ca="1">Tabla2[[#This Row],[Deuda actual]]*EXP(Tabla2[[#This Row],[Ki]]*Tabla2[[#This Row],[diferencia de días]])*(1+Tabla2[[#This Row],[Hg]])</f>
        <v>7454.3131696788359</v>
      </c>
    </row>
    <row r="128" spans="1:20" ht="14.5" x14ac:dyDescent="0.35">
      <c r="A128" t="e">
        <f t="shared" si="11"/>
        <v>#VALUE!</v>
      </c>
      <c r="B128" s="21">
        <f t="shared" ca="1" si="12"/>
        <v>46122</v>
      </c>
      <c r="C128" s="21">
        <f t="shared" ca="1" si="13"/>
        <v>46157</v>
      </c>
      <c r="D128">
        <f t="shared" ca="1" si="14"/>
        <v>73</v>
      </c>
      <c r="E128">
        <f t="shared" ca="1" si="15"/>
        <v>0.27698908476037665</v>
      </c>
      <c r="F128" s="47">
        <f t="shared" ca="1" si="16"/>
        <v>804.51</v>
      </c>
      <c r="G128" s="32" t="str">
        <f t="shared" ca="1" si="17"/>
        <v>personal</v>
      </c>
      <c r="H12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128" t="str">
        <f t="shared" ca="1" si="18"/>
        <v>No</v>
      </c>
      <c r="J12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11998.98515350796</v>
      </c>
      <c r="K128" s="32" t="str">
        <f ca="1">IF(Tabla2[[#This Row],[¿cliente deuda abierta?]]="Sí", Tabla2[[#This Row],[Deuda actual]]*Tabla2[[#This Row],[diferencia de días]], "0")</f>
        <v>0</v>
      </c>
      <c r="L12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2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2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28">
        <f t="shared" ca="1" si="19"/>
        <v>1507.34</v>
      </c>
      <c r="P128">
        <f t="shared" ca="1" si="20"/>
        <v>216980.3</v>
      </c>
      <c r="Q128">
        <f t="shared" ca="1" si="21"/>
        <v>4</v>
      </c>
      <c r="R128">
        <f ca="1">((Tabla2[[#This Row],[Fantasma Comunicación]]+1)/(Tabla2[[#This Row],[Fantasma Comunicación]]+RANDBETWEEN(0,5)+2))-0.5</f>
        <v>5.555555555555558E-2</v>
      </c>
      <c r="S128" s="51">
        <f ca="1">1+MAX(0,Tabla2[[#This Row],[Deuda actual]]/Tabla2[[#This Row],[Liquidez]]+Tabla2[[#This Row],[Liquidez]]/(Tabla2[[#This Row],[Activos]]+Tabla2[[#This Row],[Liquidez]])+Tabla2[[#This Row],[Comunicación]])</f>
        <v>1.5961828166185685</v>
      </c>
      <c r="T128">
        <f ca="1">Tabla2[[#This Row],[Deuda actual]]*EXP(Tabla2[[#This Row],[Ki]]*Tabla2[[#This Row],[diferencia de días]])*(1+Tabla2[[#This Row],[Hg]])</f>
        <v>778.89237682792327</v>
      </c>
    </row>
    <row r="129" spans="1:20" ht="14.5" x14ac:dyDescent="0.35">
      <c r="A129" t="e">
        <f t="shared" si="11"/>
        <v>#VALUE!</v>
      </c>
      <c r="B129" s="21">
        <f t="shared" ca="1" si="12"/>
        <v>46101</v>
      </c>
      <c r="C129" s="21">
        <f t="shared" ca="1" si="13"/>
        <v>46157</v>
      </c>
      <c r="D129">
        <f t="shared" ca="1" si="14"/>
        <v>5</v>
      </c>
      <c r="E129">
        <f t="shared" ca="1" si="15"/>
        <v>4.1351848533217161E-2</v>
      </c>
      <c r="F129" s="47">
        <f t="shared" ca="1" si="16"/>
        <v>210.95</v>
      </c>
      <c r="G129" s="32" t="str">
        <f t="shared" ca="1" si="17"/>
        <v>personal</v>
      </c>
      <c r="H12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29" t="str">
        <f t="shared" ca="1" si="18"/>
        <v>No</v>
      </c>
      <c r="J12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11999.01591347636</v>
      </c>
      <c r="K129" s="32" t="str">
        <f ca="1">IF(Tabla2[[#This Row],[¿cliente deuda abierta?]]="Sí", Tabla2[[#This Row],[Deuda actual]]*Tabla2[[#This Row],[diferencia de días]], "0")</f>
        <v>0</v>
      </c>
      <c r="L12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2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2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29">
        <f t="shared" ca="1" si="19"/>
        <v>1813.35</v>
      </c>
      <c r="P129">
        <f t="shared" ca="1" si="20"/>
        <v>34795.199999999997</v>
      </c>
      <c r="Q129">
        <f t="shared" ca="1" si="21"/>
        <v>0</v>
      </c>
      <c r="R129">
        <f ca="1">((Tabla2[[#This Row],[Fantasma Comunicación]]+1)/(Tabla2[[#This Row],[Fantasma Comunicación]]+RANDBETWEEN(0,5)+2))-0.5</f>
        <v>0</v>
      </c>
      <c r="S129" s="51">
        <f ca="1">1+MAX(0,Tabla2[[#This Row],[Deuda actual]]/Tabla2[[#This Row],[Liquidez]]+Tabla2[[#This Row],[Liquidez]]/(Tabla2[[#This Row],[Activos]]+Tabla2[[#This Row],[Liquidez]])+Tabla2[[#This Row],[Comunicación]])</f>
        <v>1.1658651619778222</v>
      </c>
      <c r="T129">
        <f ca="1">Tabla2[[#This Row],[Deuda actual]]*EXP(Tabla2[[#This Row],[Ki]]*Tabla2[[#This Row],[diferencia de días]])*(1+Tabla2[[#This Row],[Hg]])</f>
        <v>190.04494995915041</v>
      </c>
    </row>
    <row r="130" spans="1:20" ht="14.5" x14ac:dyDescent="0.35">
      <c r="A130" t="e">
        <f t="shared" ref="A130:A193" si="22">A129+1</f>
        <v>#VALUE!</v>
      </c>
      <c r="B130" s="21">
        <f t="shared" ref="B130:B193" ca="1" si="23">RANDBETWEEN(DATE(2026,3,1), DATE(2026,5,1))</f>
        <v>46093</v>
      </c>
      <c r="C130" s="21">
        <f t="shared" ref="C130:C193" ca="1" si="24">TODAY()</f>
        <v>46157</v>
      </c>
      <c r="D130">
        <f t="shared" ref="D130:D193" ca="1" si="25">ROUND((-(15) * LN(RAND())),0)</f>
        <v>1</v>
      </c>
      <c r="E130">
        <f t="shared" ref="E130:E193" ca="1" si="26">RAND()</f>
        <v>0.38893474139739492</v>
      </c>
      <c r="F130" s="47">
        <f t="shared" ref="F130:F193" ca="1" si="27">ROUND(MIN(10000, _xlfn.LOGNORM.INV(RAND(), 69/10, 13/10)),2)</f>
        <v>377.1</v>
      </c>
      <c r="G130" s="32" t="str">
        <f t="shared" ref="G130:G193" ca="1" si="28">IF(RAND()&lt;=0.5,"personal","hipotecario")</f>
        <v>personal</v>
      </c>
      <c r="H13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30" t="str">
        <f t="shared" ref="I130:I193" ca="1" si="29">IF(RAND()&lt;=0.65, "Sí", "No")</f>
        <v>No</v>
      </c>
      <c r="J13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11998.955544628081</v>
      </c>
      <c r="K130" s="32" t="str">
        <f ca="1">IF(Tabla2[[#This Row],[¿cliente deuda abierta?]]="Sí", Tabla2[[#This Row],[Deuda actual]]*Tabla2[[#This Row],[diferencia de días]], "0")</f>
        <v>0</v>
      </c>
      <c r="L13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3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3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30">
        <f t="shared" ref="O130:O193" ca="1" si="30">ROUND(1000*(_xlfn.LOGNORM.INV(RAND(), 0.5, 0.2)),2)</f>
        <v>1524.24</v>
      </c>
      <c r="P130">
        <f t="shared" ref="P130:P193" ca="1" si="31">ROUND(50000*(_xlfn.LOGNORM.INV(RAND(), 1, 0.75)),2)</f>
        <v>53575.82</v>
      </c>
      <c r="Q130">
        <f t="shared" ref="Q130:Q193" ca="1" si="32">RANDBETWEEN(0,5)</f>
        <v>4</v>
      </c>
      <c r="R130">
        <f ca="1">((Tabla2[[#This Row],[Fantasma Comunicación]]+1)/(Tabla2[[#This Row],[Fantasma Comunicación]]+RANDBETWEEN(0,5)+2))-0.5</f>
        <v>-4.545454545454547E-2</v>
      </c>
      <c r="S130" s="51">
        <f ca="1">1+MAX(0,Tabla2[[#This Row],[Deuda actual]]/Tabla2[[#This Row],[Liquidez]]+Tabla2[[#This Row],[Liquidez]]/(Tabla2[[#This Row],[Activos]]+Tabla2[[#This Row],[Liquidez]])+Tabla2[[#This Row],[Comunicación]])</f>
        <v>1.2296105662565404</v>
      </c>
      <c r="T130">
        <f ca="1">Tabla2[[#This Row],[Deuda actual]]*EXP(Tabla2[[#This Row],[Ki]]*Tabla2[[#This Row],[diferencia de días]])*(1+Tabla2[[#This Row],[Hg]])</f>
        <v>339.45788478825256</v>
      </c>
    </row>
    <row r="131" spans="1:20" ht="14.5" x14ac:dyDescent="0.35">
      <c r="A131" t="e">
        <f t="shared" si="22"/>
        <v>#VALUE!</v>
      </c>
      <c r="B131" s="21">
        <f t="shared" ca="1" si="23"/>
        <v>46120</v>
      </c>
      <c r="C131" s="21">
        <f t="shared" ca="1" si="24"/>
        <v>46157</v>
      </c>
      <c r="D131">
        <f t="shared" ca="1" si="25"/>
        <v>9</v>
      </c>
      <c r="E131">
        <f t="shared" ca="1" si="26"/>
        <v>0.40463541795931002</v>
      </c>
      <c r="F131" s="47">
        <f t="shared" ca="1" si="27"/>
        <v>571.29</v>
      </c>
      <c r="G131" s="32" t="str">
        <f t="shared" ca="1" si="28"/>
        <v>personal</v>
      </c>
      <c r="H13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31" t="str">
        <f t="shared" ca="1" si="29"/>
        <v>No</v>
      </c>
      <c r="J13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12001.639731173174</v>
      </c>
      <c r="K131" s="32" t="str">
        <f ca="1">IF(Tabla2[[#This Row],[¿cliente deuda abierta?]]="Sí", Tabla2[[#This Row],[Deuda actual]]*Tabla2[[#This Row],[diferencia de días]], "0")</f>
        <v>0</v>
      </c>
      <c r="L13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3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3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31">
        <f t="shared" ca="1" si="30"/>
        <v>1668.58</v>
      </c>
      <c r="P131">
        <f t="shared" ca="1" si="31"/>
        <v>115444.92</v>
      </c>
      <c r="Q131">
        <f t="shared" ca="1" si="32"/>
        <v>0</v>
      </c>
      <c r="R131">
        <f ca="1">((Tabla2[[#This Row],[Fantasma Comunicación]]+1)/(Tabla2[[#This Row],[Fantasma Comunicación]]+RANDBETWEEN(0,5)+2))-0.5</f>
        <v>0</v>
      </c>
      <c r="S131" s="51">
        <f ca="1">1+MAX(0,Tabla2[[#This Row],[Deuda actual]]/Tabla2[[#This Row],[Liquidez]]+Tabla2[[#This Row],[Liquidez]]/(Tabla2[[#This Row],[Activos]]+Tabla2[[#This Row],[Liquidez]])+Tabla2[[#This Row],[Comunicación]])</f>
        <v>1.3566284928570493</v>
      </c>
      <c r="T131">
        <f ca="1">Tabla2[[#This Row],[Deuda actual]]*EXP(Tabla2[[#This Row],[Ki]]*Tabla2[[#This Row],[diferencia de días]])*(1+Tabla2[[#This Row],[Hg]])</f>
        <v>515.0873232408095</v>
      </c>
    </row>
    <row r="132" spans="1:20" ht="14.5" x14ac:dyDescent="0.35">
      <c r="A132" t="e">
        <f t="shared" si="22"/>
        <v>#VALUE!</v>
      </c>
      <c r="B132" s="21">
        <f t="shared" ca="1" si="23"/>
        <v>46091</v>
      </c>
      <c r="C132" s="21">
        <f t="shared" ca="1" si="24"/>
        <v>46157</v>
      </c>
      <c r="D132">
        <f t="shared" ca="1" si="25"/>
        <v>20</v>
      </c>
      <c r="E132">
        <f t="shared" ca="1" si="26"/>
        <v>0.17151667066168719</v>
      </c>
      <c r="F132" s="47">
        <f t="shared" ca="1" si="27"/>
        <v>1470.47</v>
      </c>
      <c r="G132" s="32" t="str">
        <f t="shared" ca="1" si="28"/>
        <v>personal</v>
      </c>
      <c r="H13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132" t="str">
        <f t="shared" ca="1" si="29"/>
        <v>No</v>
      </c>
      <c r="J13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11999.290367447127</v>
      </c>
      <c r="K132" s="32" t="str">
        <f ca="1">IF(Tabla2[[#This Row],[¿cliente deuda abierta?]]="Sí", Tabla2[[#This Row],[Deuda actual]]*Tabla2[[#This Row],[diferencia de días]], "0")</f>
        <v>0</v>
      </c>
      <c r="L13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3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3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32">
        <f t="shared" ca="1" si="30"/>
        <v>1081.6400000000001</v>
      </c>
      <c r="P132">
        <f t="shared" ca="1" si="31"/>
        <v>88512.27</v>
      </c>
      <c r="Q132">
        <f t="shared" ca="1" si="32"/>
        <v>1</v>
      </c>
      <c r="R132">
        <f ca="1">((Tabla2[[#This Row],[Fantasma Comunicación]]+1)/(Tabla2[[#This Row],[Fantasma Comunicación]]+RANDBETWEEN(0,5)+2))-0.5</f>
        <v>0.16666666666666663</v>
      </c>
      <c r="S132" s="51">
        <f ca="1">1+MAX(0,Tabla2[[#This Row],[Deuda actual]]/Tabla2[[#This Row],[Liquidez]]+Tabla2[[#This Row],[Liquidez]]/(Tabla2[[#This Row],[Activos]]+Tabla2[[#This Row],[Liquidez]])+Tabla2[[#This Row],[Comunicación]])</f>
        <v>2.5382212600915004</v>
      </c>
      <c r="T132">
        <f ca="1">Tabla2[[#This Row],[Deuda actual]]*EXP(Tabla2[[#This Row],[Ki]]*Tabla2[[#This Row],[diferencia de días]])*(1+Tabla2[[#This Row],[Hg]])</f>
        <v>1334.0528466943222</v>
      </c>
    </row>
    <row r="133" spans="1:20" ht="14.5" x14ac:dyDescent="0.35">
      <c r="A133" t="e">
        <f t="shared" si="22"/>
        <v>#VALUE!</v>
      </c>
      <c r="B133" s="21">
        <f t="shared" ca="1" si="23"/>
        <v>46132</v>
      </c>
      <c r="C133" s="21">
        <f t="shared" ca="1" si="24"/>
        <v>46157</v>
      </c>
      <c r="D133">
        <f t="shared" ca="1" si="25"/>
        <v>19</v>
      </c>
      <c r="E133">
        <f t="shared" ca="1" si="26"/>
        <v>0.11407882369563005</v>
      </c>
      <c r="F133" s="47">
        <f t="shared" ca="1" si="27"/>
        <v>10000</v>
      </c>
      <c r="G133" s="32" t="str">
        <f t="shared" ca="1" si="28"/>
        <v>hipotecario</v>
      </c>
      <c r="H13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133" t="str">
        <f t="shared" ca="1" si="29"/>
        <v>Sí</v>
      </c>
      <c r="J13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33" s="32">
        <f ca="1">IF(Tabla2[[#This Row],[¿cliente deuda abierta?]]="Sí", Tabla2[[#This Row],[Deuda actual]]*Tabla2[[#This Row],[diferencia de días]], "0")</f>
        <v>190000</v>
      </c>
      <c r="L13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13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33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133">
        <f t="shared" ca="1" si="30"/>
        <v>1299.98</v>
      </c>
      <c r="P133">
        <f t="shared" ca="1" si="31"/>
        <v>198052.66</v>
      </c>
      <c r="Q133">
        <f t="shared" ca="1" si="32"/>
        <v>1</v>
      </c>
      <c r="R133">
        <f ca="1">((Tabla2[[#This Row],[Fantasma Comunicación]]+1)/(Tabla2[[#This Row],[Fantasma Comunicación]]+RANDBETWEEN(0,5)+2))-0.5</f>
        <v>0</v>
      </c>
      <c r="S133" s="51">
        <f ca="1">1+MAX(0,Tabla2[[#This Row],[Deuda actual]]/Tabla2[[#This Row],[Liquidez]]+Tabla2[[#This Row],[Liquidez]]/(Tabla2[[#This Row],[Activos]]+Tabla2[[#This Row],[Liquidez]])+Tabla2[[#This Row],[Comunicación]])</f>
        <v>8.698947044519743</v>
      </c>
      <c r="T133">
        <f ca="1">Tabla2[[#This Row],[Deuda actual]]*EXP(Tabla2[[#This Row],[Ki]]*Tabla2[[#This Row],[diferencia de días]])*(1+Tabla2[[#This Row],[Hg]])</f>
        <v>11587.732962971706</v>
      </c>
    </row>
    <row r="134" spans="1:20" ht="14.5" x14ac:dyDescent="0.35">
      <c r="A134" t="e">
        <f t="shared" si="22"/>
        <v>#VALUE!</v>
      </c>
      <c r="B134" s="21">
        <f t="shared" ca="1" si="23"/>
        <v>46141</v>
      </c>
      <c r="C134" s="21">
        <f t="shared" ca="1" si="24"/>
        <v>46157</v>
      </c>
      <c r="D134">
        <f t="shared" ca="1" si="25"/>
        <v>15</v>
      </c>
      <c r="E134">
        <f t="shared" ca="1" si="26"/>
        <v>0.75524104319758945</v>
      </c>
      <c r="F134" s="47">
        <f t="shared" ca="1" si="27"/>
        <v>726.35</v>
      </c>
      <c r="G134" s="32" t="str">
        <f t="shared" ca="1" si="28"/>
        <v>hipotecario</v>
      </c>
      <c r="H13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134" t="str">
        <f t="shared" ca="1" si="29"/>
        <v>Sí</v>
      </c>
      <c r="J13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34" s="32">
        <f ca="1">IF(Tabla2[[#This Row],[¿cliente deuda abierta?]]="Sí", Tabla2[[#This Row],[Deuda actual]]*Tabla2[[#This Row],[diferencia de días]], "0")</f>
        <v>10895.25</v>
      </c>
      <c r="L13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3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3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34">
        <f t="shared" ca="1" si="30"/>
        <v>1364.16</v>
      </c>
      <c r="P134">
        <f t="shared" ca="1" si="31"/>
        <v>842677.62</v>
      </c>
      <c r="Q134">
        <f t="shared" ca="1" si="32"/>
        <v>5</v>
      </c>
      <c r="R134">
        <f ca="1">((Tabla2[[#This Row],[Fantasma Comunicación]]+1)/(Tabla2[[#This Row],[Fantasma Comunicación]]+RANDBETWEEN(0,5)+2))-0.5</f>
        <v>9.9999999999999978E-2</v>
      </c>
      <c r="S134" s="51">
        <f ca="1">1+MAX(0,Tabla2[[#This Row],[Deuda actual]]/Tabla2[[#This Row],[Liquidez]]+Tabla2[[#This Row],[Liquidez]]/(Tabla2[[#This Row],[Activos]]+Tabla2[[#This Row],[Liquidez]])+Tabla2[[#This Row],[Comunicación]])</f>
        <v>1.6340684283305906</v>
      </c>
      <c r="T134">
        <f ca="1">Tabla2[[#This Row],[Deuda actual]]*EXP(Tabla2[[#This Row],[Ki]]*Tabla2[[#This Row],[diferencia de días]])*(1+Tabla2[[#This Row],[Hg]])</f>
        <v>767.25726051226366</v>
      </c>
    </row>
    <row r="135" spans="1:20" ht="14.5" x14ac:dyDescent="0.35">
      <c r="A135" t="e">
        <f t="shared" si="22"/>
        <v>#VALUE!</v>
      </c>
      <c r="B135" s="21">
        <f t="shared" ca="1" si="23"/>
        <v>46102</v>
      </c>
      <c r="C135" s="21">
        <f t="shared" ca="1" si="24"/>
        <v>46157</v>
      </c>
      <c r="D135">
        <f t="shared" ca="1" si="25"/>
        <v>18</v>
      </c>
      <c r="E135">
        <f t="shared" ca="1" si="26"/>
        <v>0.39440849863200556</v>
      </c>
      <c r="F135" s="47">
        <f t="shared" ca="1" si="27"/>
        <v>1165.17</v>
      </c>
      <c r="G135" s="32" t="str">
        <f t="shared" ca="1" si="28"/>
        <v>hipotecario</v>
      </c>
      <c r="H13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135" t="str">
        <f t="shared" ca="1" si="29"/>
        <v>Sí</v>
      </c>
      <c r="J13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35" s="32">
        <f ca="1">IF(Tabla2[[#This Row],[¿cliente deuda abierta?]]="Sí", Tabla2[[#This Row],[Deuda actual]]*Tabla2[[#This Row],[diferencia de días]], "0")</f>
        <v>20973.06</v>
      </c>
      <c r="L13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3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3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35">
        <f t="shared" ca="1" si="30"/>
        <v>1477.22</v>
      </c>
      <c r="P135">
        <f t="shared" ca="1" si="31"/>
        <v>106432.8</v>
      </c>
      <c r="Q135">
        <f t="shared" ca="1" si="32"/>
        <v>2</v>
      </c>
      <c r="R135">
        <f ca="1">((Tabla2[[#This Row],[Fantasma Comunicación]]+1)/(Tabla2[[#This Row],[Fantasma Comunicación]]+RANDBETWEEN(0,5)+2))-0.5</f>
        <v>0.25</v>
      </c>
      <c r="S135" s="51">
        <f ca="1">1+MAX(0,Tabla2[[#This Row],[Deuda actual]]/Tabla2[[#This Row],[Liquidez]]+Tabla2[[#This Row],[Liquidez]]/(Tabla2[[#This Row],[Activos]]+Tabla2[[#This Row],[Liquidez]])+Tabla2[[#This Row],[Comunicación]])</f>
        <v>2.0524479823883701</v>
      </c>
      <c r="T135">
        <f ca="1">Tabla2[[#This Row],[Deuda actual]]*EXP(Tabla2[[#This Row],[Ki]]*Tabla2[[#This Row],[diferencia de días]])*(1+Tabla2[[#This Row],[Hg]])</f>
        <v>1232.2689727109505</v>
      </c>
    </row>
    <row r="136" spans="1:20" ht="14.5" x14ac:dyDescent="0.35">
      <c r="A136" t="e">
        <f t="shared" si="22"/>
        <v>#VALUE!</v>
      </c>
      <c r="B136" s="21">
        <f t="shared" ca="1" si="23"/>
        <v>46096</v>
      </c>
      <c r="C136" s="21">
        <f t="shared" ca="1" si="24"/>
        <v>46157</v>
      </c>
      <c r="D136">
        <f t="shared" ca="1" si="25"/>
        <v>40</v>
      </c>
      <c r="E136">
        <f t="shared" ca="1" si="26"/>
        <v>0.21393214290529794</v>
      </c>
      <c r="F136" s="47">
        <f t="shared" ca="1" si="27"/>
        <v>496.6</v>
      </c>
      <c r="G136" s="32" t="str">
        <f t="shared" ca="1" si="28"/>
        <v>personal</v>
      </c>
      <c r="H13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136" t="str">
        <f t="shared" ca="1" si="29"/>
        <v>Sí</v>
      </c>
      <c r="J13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36" s="32">
        <f ca="1">IF(Tabla2[[#This Row],[¿cliente deuda abierta?]]="Sí", Tabla2[[#This Row],[Deuda actual]]*Tabla2[[#This Row],[diferencia de días]], "0")</f>
        <v>19864</v>
      </c>
      <c r="L13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3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3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36">
        <f t="shared" ca="1" si="30"/>
        <v>2025.07</v>
      </c>
      <c r="P136">
        <f t="shared" ca="1" si="31"/>
        <v>253718.49</v>
      </c>
      <c r="Q136">
        <f t="shared" ca="1" si="32"/>
        <v>3</v>
      </c>
      <c r="R136">
        <f ca="1">((Tabla2[[#This Row],[Fantasma Comunicación]]+1)/(Tabla2[[#This Row],[Fantasma Comunicación]]+RANDBETWEEN(0,5)+2))-0.5</f>
        <v>0.16666666666666663</v>
      </c>
      <c r="S136" s="51">
        <f ca="1">1+MAX(0,Tabla2[[#This Row],[Deuda actual]]/Tabla2[[#This Row],[Liquidez]]+Tabla2[[#This Row],[Liquidez]]/(Tabla2[[#This Row],[Activos]]+Tabla2[[#This Row],[Liquidez]])+Tabla2[[#This Row],[Comunicación]])</f>
        <v>1.4198111192754521</v>
      </c>
      <c r="T136">
        <f ca="1">Tabla2[[#This Row],[Deuda actual]]*EXP(Tabla2[[#This Row],[Ki]]*Tabla2[[#This Row],[diferencia de días]])*(1+Tabla2[[#This Row],[Hg]])</f>
        <v>542.70996198713704</v>
      </c>
    </row>
    <row r="137" spans="1:20" ht="14.5" x14ac:dyDescent="0.35">
      <c r="A137" t="e">
        <f t="shared" si="22"/>
        <v>#VALUE!</v>
      </c>
      <c r="B137" s="21">
        <f t="shared" ca="1" si="23"/>
        <v>46095</v>
      </c>
      <c r="C137" s="21">
        <f t="shared" ca="1" si="24"/>
        <v>46157</v>
      </c>
      <c r="D137">
        <f t="shared" ca="1" si="25"/>
        <v>6</v>
      </c>
      <c r="E137">
        <f t="shared" ca="1" si="26"/>
        <v>0.39153674657447757</v>
      </c>
      <c r="F137" s="47">
        <f t="shared" ca="1" si="27"/>
        <v>171.2</v>
      </c>
      <c r="G137" s="32" t="str">
        <f t="shared" ca="1" si="28"/>
        <v>personal</v>
      </c>
      <c r="H13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37" t="str">
        <f t="shared" ca="1" si="29"/>
        <v>Sí</v>
      </c>
      <c r="J13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37" s="32">
        <f ca="1">IF(Tabla2[[#This Row],[¿cliente deuda abierta?]]="Sí", Tabla2[[#This Row],[Deuda actual]]*Tabla2[[#This Row],[diferencia de días]], "0")</f>
        <v>1027.1999999999998</v>
      </c>
      <c r="L13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3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3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37">
        <f t="shared" ca="1" si="30"/>
        <v>1533.03</v>
      </c>
      <c r="P137">
        <f t="shared" ca="1" si="31"/>
        <v>73405.75</v>
      </c>
      <c r="Q137">
        <f t="shared" ca="1" si="32"/>
        <v>0</v>
      </c>
      <c r="R137">
        <f ca="1">((Tabla2[[#This Row],[Fantasma Comunicación]]+1)/(Tabla2[[#This Row],[Fantasma Comunicación]]+RANDBETWEEN(0,5)+2))-0.5</f>
        <v>-0.25</v>
      </c>
      <c r="S137" s="51">
        <f ca="1">1+MAX(0,Tabla2[[#This Row],[Deuda actual]]/Tabla2[[#This Row],[Liquidez]]+Tabla2[[#This Row],[Liquidez]]/(Tabla2[[#This Row],[Activos]]+Tabla2[[#This Row],[Liquidez]])+Tabla2[[#This Row],[Comunicación]])</f>
        <v>1</v>
      </c>
      <c r="T137">
        <f ca="1">Tabla2[[#This Row],[Deuda actual]]*EXP(Tabla2[[#This Row],[Ki]]*Tabla2[[#This Row],[diferencia de días]])*(1+Tabla2[[#This Row],[Hg]])</f>
        <v>179.97584147898641</v>
      </c>
    </row>
    <row r="138" spans="1:20" ht="14.5" x14ac:dyDescent="0.35">
      <c r="A138" t="e">
        <f t="shared" si="22"/>
        <v>#VALUE!</v>
      </c>
      <c r="B138" s="21">
        <f t="shared" ca="1" si="23"/>
        <v>46096</v>
      </c>
      <c r="C138" s="21">
        <f t="shared" ca="1" si="24"/>
        <v>46157</v>
      </c>
      <c r="D138">
        <f t="shared" ca="1" si="25"/>
        <v>9</v>
      </c>
      <c r="E138">
        <f t="shared" ca="1" si="26"/>
        <v>0.23385160057039545</v>
      </c>
      <c r="F138" s="47">
        <f t="shared" ca="1" si="27"/>
        <v>6344.26</v>
      </c>
      <c r="G138" s="32" t="str">
        <f t="shared" ca="1" si="28"/>
        <v>personal</v>
      </c>
      <c r="H13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38" t="str">
        <f t="shared" ca="1" si="29"/>
        <v>Sí</v>
      </c>
      <c r="J13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38" s="32">
        <f ca="1">IF(Tabla2[[#This Row],[¿cliente deuda abierta?]]="Sí", Tabla2[[#This Row],[Deuda actual]]*Tabla2[[#This Row],[diferencia de días]], "0")</f>
        <v>57098.340000000004</v>
      </c>
      <c r="L13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13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38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138">
        <f t="shared" ca="1" si="30"/>
        <v>1612.09</v>
      </c>
      <c r="P138">
        <f t="shared" ca="1" si="31"/>
        <v>169385.61</v>
      </c>
      <c r="Q138">
        <f t="shared" ca="1" si="32"/>
        <v>0</v>
      </c>
      <c r="R138">
        <f ca="1">((Tabla2[[#This Row],[Fantasma Comunicación]]+1)/(Tabla2[[#This Row],[Fantasma Comunicación]]+RANDBETWEEN(0,5)+2))-0.5</f>
        <v>-0.25</v>
      </c>
      <c r="S138" s="51">
        <f ca="1">1+MAX(0,Tabla2[[#This Row],[Deuda actual]]/Tabla2[[#This Row],[Liquidez]]+Tabla2[[#This Row],[Liquidez]]/(Tabla2[[#This Row],[Activos]]+Tabla2[[#This Row],[Liquidez]])+Tabla2[[#This Row],[Comunicación]])</f>
        <v>4.6948529952115479</v>
      </c>
      <c r="T138">
        <f ca="1">Tabla2[[#This Row],[Deuda actual]]*EXP(Tabla2[[#This Row],[Ki]]*Tabla2[[#This Row],[diferencia de días]])*(1+Tabla2[[#This Row],[Hg]])</f>
        <v>6991.2589470576577</v>
      </c>
    </row>
    <row r="139" spans="1:20" ht="14.5" x14ac:dyDescent="0.35">
      <c r="A139" t="e">
        <f t="shared" si="22"/>
        <v>#VALUE!</v>
      </c>
      <c r="B139" s="21">
        <f t="shared" ca="1" si="23"/>
        <v>46135</v>
      </c>
      <c r="C139" s="21">
        <f t="shared" ca="1" si="24"/>
        <v>46157</v>
      </c>
      <c r="D139">
        <f t="shared" ca="1" si="25"/>
        <v>0</v>
      </c>
      <c r="E139">
        <f t="shared" ca="1" si="26"/>
        <v>5.4271856036502752E-2</v>
      </c>
      <c r="F139" s="47">
        <f t="shared" ca="1" si="27"/>
        <v>9278.69</v>
      </c>
      <c r="G139" s="32" t="str">
        <f t="shared" ca="1" si="28"/>
        <v>hipotecario</v>
      </c>
      <c r="H13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39" t="str">
        <f t="shared" ca="1" si="29"/>
        <v>Sí</v>
      </c>
      <c r="J13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39" s="32">
        <f ca="1">IF(Tabla2[[#This Row],[¿cliente deuda abierta?]]="Sí", Tabla2[[#This Row],[Deuda actual]]*Tabla2[[#This Row],[diferencia de días]], "0")</f>
        <v>0</v>
      </c>
      <c r="L13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3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39" s="32">
        <f ca="1">MAX(Tabla2[[#This Row],[VALORES DE Hg para actuales deudores]:[Valores de HG para deudores cerrados]])*IF(Tabla2[[#This Row],[VALORES DE Hg para actuales deudores]]&gt;Tabla2[[#This Row],[Valores de HG para deudores cerrados]],-1,1)</f>
        <v>0</v>
      </c>
      <c r="O139">
        <f t="shared" ca="1" si="30"/>
        <v>2161.61</v>
      </c>
      <c r="P139">
        <f t="shared" ca="1" si="31"/>
        <v>352686.55</v>
      </c>
      <c r="Q139">
        <f t="shared" ca="1" si="32"/>
        <v>1</v>
      </c>
      <c r="R139">
        <f ca="1">((Tabla2[[#This Row],[Fantasma Comunicación]]+1)/(Tabla2[[#This Row],[Fantasma Comunicación]]+RANDBETWEEN(0,5)+2))-0.5</f>
        <v>-0.16666666666666669</v>
      </c>
      <c r="S139" s="51">
        <f ca="1">1+MAX(0,Tabla2[[#This Row],[Deuda actual]]/Tabla2[[#This Row],[Liquidez]]+Tabla2[[#This Row],[Liquidez]]/(Tabla2[[#This Row],[Activos]]+Tabla2[[#This Row],[Liquidez]])+Tabla2[[#This Row],[Comunicación]])</f>
        <v>5.1319153008115368</v>
      </c>
      <c r="T139">
        <f ca="1">Tabla2[[#This Row],[Deuda actual]]*EXP(Tabla2[[#This Row],[Ki]]*Tabla2[[#This Row],[diferencia de días]])*(1+Tabla2[[#This Row],[Hg]])</f>
        <v>9278.69</v>
      </c>
    </row>
    <row r="140" spans="1:20" ht="14.5" x14ac:dyDescent="0.35">
      <c r="A140" t="e">
        <f t="shared" si="22"/>
        <v>#VALUE!</v>
      </c>
      <c r="B140" s="21">
        <f t="shared" ca="1" si="23"/>
        <v>46114</v>
      </c>
      <c r="C140" s="21">
        <f t="shared" ca="1" si="24"/>
        <v>46157</v>
      </c>
      <c r="D140">
        <f t="shared" ca="1" si="25"/>
        <v>5</v>
      </c>
      <c r="E140">
        <f t="shared" ca="1" si="26"/>
        <v>0.1954172255003982</v>
      </c>
      <c r="F140" s="47">
        <f t="shared" ca="1" si="27"/>
        <v>290.69</v>
      </c>
      <c r="G140" s="32" t="str">
        <f t="shared" ca="1" si="28"/>
        <v>personal</v>
      </c>
      <c r="H14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40" t="str">
        <f t="shared" ca="1" si="29"/>
        <v>No</v>
      </c>
      <c r="J14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12001.494219420838</v>
      </c>
      <c r="K140" s="32" t="str">
        <f ca="1">IF(Tabla2[[#This Row],[¿cliente deuda abierta?]]="Sí", Tabla2[[#This Row],[Deuda actual]]*Tabla2[[#This Row],[diferencia de días]], "0")</f>
        <v>0</v>
      </c>
      <c r="L14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4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4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40">
        <f t="shared" ca="1" si="30"/>
        <v>1841.46</v>
      </c>
      <c r="P140">
        <f t="shared" ca="1" si="31"/>
        <v>65607.12</v>
      </c>
      <c r="Q140">
        <f t="shared" ca="1" si="32"/>
        <v>5</v>
      </c>
      <c r="R140">
        <f ca="1">((Tabla2[[#This Row],[Fantasma Comunicación]]+1)/(Tabla2[[#This Row],[Fantasma Comunicación]]+RANDBETWEEN(0,5)+2))-0.5</f>
        <v>0.16666666666666663</v>
      </c>
      <c r="S140" s="51">
        <f ca="1">1+MAX(0,Tabla2[[#This Row],[Deuda actual]]/Tabla2[[#This Row],[Liquidez]]+Tabla2[[#This Row],[Liquidez]]/(Tabla2[[#This Row],[Activos]]+Tabla2[[#This Row],[Liquidez]])+Tabla2[[#This Row],[Comunicación]])</f>
        <v>1.3518267917867832</v>
      </c>
      <c r="T140">
        <f ca="1">Tabla2[[#This Row],[Deuda actual]]*EXP(Tabla2[[#This Row],[Ki]]*Tabla2[[#This Row],[diferencia de días]])*(1+Tabla2[[#This Row],[Hg]])</f>
        <v>261.88275185411442</v>
      </c>
    </row>
    <row r="141" spans="1:20" ht="14.5" x14ac:dyDescent="0.35">
      <c r="A141" t="e">
        <f t="shared" si="22"/>
        <v>#VALUE!</v>
      </c>
      <c r="B141" s="21">
        <f t="shared" ca="1" si="23"/>
        <v>46130</v>
      </c>
      <c r="C141" s="21">
        <f t="shared" ca="1" si="24"/>
        <v>46157</v>
      </c>
      <c r="D141">
        <f t="shared" ca="1" si="25"/>
        <v>0</v>
      </c>
      <c r="E141">
        <f t="shared" ca="1" si="26"/>
        <v>0.15125856500961754</v>
      </c>
      <c r="F141" s="47">
        <f t="shared" ca="1" si="27"/>
        <v>2906.04</v>
      </c>
      <c r="G141" s="32" t="str">
        <f t="shared" ca="1" si="28"/>
        <v>personal</v>
      </c>
      <c r="H14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41" t="str">
        <f t="shared" ca="1" si="29"/>
        <v>No</v>
      </c>
      <c r="J14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11999.352130991716</v>
      </c>
      <c r="K141" s="32" t="str">
        <f ca="1">IF(Tabla2[[#This Row],[¿cliente deuda abierta?]]="Sí", Tabla2[[#This Row],[Deuda actual]]*Tabla2[[#This Row],[diferencia de días]], "0")</f>
        <v>0</v>
      </c>
      <c r="L14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4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4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41">
        <f t="shared" ca="1" si="30"/>
        <v>2152.6999999999998</v>
      </c>
      <c r="P141">
        <f t="shared" ca="1" si="31"/>
        <v>147165.41</v>
      </c>
      <c r="Q141">
        <f t="shared" ca="1" si="32"/>
        <v>4</v>
      </c>
      <c r="R141">
        <f ca="1">((Tabla2[[#This Row],[Fantasma Comunicación]]+1)/(Tabla2[[#This Row],[Fantasma Comunicación]]+RANDBETWEEN(0,5)+2))-0.5</f>
        <v>0.125</v>
      </c>
      <c r="S141" s="51">
        <f ca="1">1+MAX(0,Tabla2[[#This Row],[Deuda actual]]/Tabla2[[#This Row],[Liquidez]]+Tabla2[[#This Row],[Liquidez]]/(Tabla2[[#This Row],[Activos]]+Tabla2[[#This Row],[Liquidez]])+Tabla2[[#This Row],[Comunicación]])</f>
        <v>2.4893680955141346</v>
      </c>
      <c r="T141">
        <f ca="1">Tabla2[[#This Row],[Deuda actual]]*EXP(Tabla2[[#This Row],[Ki]]*Tabla2[[#This Row],[diferencia de días]])*(1+Tabla2[[#This Row],[Hg]])</f>
        <v>2615.4360000000001</v>
      </c>
    </row>
    <row r="142" spans="1:20" ht="14.5" x14ac:dyDescent="0.35">
      <c r="A142" t="e">
        <f t="shared" si="22"/>
        <v>#VALUE!</v>
      </c>
      <c r="B142" s="21">
        <f t="shared" ca="1" si="23"/>
        <v>46100</v>
      </c>
      <c r="C142" s="21">
        <f t="shared" ca="1" si="24"/>
        <v>46157</v>
      </c>
      <c r="D142">
        <f t="shared" ca="1" si="25"/>
        <v>3</v>
      </c>
      <c r="E142">
        <f t="shared" ca="1" si="26"/>
        <v>0.43890717420929004</v>
      </c>
      <c r="F142" s="47">
        <f t="shared" ca="1" si="27"/>
        <v>5643.68</v>
      </c>
      <c r="G142" s="32" t="str">
        <f t="shared" ca="1" si="28"/>
        <v>personal</v>
      </c>
      <c r="H14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42" t="str">
        <f t="shared" ca="1" si="29"/>
        <v>Sí</v>
      </c>
      <c r="J14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42" s="32">
        <f ca="1">IF(Tabla2[[#This Row],[¿cliente deuda abierta?]]="Sí", Tabla2[[#This Row],[Deuda actual]]*Tabla2[[#This Row],[diferencia de días]], "0")</f>
        <v>16931.04</v>
      </c>
      <c r="L14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4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4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42">
        <f t="shared" ca="1" si="30"/>
        <v>2452.46</v>
      </c>
      <c r="P142">
        <f t="shared" ca="1" si="31"/>
        <v>145402.44</v>
      </c>
      <c r="Q142">
        <f t="shared" ca="1" si="32"/>
        <v>4</v>
      </c>
      <c r="R142">
        <f ca="1">((Tabla2[[#This Row],[Fantasma Comunicación]]+1)/(Tabla2[[#This Row],[Fantasma Comunicación]]+RANDBETWEEN(0,5)+2))-0.5</f>
        <v>0.125</v>
      </c>
      <c r="S142" s="51">
        <f ca="1">1+MAX(0,Tabla2[[#This Row],[Deuda actual]]/Tabla2[[#This Row],[Liquidez]]+Tabla2[[#This Row],[Liquidez]]/(Tabla2[[#This Row],[Activos]]+Tabla2[[#This Row],[Liquidez]])+Tabla2[[#This Row],[Comunicación]])</f>
        <v>3.442819169725067</v>
      </c>
      <c r="T142">
        <f ca="1">Tabla2[[#This Row],[Deuda actual]]*EXP(Tabla2[[#This Row],[Ki]]*Tabla2[[#This Row],[diferencia de días]])*(1+Tabla2[[#This Row],[Hg]])</f>
        <v>5929.4205852688838</v>
      </c>
    </row>
    <row r="143" spans="1:20" ht="14.5" x14ac:dyDescent="0.35">
      <c r="A143" t="e">
        <f t="shared" si="22"/>
        <v>#VALUE!</v>
      </c>
      <c r="B143" s="21">
        <f t="shared" ca="1" si="23"/>
        <v>46143</v>
      </c>
      <c r="C143" s="21">
        <f t="shared" ca="1" si="24"/>
        <v>46157</v>
      </c>
      <c r="D143">
        <f t="shared" ca="1" si="25"/>
        <v>12</v>
      </c>
      <c r="E143">
        <f t="shared" ca="1" si="26"/>
        <v>0.60989747136093964</v>
      </c>
      <c r="F143" s="47">
        <f t="shared" ca="1" si="27"/>
        <v>168.72</v>
      </c>
      <c r="G143" s="32" t="str">
        <f t="shared" ca="1" si="28"/>
        <v>personal</v>
      </c>
      <c r="H14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43" t="str">
        <f t="shared" ca="1" si="29"/>
        <v>Sí</v>
      </c>
      <c r="J14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43" s="32">
        <f ca="1">IF(Tabla2[[#This Row],[¿cliente deuda abierta?]]="Sí", Tabla2[[#This Row],[Deuda actual]]*Tabla2[[#This Row],[diferencia de días]], "0")</f>
        <v>2024.6399999999999</v>
      </c>
      <c r="L14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4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4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43">
        <f t="shared" ca="1" si="30"/>
        <v>1223.6500000000001</v>
      </c>
      <c r="P143">
        <f t="shared" ca="1" si="31"/>
        <v>149689.74</v>
      </c>
      <c r="Q143">
        <f t="shared" ca="1" si="32"/>
        <v>1</v>
      </c>
      <c r="R143">
        <f ca="1">((Tabla2[[#This Row],[Fantasma Comunicación]]+1)/(Tabla2[[#This Row],[Fantasma Comunicación]]+RANDBETWEEN(0,5)+2))-0.5</f>
        <v>0.16666666666666663</v>
      </c>
      <c r="S143" s="51">
        <f ca="1">1+MAX(0,Tabla2[[#This Row],[Deuda actual]]/Tabla2[[#This Row],[Liquidez]]+Tabla2[[#This Row],[Liquidez]]/(Tabla2[[#This Row],[Activos]]+Tabla2[[#This Row],[Liquidez]])+Tabla2[[#This Row],[Comunicación]])</f>
        <v>1.3126575242331802</v>
      </c>
      <c r="T143">
        <f ca="1">Tabla2[[#This Row],[Deuda actual]]*EXP(Tabla2[[#This Row],[Ki]]*Tabla2[[#This Row],[diferencia de días]])*(1+Tabla2[[#This Row],[Hg]])</f>
        <v>177.58168501769245</v>
      </c>
    </row>
    <row r="144" spans="1:20" ht="14.5" x14ac:dyDescent="0.35">
      <c r="A144" t="e">
        <f t="shared" si="22"/>
        <v>#VALUE!</v>
      </c>
      <c r="B144" s="21">
        <f t="shared" ca="1" si="23"/>
        <v>46123</v>
      </c>
      <c r="C144" s="21">
        <f t="shared" ca="1" si="24"/>
        <v>46157</v>
      </c>
      <c r="D144">
        <f t="shared" ca="1" si="25"/>
        <v>4</v>
      </c>
      <c r="E144">
        <f t="shared" ca="1" si="26"/>
        <v>5.32901745501001E-2</v>
      </c>
      <c r="F144" s="47">
        <f t="shared" ca="1" si="27"/>
        <v>483.45</v>
      </c>
      <c r="G144" s="32" t="str">
        <f t="shared" ca="1" si="28"/>
        <v>hipotecario</v>
      </c>
      <c r="H14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44" t="str">
        <f t="shared" ca="1" si="29"/>
        <v>Sí</v>
      </c>
      <c r="J14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44" s="32">
        <f ca="1">IF(Tabla2[[#This Row],[¿cliente deuda abierta?]]="Sí", Tabla2[[#This Row],[Deuda actual]]*Tabla2[[#This Row],[diferencia de días]], "0")</f>
        <v>1933.8</v>
      </c>
      <c r="L14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4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4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44">
        <f t="shared" ca="1" si="30"/>
        <v>1339.76</v>
      </c>
      <c r="P144">
        <f t="shared" ca="1" si="31"/>
        <v>90988</v>
      </c>
      <c r="Q144">
        <f t="shared" ca="1" si="32"/>
        <v>1</v>
      </c>
      <c r="R144">
        <f ca="1">((Tabla2[[#This Row],[Fantasma Comunicación]]+1)/(Tabla2[[#This Row],[Fantasma Comunicación]]+RANDBETWEEN(0,5)+2))-0.5</f>
        <v>-9.9999999999999978E-2</v>
      </c>
      <c r="S144" s="51">
        <f ca="1">1+MAX(0,Tabla2[[#This Row],[Deuda actual]]/Tabla2[[#This Row],[Liquidez]]+Tabla2[[#This Row],[Liquidez]]/(Tabla2[[#This Row],[Activos]]+Tabla2[[#This Row],[Liquidez]])+Tabla2[[#This Row],[Comunicación]])</f>
        <v>1.2753591236143906</v>
      </c>
      <c r="T144">
        <f ca="1">Tabla2[[#This Row],[Deuda actual]]*EXP(Tabla2[[#This Row],[Ki]]*Tabla2[[#This Row],[diferencia de días]])*(1+Tabla2[[#This Row],[Hg]])</f>
        <v>508.0287604825258</v>
      </c>
    </row>
    <row r="145" spans="1:20" ht="14.5" x14ac:dyDescent="0.35">
      <c r="A145" t="e">
        <f t="shared" si="22"/>
        <v>#VALUE!</v>
      </c>
      <c r="B145" s="21">
        <f t="shared" ca="1" si="23"/>
        <v>46140</v>
      </c>
      <c r="C145" s="21">
        <f t="shared" ca="1" si="24"/>
        <v>46157</v>
      </c>
      <c r="D145">
        <f t="shared" ca="1" si="25"/>
        <v>27</v>
      </c>
      <c r="E145">
        <f t="shared" ca="1" si="26"/>
        <v>0.58249848945011506</v>
      </c>
      <c r="F145" s="47">
        <f t="shared" ca="1" si="27"/>
        <v>1496.71</v>
      </c>
      <c r="G145" s="32" t="str">
        <f t="shared" ca="1" si="28"/>
        <v>personal</v>
      </c>
      <c r="H14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145" t="str">
        <f t="shared" ca="1" si="29"/>
        <v>Sí</v>
      </c>
      <c r="J14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45" s="32">
        <f ca="1">IF(Tabla2[[#This Row],[¿cliente deuda abierta?]]="Sí", Tabla2[[#This Row],[Deuda actual]]*Tabla2[[#This Row],[diferencia de días]], "0")</f>
        <v>40411.17</v>
      </c>
      <c r="L14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14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45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145">
        <f t="shared" ca="1" si="30"/>
        <v>1556.03</v>
      </c>
      <c r="P145">
        <f t="shared" ca="1" si="31"/>
        <v>70413.3</v>
      </c>
      <c r="Q145">
        <f t="shared" ca="1" si="32"/>
        <v>4</v>
      </c>
      <c r="R145">
        <f ca="1">((Tabla2[[#This Row],[Fantasma Comunicación]]+1)/(Tabla2[[#This Row],[Fantasma Comunicación]]+RANDBETWEEN(0,5)+2))-0.5</f>
        <v>0.125</v>
      </c>
      <c r="S145" s="51">
        <f ca="1">1+MAX(0,Tabla2[[#This Row],[Deuda actual]]/Tabla2[[#This Row],[Liquidez]]+Tabla2[[#This Row],[Liquidez]]/(Tabla2[[#This Row],[Activos]]+Tabla2[[#This Row],[Liquidez]])+Tabla2[[#This Row],[Comunicación]])</f>
        <v>2.1084980793079211</v>
      </c>
      <c r="T145">
        <f ca="1">Tabla2[[#This Row],[Deuda actual]]*EXP(Tabla2[[#This Row],[Ki]]*Tabla2[[#This Row],[diferencia de días]])*(1+Tabla2[[#This Row],[Hg]])</f>
        <v>1664.2582783362079</v>
      </c>
    </row>
    <row r="146" spans="1:20" ht="14.5" x14ac:dyDescent="0.35">
      <c r="A146" t="e">
        <f t="shared" si="22"/>
        <v>#VALUE!</v>
      </c>
      <c r="B146" s="21">
        <f t="shared" ca="1" si="23"/>
        <v>46125</v>
      </c>
      <c r="C146" s="21">
        <f t="shared" ca="1" si="24"/>
        <v>46157</v>
      </c>
      <c r="D146">
        <f t="shared" ca="1" si="25"/>
        <v>9</v>
      </c>
      <c r="E146">
        <f t="shared" ca="1" si="26"/>
        <v>0.29532785360601621</v>
      </c>
      <c r="F146" s="47">
        <f t="shared" ca="1" si="27"/>
        <v>796.28</v>
      </c>
      <c r="G146" s="32" t="str">
        <f t="shared" ca="1" si="28"/>
        <v>personal</v>
      </c>
      <c r="H14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46" t="str">
        <f t="shared" ca="1" si="29"/>
        <v>Sí</v>
      </c>
      <c r="J14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46" s="32">
        <f ca="1">IF(Tabla2[[#This Row],[¿cliente deuda abierta?]]="Sí", Tabla2[[#This Row],[Deuda actual]]*Tabla2[[#This Row],[diferencia de días]], "0")</f>
        <v>7166.5199999999995</v>
      </c>
      <c r="L14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4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4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46">
        <f t="shared" ca="1" si="30"/>
        <v>1613.12</v>
      </c>
      <c r="P146">
        <f t="shared" ca="1" si="31"/>
        <v>57767.32</v>
      </c>
      <c r="Q146">
        <f t="shared" ca="1" si="32"/>
        <v>5</v>
      </c>
      <c r="R146">
        <f ca="1">((Tabla2[[#This Row],[Fantasma Comunicación]]+1)/(Tabla2[[#This Row],[Fantasma Comunicación]]+RANDBETWEEN(0,5)+2))-0.5</f>
        <v>0</v>
      </c>
      <c r="S146" s="51">
        <f ca="1">1+MAX(0,Tabla2[[#This Row],[Deuda actual]]/Tabla2[[#This Row],[Liquidez]]+Tabla2[[#This Row],[Liquidez]]/(Tabla2[[#This Row],[Activos]]+Tabla2[[#This Row],[Liquidez]])+Tabla2[[#This Row],[Comunicación]])</f>
        <v>1.5207931043752538</v>
      </c>
      <c r="T146">
        <f ca="1">Tabla2[[#This Row],[Deuda actual]]*EXP(Tabla2[[#This Row],[Ki]]*Tabla2[[#This Row],[diferencia de días]])*(1+Tabla2[[#This Row],[Hg]])</f>
        <v>837.60032448532934</v>
      </c>
    </row>
    <row r="147" spans="1:20" ht="14.5" x14ac:dyDescent="0.35">
      <c r="A147" t="e">
        <f t="shared" si="22"/>
        <v>#VALUE!</v>
      </c>
      <c r="B147" s="21">
        <f t="shared" ca="1" si="23"/>
        <v>46125</v>
      </c>
      <c r="C147" s="21">
        <f t="shared" ca="1" si="24"/>
        <v>46157</v>
      </c>
      <c r="D147">
        <f t="shared" ca="1" si="25"/>
        <v>4</v>
      </c>
      <c r="E147">
        <f t="shared" ca="1" si="26"/>
        <v>0.79967295420280071</v>
      </c>
      <c r="F147" s="47">
        <f t="shared" ca="1" si="27"/>
        <v>3597.54</v>
      </c>
      <c r="G147" s="32" t="str">
        <f t="shared" ca="1" si="28"/>
        <v>personal</v>
      </c>
      <c r="H14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47" t="str">
        <f t="shared" ca="1" si="29"/>
        <v>Sí</v>
      </c>
      <c r="J14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47" s="32">
        <f ca="1">IF(Tabla2[[#This Row],[¿cliente deuda abierta?]]="Sí", Tabla2[[#This Row],[Deuda actual]]*Tabla2[[#This Row],[diferencia de días]], "0")</f>
        <v>14390.16</v>
      </c>
      <c r="L14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4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4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47">
        <f t="shared" ca="1" si="30"/>
        <v>1861</v>
      </c>
      <c r="P147">
        <f t="shared" ca="1" si="31"/>
        <v>160079.21</v>
      </c>
      <c r="Q147">
        <f t="shared" ca="1" si="32"/>
        <v>3</v>
      </c>
      <c r="R147">
        <f ca="1">((Tabla2[[#This Row],[Fantasma Comunicación]]+1)/(Tabla2[[#This Row],[Fantasma Comunicación]]+RANDBETWEEN(0,5)+2))-0.5</f>
        <v>0.30000000000000004</v>
      </c>
      <c r="S147" s="51">
        <f ca="1">1+MAX(0,Tabla2[[#This Row],[Deuda actual]]/Tabla2[[#This Row],[Liquidez]]+Tabla2[[#This Row],[Liquidez]]/(Tabla2[[#This Row],[Activos]]+Tabla2[[#This Row],[Liquidez]])+Tabla2[[#This Row],[Comunicación]])</f>
        <v>3.2446138731132343</v>
      </c>
      <c r="T147">
        <f ca="1">Tabla2[[#This Row],[Deuda actual]]*EXP(Tabla2[[#This Row],[Ki]]*Tabla2[[#This Row],[diferencia de días]])*(1+Tabla2[[#This Row],[Hg]])</f>
        <v>3780.4401426958439</v>
      </c>
    </row>
    <row r="148" spans="1:20" ht="14.5" x14ac:dyDescent="0.35">
      <c r="A148" t="e">
        <f t="shared" si="22"/>
        <v>#VALUE!</v>
      </c>
      <c r="B148" s="21">
        <f t="shared" ca="1" si="23"/>
        <v>46111</v>
      </c>
      <c r="C148" s="21">
        <f t="shared" ca="1" si="24"/>
        <v>46157</v>
      </c>
      <c r="D148">
        <f t="shared" ca="1" si="25"/>
        <v>0</v>
      </c>
      <c r="E148">
        <f t="shared" ca="1" si="26"/>
        <v>0.43746130226229563</v>
      </c>
      <c r="F148" s="47">
        <f t="shared" ca="1" si="27"/>
        <v>4951.1899999999996</v>
      </c>
      <c r="G148" s="32" t="str">
        <f t="shared" ca="1" si="28"/>
        <v>hipotecario</v>
      </c>
      <c r="H14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48" t="str">
        <f t="shared" ca="1" si="29"/>
        <v>No</v>
      </c>
      <c r="J14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165000.11522409401</v>
      </c>
      <c r="K148" s="32" t="str">
        <f ca="1">IF(Tabla2[[#This Row],[¿cliente deuda abierta?]]="Sí", Tabla2[[#This Row],[Deuda actual]]*Tabla2[[#This Row],[diferencia de días]], "0")</f>
        <v>0</v>
      </c>
      <c r="L14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4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14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148">
        <f t="shared" ca="1" si="30"/>
        <v>1345.43</v>
      </c>
      <c r="P148">
        <f t="shared" ca="1" si="31"/>
        <v>195979.81</v>
      </c>
      <c r="Q148">
        <f t="shared" ca="1" si="32"/>
        <v>4</v>
      </c>
      <c r="R148">
        <f ca="1">((Tabla2[[#This Row],[Fantasma Comunicación]]+1)/(Tabla2[[#This Row],[Fantasma Comunicación]]+RANDBETWEEN(0,5)+2))-0.5</f>
        <v>5.555555555555558E-2</v>
      </c>
      <c r="S148" s="51">
        <f ca="1">1+MAX(0,Tabla2[[#This Row],[Deuda actual]]/Tabla2[[#This Row],[Liquidez]]+Tabla2[[#This Row],[Liquidez]]/(Tabla2[[#This Row],[Activos]]+Tabla2[[#This Row],[Liquidez]])+Tabla2[[#This Row],[Comunicación]])</f>
        <v>4.7423795413836478</v>
      </c>
      <c r="T148">
        <f ca="1">Tabla2[[#This Row],[Deuda actual]]*EXP(Tabla2[[#This Row],[Ki]]*Tabla2[[#This Row],[diferencia de días]])*(1+Tabla2[[#This Row],[Hg]])</f>
        <v>3960.9519999999998</v>
      </c>
    </row>
    <row r="149" spans="1:20" ht="14.5" x14ac:dyDescent="0.35">
      <c r="A149" t="e">
        <f t="shared" si="22"/>
        <v>#VALUE!</v>
      </c>
      <c r="B149" s="21">
        <f t="shared" ca="1" si="23"/>
        <v>46119</v>
      </c>
      <c r="C149" s="21">
        <f t="shared" ca="1" si="24"/>
        <v>46157</v>
      </c>
      <c r="D149">
        <f t="shared" ca="1" si="25"/>
        <v>20</v>
      </c>
      <c r="E149">
        <f t="shared" ca="1" si="26"/>
        <v>0.56681171544690745</v>
      </c>
      <c r="F149" s="47">
        <f t="shared" ca="1" si="27"/>
        <v>123.5</v>
      </c>
      <c r="G149" s="32" t="str">
        <f t="shared" ca="1" si="28"/>
        <v>hipotecario</v>
      </c>
      <c r="H14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149" t="str">
        <f t="shared" ca="1" si="29"/>
        <v>No</v>
      </c>
      <c r="J14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164999.77485170009</v>
      </c>
      <c r="K149" s="32" t="str">
        <f ca="1">IF(Tabla2[[#This Row],[¿cliente deuda abierta?]]="Sí", Tabla2[[#This Row],[Deuda actual]]*Tabla2[[#This Row],[diferencia de días]], "0")</f>
        <v>0</v>
      </c>
      <c r="L14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4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14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149">
        <f t="shared" ca="1" si="30"/>
        <v>2248.0100000000002</v>
      </c>
      <c r="P149">
        <f t="shared" ca="1" si="31"/>
        <v>331487.37</v>
      </c>
      <c r="Q149">
        <f t="shared" ca="1" si="32"/>
        <v>0</v>
      </c>
      <c r="R149">
        <f ca="1">((Tabla2[[#This Row],[Fantasma Comunicación]]+1)/(Tabla2[[#This Row],[Fantasma Comunicación]]+RANDBETWEEN(0,5)+2))-0.5</f>
        <v>0</v>
      </c>
      <c r="S149" s="51">
        <f ca="1">1+MAX(0,Tabla2[[#This Row],[Deuda actual]]/Tabla2[[#This Row],[Liquidez]]+Tabla2[[#This Row],[Liquidez]]/(Tabla2[[#This Row],[Activos]]+Tabla2[[#This Row],[Liquidez]])+Tabla2[[#This Row],[Comunicación]])</f>
        <v>1.0616733835910037</v>
      </c>
      <c r="T149">
        <f ca="1">Tabla2[[#This Row],[Deuda actual]]*EXP(Tabla2[[#This Row],[Ki]]*Tabla2[[#This Row],[diferencia de días]])*(1+Tabla2[[#This Row],[Hg]])</f>
        <v>99.593570047822226</v>
      </c>
    </row>
    <row r="150" spans="1:20" ht="14.5" x14ac:dyDescent="0.35">
      <c r="A150" t="e">
        <f t="shared" si="22"/>
        <v>#VALUE!</v>
      </c>
      <c r="B150" s="21">
        <f t="shared" ca="1" si="23"/>
        <v>46137</v>
      </c>
      <c r="C150" s="21">
        <f t="shared" ca="1" si="24"/>
        <v>46157</v>
      </c>
      <c r="D150">
        <f t="shared" ca="1" si="25"/>
        <v>5</v>
      </c>
      <c r="E150">
        <f t="shared" ca="1" si="26"/>
        <v>0.92538530540086561</v>
      </c>
      <c r="F150" s="47">
        <f t="shared" ca="1" si="27"/>
        <v>156.1</v>
      </c>
      <c r="G150" s="32" t="str">
        <f t="shared" ca="1" si="28"/>
        <v>personal</v>
      </c>
      <c r="H15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50" t="str">
        <f t="shared" ca="1" si="29"/>
        <v>Sí</v>
      </c>
      <c r="J15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50" s="32">
        <f ca="1">IF(Tabla2[[#This Row],[¿cliente deuda abierta?]]="Sí", Tabla2[[#This Row],[Deuda actual]]*Tabla2[[#This Row],[diferencia de días]], "0")</f>
        <v>780.5</v>
      </c>
      <c r="L15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5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5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50">
        <f t="shared" ca="1" si="30"/>
        <v>1821.43</v>
      </c>
      <c r="P150">
        <f t="shared" ca="1" si="31"/>
        <v>253518.53</v>
      </c>
      <c r="Q150">
        <f t="shared" ca="1" si="32"/>
        <v>5</v>
      </c>
      <c r="R150">
        <f ca="1">((Tabla2[[#This Row],[Fantasma Comunicación]]+1)/(Tabla2[[#This Row],[Fantasma Comunicación]]+RANDBETWEEN(0,5)+2))-0.5</f>
        <v>9.9999999999999978E-2</v>
      </c>
      <c r="S150" s="51">
        <f ca="1">1+MAX(0,Tabla2[[#This Row],[Deuda actual]]/Tabla2[[#This Row],[Liquidez]]+Tabla2[[#This Row],[Liquidez]]/(Tabla2[[#This Row],[Activos]]+Tabla2[[#This Row],[Liquidez]])+Tabla2[[#This Row],[Comunicación]])</f>
        <v>1.1928352462942282</v>
      </c>
      <c r="T150">
        <f ca="1">Tabla2[[#This Row],[Deuda actual]]*EXP(Tabla2[[#This Row],[Ki]]*Tabla2[[#This Row],[diferencia de días]])*(1+Tabla2[[#This Row],[Hg]])</f>
        <v>164.06898697982433</v>
      </c>
    </row>
    <row r="151" spans="1:20" ht="14.5" x14ac:dyDescent="0.35">
      <c r="A151" t="e">
        <f t="shared" si="22"/>
        <v>#VALUE!</v>
      </c>
      <c r="B151" s="21">
        <f t="shared" ca="1" si="23"/>
        <v>46106</v>
      </c>
      <c r="C151" s="21">
        <f t="shared" ca="1" si="24"/>
        <v>46157</v>
      </c>
      <c r="D151">
        <f t="shared" ca="1" si="25"/>
        <v>13</v>
      </c>
      <c r="E151">
        <f t="shared" ca="1" si="26"/>
        <v>0.36580383977728081</v>
      </c>
      <c r="F151" s="47">
        <f t="shared" ca="1" si="27"/>
        <v>2973.23</v>
      </c>
      <c r="G151" s="32" t="str">
        <f t="shared" ca="1" si="28"/>
        <v>personal</v>
      </c>
      <c r="H15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51" t="str">
        <f t="shared" ca="1" si="29"/>
        <v>Sí</v>
      </c>
      <c r="J15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51" s="32">
        <f ca="1">IF(Tabla2[[#This Row],[¿cliente deuda abierta?]]="Sí", Tabla2[[#This Row],[Deuda actual]]*Tabla2[[#This Row],[diferencia de días]], "0")</f>
        <v>38651.99</v>
      </c>
      <c r="L15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15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51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151">
        <f t="shared" ca="1" si="30"/>
        <v>1724.32</v>
      </c>
      <c r="P151">
        <f t="shared" ca="1" si="31"/>
        <v>318854.18</v>
      </c>
      <c r="Q151">
        <f t="shared" ca="1" si="32"/>
        <v>5</v>
      </c>
      <c r="R151">
        <f ca="1">((Tabla2[[#This Row],[Fantasma Comunicación]]+1)/(Tabla2[[#This Row],[Fantasma Comunicación]]+RANDBETWEEN(0,5)+2))-0.5</f>
        <v>0</v>
      </c>
      <c r="S151" s="51">
        <f ca="1">1+MAX(0,Tabla2[[#This Row],[Deuda actual]]/Tabla2[[#This Row],[Liquidez]]+Tabla2[[#This Row],[Liquidez]]/(Tabla2[[#This Row],[Activos]]+Tabla2[[#This Row],[Liquidez]])+Tabla2[[#This Row],[Comunicación]])</f>
        <v>2.7296700910183382</v>
      </c>
      <c r="T151">
        <f ca="1">Tabla2[[#This Row],[Deuda actual]]*EXP(Tabla2[[#This Row],[Ki]]*Tabla2[[#This Row],[diferencia de días]])*(1+Tabla2[[#This Row],[Hg]])</f>
        <v>3279.0675018559109</v>
      </c>
    </row>
    <row r="152" spans="1:20" ht="14.5" x14ac:dyDescent="0.35">
      <c r="A152" t="e">
        <f t="shared" si="22"/>
        <v>#VALUE!</v>
      </c>
      <c r="B152" s="21">
        <f t="shared" ca="1" si="23"/>
        <v>46112</v>
      </c>
      <c r="C152" s="21">
        <f t="shared" ca="1" si="24"/>
        <v>46157</v>
      </c>
      <c r="D152">
        <f t="shared" ca="1" si="25"/>
        <v>13</v>
      </c>
      <c r="E152">
        <f t="shared" ca="1" si="26"/>
        <v>0.70586292449662735</v>
      </c>
      <c r="F152" s="47">
        <f t="shared" ca="1" si="27"/>
        <v>731.29</v>
      </c>
      <c r="G152" s="32" t="str">
        <f t="shared" ca="1" si="28"/>
        <v>personal</v>
      </c>
      <c r="H15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52" t="str">
        <f t="shared" ca="1" si="29"/>
        <v>No</v>
      </c>
      <c r="J15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11998.704546695506</v>
      </c>
      <c r="K152" s="32" t="str">
        <f ca="1">IF(Tabla2[[#This Row],[¿cliente deuda abierta?]]="Sí", Tabla2[[#This Row],[Deuda actual]]*Tabla2[[#This Row],[diferencia de días]], "0")</f>
        <v>0</v>
      </c>
      <c r="L15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5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5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52">
        <f t="shared" ca="1" si="30"/>
        <v>1486.45</v>
      </c>
      <c r="P152">
        <f t="shared" ca="1" si="31"/>
        <v>262693</v>
      </c>
      <c r="Q152">
        <f t="shared" ca="1" si="32"/>
        <v>2</v>
      </c>
      <c r="R152">
        <f ca="1">((Tabla2[[#This Row],[Fantasma Comunicación]]+1)/(Tabla2[[#This Row],[Fantasma Comunicación]]+RANDBETWEEN(0,5)+2))-0.5</f>
        <v>0.25</v>
      </c>
      <c r="S152" s="51">
        <f ca="1">1+MAX(0,Tabla2[[#This Row],[Deuda actual]]/Tabla2[[#This Row],[Liquidez]]+Tabla2[[#This Row],[Liquidez]]/(Tabla2[[#This Row],[Activos]]+Tabla2[[#This Row],[Liquidez]])+Tabla2[[#This Row],[Comunicación]])</f>
        <v>1.7475974707017781</v>
      </c>
      <c r="T152">
        <f ca="1">Tabla2[[#This Row],[Deuda actual]]*EXP(Tabla2[[#This Row],[Ki]]*Tabla2[[#This Row],[diferencia de días]])*(1+Tabla2[[#This Row],[Hg]])</f>
        <v>659.87444511340675</v>
      </c>
    </row>
    <row r="153" spans="1:20" ht="14.5" x14ac:dyDescent="0.35">
      <c r="A153" t="e">
        <f t="shared" si="22"/>
        <v>#VALUE!</v>
      </c>
      <c r="B153" s="21">
        <f t="shared" ca="1" si="23"/>
        <v>46125</v>
      </c>
      <c r="C153" s="21">
        <f t="shared" ca="1" si="24"/>
        <v>46157</v>
      </c>
      <c r="D153">
        <f t="shared" ca="1" si="25"/>
        <v>36</v>
      </c>
      <c r="E153">
        <f t="shared" ca="1" si="26"/>
        <v>0.7087411034046478</v>
      </c>
      <c r="F153" s="47">
        <f t="shared" ca="1" si="27"/>
        <v>1851.19</v>
      </c>
      <c r="G153" s="32" t="str">
        <f t="shared" ca="1" si="28"/>
        <v>personal</v>
      </c>
      <c r="H15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153" t="str">
        <f t="shared" ca="1" si="29"/>
        <v>No</v>
      </c>
      <c r="J15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11999.893753114418</v>
      </c>
      <c r="K153" s="32" t="str">
        <f ca="1">IF(Tabla2[[#This Row],[¿cliente deuda abierta?]]="Sí", Tabla2[[#This Row],[Deuda actual]]*Tabla2[[#This Row],[diferencia de días]], "0")</f>
        <v>0</v>
      </c>
      <c r="L15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5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5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53">
        <f t="shared" ca="1" si="30"/>
        <v>1816.45</v>
      </c>
      <c r="P153">
        <f t="shared" ca="1" si="31"/>
        <v>261941.72</v>
      </c>
      <c r="Q153">
        <f t="shared" ca="1" si="32"/>
        <v>1</v>
      </c>
      <c r="R153">
        <f ca="1">((Tabla2[[#This Row],[Fantasma Comunicación]]+1)/(Tabla2[[#This Row],[Fantasma Comunicación]]+RANDBETWEEN(0,5)+2))-0.5</f>
        <v>0</v>
      </c>
      <c r="S153" s="51">
        <f ca="1">1+MAX(0,Tabla2[[#This Row],[Deuda actual]]/Tabla2[[#This Row],[Liquidez]]+Tabla2[[#This Row],[Liquidez]]/(Tabla2[[#This Row],[Activos]]+Tabla2[[#This Row],[Liquidez]])+Tabla2[[#This Row],[Comunicación]])</f>
        <v>2.0260120176593484</v>
      </c>
      <c r="T153">
        <f ca="1">Tabla2[[#This Row],[Deuda actual]]*EXP(Tabla2[[#This Row],[Ki]]*Tabla2[[#This Row],[diferencia de días]])*(1+Tabla2[[#This Row],[Hg]])</f>
        <v>1727.1422428189796</v>
      </c>
    </row>
    <row r="154" spans="1:20" ht="14.5" x14ac:dyDescent="0.35">
      <c r="A154" t="e">
        <f t="shared" si="22"/>
        <v>#VALUE!</v>
      </c>
      <c r="B154" s="21">
        <f t="shared" ca="1" si="23"/>
        <v>46097</v>
      </c>
      <c r="C154" s="21">
        <f t="shared" ca="1" si="24"/>
        <v>46157</v>
      </c>
      <c r="D154">
        <f t="shared" ca="1" si="25"/>
        <v>3</v>
      </c>
      <c r="E154">
        <f t="shared" ca="1" si="26"/>
        <v>0.12972982323646909</v>
      </c>
      <c r="F154" s="47">
        <f t="shared" ca="1" si="27"/>
        <v>231.75</v>
      </c>
      <c r="G154" s="32" t="str">
        <f t="shared" ca="1" si="28"/>
        <v>hipotecario</v>
      </c>
      <c r="H15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54" t="str">
        <f t="shared" ca="1" si="29"/>
        <v>Sí</v>
      </c>
      <c r="J15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54" s="32">
        <f ca="1">IF(Tabla2[[#This Row],[¿cliente deuda abierta?]]="Sí", Tabla2[[#This Row],[Deuda actual]]*Tabla2[[#This Row],[diferencia de días]], "0")</f>
        <v>695.25</v>
      </c>
      <c r="L15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5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5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54">
        <f t="shared" ca="1" si="30"/>
        <v>1755.01</v>
      </c>
      <c r="P154">
        <f t="shared" ca="1" si="31"/>
        <v>258934.39999999999</v>
      </c>
      <c r="Q154">
        <f t="shared" ca="1" si="32"/>
        <v>2</v>
      </c>
      <c r="R154">
        <f ca="1">((Tabla2[[#This Row],[Fantasma Comunicación]]+1)/(Tabla2[[#This Row],[Fantasma Comunicación]]+RANDBETWEEN(0,5)+2))-0.5</f>
        <v>-7.1428571428571452E-2</v>
      </c>
      <c r="S154" s="51">
        <f ca="1">1+MAX(0,Tabla2[[#This Row],[Deuda actual]]/Tabla2[[#This Row],[Liquidez]]+Tabla2[[#This Row],[Liquidez]]/(Tabla2[[#This Row],[Activos]]+Tabla2[[#This Row],[Liquidez]])+Tabla2[[#This Row],[Comunicación]])</f>
        <v>1.0673541457464337</v>
      </c>
      <c r="T154">
        <f ca="1">Tabla2[[#This Row],[Deuda actual]]*EXP(Tabla2[[#This Row],[Ki]]*Tabla2[[#This Row],[diferencia de días]])*(1+Tabla2[[#This Row],[Hg]])</f>
        <v>243.48354630951147</v>
      </c>
    </row>
    <row r="155" spans="1:20" ht="14.5" x14ac:dyDescent="0.35">
      <c r="A155" t="e">
        <f t="shared" si="22"/>
        <v>#VALUE!</v>
      </c>
      <c r="B155" s="21">
        <f t="shared" ca="1" si="23"/>
        <v>46111</v>
      </c>
      <c r="C155" s="21">
        <f t="shared" ca="1" si="24"/>
        <v>46157</v>
      </c>
      <c r="D155">
        <f t="shared" ca="1" si="25"/>
        <v>4</v>
      </c>
      <c r="E155">
        <f t="shared" ca="1" si="26"/>
        <v>0.69296964943624062</v>
      </c>
      <c r="F155" s="47">
        <f t="shared" ca="1" si="27"/>
        <v>3008.16</v>
      </c>
      <c r="G155" s="32" t="str">
        <f t="shared" ca="1" si="28"/>
        <v>hipotecario</v>
      </c>
      <c r="H15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55" t="str">
        <f t="shared" ca="1" si="29"/>
        <v>Sí</v>
      </c>
      <c r="J15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55" s="32">
        <f ca="1">IF(Tabla2[[#This Row],[¿cliente deuda abierta?]]="Sí", Tabla2[[#This Row],[Deuda actual]]*Tabla2[[#This Row],[diferencia de días]], "0")</f>
        <v>12032.64</v>
      </c>
      <c r="L15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5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5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55">
        <f t="shared" ca="1" si="30"/>
        <v>1385</v>
      </c>
      <c r="P155">
        <f t="shared" ca="1" si="31"/>
        <v>119093.69</v>
      </c>
      <c r="Q155">
        <f t="shared" ca="1" si="32"/>
        <v>2</v>
      </c>
      <c r="R155">
        <f ca="1">((Tabla2[[#This Row],[Fantasma Comunicación]]+1)/(Tabla2[[#This Row],[Fantasma Comunicación]]+RANDBETWEEN(0,5)+2))-0.5</f>
        <v>-0.125</v>
      </c>
      <c r="S155" s="51">
        <f ca="1">1+MAX(0,Tabla2[[#This Row],[Deuda actual]]/Tabla2[[#This Row],[Liquidez]]+Tabla2[[#This Row],[Liquidez]]/(Tabla2[[#This Row],[Activos]]+Tabla2[[#This Row],[Liquidez]])+Tabla2[[#This Row],[Comunicación]])</f>
        <v>3.0584524876272341</v>
      </c>
      <c r="T155">
        <f ca="1">Tabla2[[#This Row],[Deuda actual]]*EXP(Tabla2[[#This Row],[Ki]]*Tabla2[[#This Row],[diferencia de días]])*(1+Tabla2[[#This Row],[Hg]])</f>
        <v>3161.0958654113451</v>
      </c>
    </row>
    <row r="156" spans="1:20" ht="14.5" x14ac:dyDescent="0.35">
      <c r="A156" t="e">
        <f t="shared" si="22"/>
        <v>#VALUE!</v>
      </c>
      <c r="B156" s="21">
        <f t="shared" ca="1" si="23"/>
        <v>46122</v>
      </c>
      <c r="C156" s="21">
        <f t="shared" ca="1" si="24"/>
        <v>46157</v>
      </c>
      <c r="D156">
        <f t="shared" ca="1" si="25"/>
        <v>12</v>
      </c>
      <c r="E156">
        <f t="shared" ca="1" si="26"/>
        <v>0.94537094624512585</v>
      </c>
      <c r="F156" s="47">
        <f t="shared" ca="1" si="27"/>
        <v>2842.96</v>
      </c>
      <c r="G156" s="32" t="str">
        <f t="shared" ca="1" si="28"/>
        <v>personal</v>
      </c>
      <c r="H15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56" t="str">
        <f t="shared" ca="1" si="29"/>
        <v>Sí</v>
      </c>
      <c r="J15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56" s="32">
        <f ca="1">IF(Tabla2[[#This Row],[¿cliente deuda abierta?]]="Sí", Tabla2[[#This Row],[Deuda actual]]*Tabla2[[#This Row],[diferencia de días]], "0")</f>
        <v>34115.520000000004</v>
      </c>
      <c r="L15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15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56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156">
        <f t="shared" ca="1" si="30"/>
        <v>1400.55</v>
      </c>
      <c r="P156">
        <f t="shared" ca="1" si="31"/>
        <v>42854.91</v>
      </c>
      <c r="Q156">
        <f t="shared" ca="1" si="32"/>
        <v>4</v>
      </c>
      <c r="R156">
        <f ca="1">((Tabla2[[#This Row],[Fantasma Comunicación]]+1)/(Tabla2[[#This Row],[Fantasma Comunicación]]+RANDBETWEEN(0,5)+2))-0.5</f>
        <v>0</v>
      </c>
      <c r="S156" s="51">
        <f ca="1">1+MAX(0,Tabla2[[#This Row],[Deuda actual]]/Tabla2[[#This Row],[Liquidez]]+Tabla2[[#This Row],[Liquidez]]/(Tabla2[[#This Row],[Activos]]+Tabla2[[#This Row],[Liquidez]])+Tabla2[[#This Row],[Comunicación]])</f>
        <v>3.061535200731035</v>
      </c>
      <c r="T156">
        <f ca="1">Tabla2[[#This Row],[Deuda actual]]*EXP(Tabla2[[#This Row],[Ki]]*Tabla2[[#This Row],[diferencia de días]])*(1+Tabla2[[#This Row],[Hg]])</f>
        <v>3134.7704281068031</v>
      </c>
    </row>
    <row r="157" spans="1:20" ht="14.5" x14ac:dyDescent="0.35">
      <c r="A157" t="e">
        <f t="shared" si="22"/>
        <v>#VALUE!</v>
      </c>
      <c r="B157" s="21">
        <f t="shared" ca="1" si="23"/>
        <v>46099</v>
      </c>
      <c r="C157" s="21">
        <f t="shared" ca="1" si="24"/>
        <v>46157</v>
      </c>
      <c r="D157">
        <f t="shared" ca="1" si="25"/>
        <v>14</v>
      </c>
      <c r="E157">
        <f t="shared" ca="1" si="26"/>
        <v>0.56786178088432526</v>
      </c>
      <c r="F157" s="47">
        <f t="shared" ca="1" si="27"/>
        <v>668.29</v>
      </c>
      <c r="G157" s="32" t="str">
        <f t="shared" ca="1" si="28"/>
        <v>hipotecario</v>
      </c>
      <c r="H15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57" t="str">
        <f t="shared" ca="1" si="29"/>
        <v>Sí</v>
      </c>
      <c r="J15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57" s="32">
        <f ca="1">IF(Tabla2[[#This Row],[¿cliente deuda abierta?]]="Sí", Tabla2[[#This Row],[Deuda actual]]*Tabla2[[#This Row],[diferencia de días]], "0")</f>
        <v>9356.06</v>
      </c>
      <c r="L15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5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5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57">
        <f t="shared" ca="1" si="30"/>
        <v>1584.62</v>
      </c>
      <c r="P157">
        <f t="shared" ca="1" si="31"/>
        <v>119619.98</v>
      </c>
      <c r="Q157">
        <f t="shared" ca="1" si="32"/>
        <v>5</v>
      </c>
      <c r="R157">
        <f ca="1">((Tabla2[[#This Row],[Fantasma Comunicación]]+1)/(Tabla2[[#This Row],[Fantasma Comunicación]]+RANDBETWEEN(0,5)+2))-0.5</f>
        <v>9.9999999999999978E-2</v>
      </c>
      <c r="S157" s="51">
        <f ca="1">1+MAX(0,Tabla2[[#This Row],[Deuda actual]]/Tabla2[[#This Row],[Liquidez]]+Tabla2[[#This Row],[Liquidez]]/(Tabla2[[#This Row],[Activos]]+Tabla2[[#This Row],[Liquidez]])+Tabla2[[#This Row],[Comunicación]])</f>
        <v>1.5348091056492219</v>
      </c>
      <c r="T157">
        <f ca="1">Tabla2[[#This Row],[Deuda actual]]*EXP(Tabla2[[#This Row],[Ki]]*Tabla2[[#This Row],[diferencia de días]])*(1+Tabla2[[#This Row],[Hg]])</f>
        <v>703.67202585074097</v>
      </c>
    </row>
    <row r="158" spans="1:20" ht="14.5" x14ac:dyDescent="0.35">
      <c r="A158" t="e">
        <f t="shared" si="22"/>
        <v>#VALUE!</v>
      </c>
      <c r="B158" s="21">
        <f t="shared" ca="1" si="23"/>
        <v>46142</v>
      </c>
      <c r="C158" s="21">
        <f t="shared" ca="1" si="24"/>
        <v>46157</v>
      </c>
      <c r="D158">
        <f t="shared" ca="1" si="25"/>
        <v>9</v>
      </c>
      <c r="E158">
        <f t="shared" ca="1" si="26"/>
        <v>0.38450534226378275</v>
      </c>
      <c r="F158" s="47">
        <f t="shared" ca="1" si="27"/>
        <v>2606.8200000000002</v>
      </c>
      <c r="G158" s="32" t="str">
        <f t="shared" ca="1" si="28"/>
        <v>hipotecario</v>
      </c>
      <c r="H15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58" t="str">
        <f t="shared" ca="1" si="29"/>
        <v>Sí</v>
      </c>
      <c r="J15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58" s="32">
        <f ca="1">IF(Tabla2[[#This Row],[¿cliente deuda abierta?]]="Sí", Tabla2[[#This Row],[Deuda actual]]*Tabla2[[#This Row],[diferencia de días]], "0")</f>
        <v>23461.38</v>
      </c>
      <c r="L15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5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5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58">
        <f t="shared" ca="1" si="30"/>
        <v>1562.73</v>
      </c>
      <c r="P158">
        <f t="shared" ca="1" si="31"/>
        <v>367851.89</v>
      </c>
      <c r="Q158">
        <f t="shared" ca="1" si="32"/>
        <v>0</v>
      </c>
      <c r="R158">
        <f ca="1">((Tabla2[[#This Row],[Fantasma Comunicación]]+1)/(Tabla2[[#This Row],[Fantasma Comunicación]]+RANDBETWEEN(0,5)+2))-0.5</f>
        <v>-0.35714285714285715</v>
      </c>
      <c r="S158" s="51">
        <f ca="1">1+MAX(0,Tabla2[[#This Row],[Deuda actual]]/Tabla2[[#This Row],[Liquidez]]+Tabla2[[#This Row],[Liquidez]]/(Tabla2[[#This Row],[Activos]]+Tabla2[[#This Row],[Liquidez]])+Tabla2[[#This Row],[Comunicación]])</f>
        <v>2.3152066830696607</v>
      </c>
      <c r="T158">
        <f ca="1">Tabla2[[#This Row],[Deuda actual]]*EXP(Tabla2[[#This Row],[Ki]]*Tabla2[[#This Row],[diferencia de días]])*(1+Tabla2[[#This Row],[Hg]])</f>
        <v>2742.0923266625387</v>
      </c>
    </row>
    <row r="159" spans="1:20" ht="14.5" x14ac:dyDescent="0.35">
      <c r="A159" t="e">
        <f t="shared" si="22"/>
        <v>#VALUE!</v>
      </c>
      <c r="B159" s="21">
        <f t="shared" ca="1" si="23"/>
        <v>46103</v>
      </c>
      <c r="C159" s="21">
        <f t="shared" ca="1" si="24"/>
        <v>46157</v>
      </c>
      <c r="D159">
        <f t="shared" ca="1" si="25"/>
        <v>19</v>
      </c>
      <c r="E159">
        <f t="shared" ca="1" si="26"/>
        <v>0.45249436075025984</v>
      </c>
      <c r="F159" s="47">
        <f t="shared" ca="1" si="27"/>
        <v>4637.8500000000004</v>
      </c>
      <c r="G159" s="32" t="str">
        <f t="shared" ca="1" si="28"/>
        <v>hipotecario</v>
      </c>
      <c r="H15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159" t="str">
        <f t="shared" ca="1" si="29"/>
        <v>No</v>
      </c>
      <c r="J15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164999.21565535848</v>
      </c>
      <c r="K159" s="32" t="str">
        <f ca="1">IF(Tabla2[[#This Row],[¿cliente deuda abierta?]]="Sí", Tabla2[[#This Row],[Deuda actual]]*Tabla2[[#This Row],[diferencia de días]], "0")</f>
        <v>0</v>
      </c>
      <c r="L15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5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15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159">
        <f t="shared" ca="1" si="30"/>
        <v>2043.47</v>
      </c>
      <c r="P159">
        <f t="shared" ca="1" si="31"/>
        <v>346961.34</v>
      </c>
      <c r="Q159">
        <f t="shared" ca="1" si="32"/>
        <v>2</v>
      </c>
      <c r="R159">
        <f ca="1">((Tabla2[[#This Row],[Fantasma Comunicación]]+1)/(Tabla2[[#This Row],[Fantasma Comunicación]]+RANDBETWEEN(0,5)+2))-0.5</f>
        <v>0</v>
      </c>
      <c r="S159" s="51">
        <f ca="1">1+MAX(0,Tabla2[[#This Row],[Deuda actual]]/Tabla2[[#This Row],[Liquidez]]+Tabla2[[#This Row],[Liquidez]]/(Tabla2[[#This Row],[Activos]]+Tabla2[[#This Row],[Liquidez]])+Tabla2[[#This Row],[Comunicación]])</f>
        <v>3.2754504793755501</v>
      </c>
      <c r="T159">
        <f ca="1">Tabla2[[#This Row],[Deuda actual]]*EXP(Tabla2[[#This Row],[Ki]]*Tabla2[[#This Row],[diferencia de días]])*(1+Tabla2[[#This Row],[Hg]])</f>
        <v>3738.5855528569273</v>
      </c>
    </row>
    <row r="160" spans="1:20" ht="14.5" x14ac:dyDescent="0.35">
      <c r="A160" t="e">
        <f t="shared" si="22"/>
        <v>#VALUE!</v>
      </c>
      <c r="B160" s="21">
        <f t="shared" ca="1" si="23"/>
        <v>46133</v>
      </c>
      <c r="C160" s="21">
        <f t="shared" ca="1" si="24"/>
        <v>46157</v>
      </c>
      <c r="D160">
        <f t="shared" ca="1" si="25"/>
        <v>47</v>
      </c>
      <c r="E160">
        <f t="shared" ca="1" si="26"/>
        <v>0.48899078427812681</v>
      </c>
      <c r="F160" s="47">
        <f t="shared" ca="1" si="27"/>
        <v>7.56</v>
      </c>
      <c r="G160" s="32" t="str">
        <f t="shared" ca="1" si="28"/>
        <v>personal</v>
      </c>
      <c r="H16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160" t="str">
        <f t="shared" ca="1" si="29"/>
        <v>No</v>
      </c>
      <c r="J16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11999.147330625996</v>
      </c>
      <c r="K160" s="32" t="str">
        <f ca="1">IF(Tabla2[[#This Row],[¿cliente deuda abierta?]]="Sí", Tabla2[[#This Row],[Deuda actual]]*Tabla2[[#This Row],[diferencia de días]], "0")</f>
        <v>0</v>
      </c>
      <c r="L16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6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6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60">
        <f t="shared" ca="1" si="30"/>
        <v>1462.82</v>
      </c>
      <c r="P160">
        <f t="shared" ca="1" si="31"/>
        <v>80372.75</v>
      </c>
      <c r="Q160">
        <f t="shared" ca="1" si="32"/>
        <v>3</v>
      </c>
      <c r="R160">
        <f ca="1">((Tabla2[[#This Row],[Fantasma Comunicación]]+1)/(Tabla2[[#This Row],[Fantasma Comunicación]]+RANDBETWEEN(0,5)+2))-0.5</f>
        <v>0.16666666666666663</v>
      </c>
      <c r="S160" s="51">
        <f ca="1">1+MAX(0,Tabla2[[#This Row],[Deuda actual]]/Tabla2[[#This Row],[Liquidez]]+Tabla2[[#This Row],[Liquidez]]/(Tabla2[[#This Row],[Activos]]+Tabla2[[#This Row],[Liquidez]])+Tabla2[[#This Row],[Comunicación]])</f>
        <v>1.1897098788904876</v>
      </c>
      <c r="T160">
        <f ca="1">Tabla2[[#This Row],[Deuda actual]]*EXP(Tabla2[[#This Row],[Ki]]*Tabla2[[#This Row],[diferencia de días]])*(1+Tabla2[[#This Row],[Hg]])</f>
        <v>7.1314221497779773</v>
      </c>
    </row>
    <row r="161" spans="1:20" ht="14.5" x14ac:dyDescent="0.35">
      <c r="A161" t="e">
        <f t="shared" si="22"/>
        <v>#VALUE!</v>
      </c>
      <c r="B161" s="21">
        <f t="shared" ca="1" si="23"/>
        <v>46138</v>
      </c>
      <c r="C161" s="21">
        <f t="shared" ca="1" si="24"/>
        <v>46157</v>
      </c>
      <c r="D161">
        <f t="shared" ca="1" si="25"/>
        <v>3</v>
      </c>
      <c r="E161">
        <f t="shared" ca="1" si="26"/>
        <v>0.57119644303234329</v>
      </c>
      <c r="F161" s="47">
        <f t="shared" ca="1" si="27"/>
        <v>10000</v>
      </c>
      <c r="G161" s="32" t="str">
        <f t="shared" ca="1" si="28"/>
        <v>hipotecario</v>
      </c>
      <c r="H16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61" t="str">
        <f t="shared" ca="1" si="29"/>
        <v>Sí</v>
      </c>
      <c r="J16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61" s="32">
        <f ca="1">IF(Tabla2[[#This Row],[¿cliente deuda abierta?]]="Sí", Tabla2[[#This Row],[Deuda actual]]*Tabla2[[#This Row],[diferencia de días]], "0")</f>
        <v>30000</v>
      </c>
      <c r="L16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16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61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161">
        <f t="shared" ca="1" si="30"/>
        <v>1972.31</v>
      </c>
      <c r="P161">
        <f t="shared" ca="1" si="31"/>
        <v>109669</v>
      </c>
      <c r="Q161">
        <f t="shared" ca="1" si="32"/>
        <v>0</v>
      </c>
      <c r="R161">
        <f ca="1">((Tabla2[[#This Row],[Fantasma Comunicación]]+1)/(Tabla2[[#This Row],[Fantasma Comunicación]]+RANDBETWEEN(0,5)+2))-0.5</f>
        <v>-0.16666666666666669</v>
      </c>
      <c r="S161" s="51">
        <f ca="1">1+MAX(0,Tabla2[[#This Row],[Deuda actual]]/Tabla2[[#This Row],[Liquidez]]+Tabla2[[#This Row],[Liquidez]]/(Tabla2[[#This Row],[Activos]]+Tabla2[[#This Row],[Liquidez]])+Tabla2[[#This Row],[Comunicación]])</f>
        <v>5.921196698301407</v>
      </c>
      <c r="T161">
        <f ca="1">Tabla2[[#This Row],[Deuda actual]]*EXP(Tabla2[[#This Row],[Ki]]*Tabla2[[#This Row],[diferencia de días]])*(1+Tabla2[[#This Row],[Hg]])</f>
        <v>11006.601980396061</v>
      </c>
    </row>
    <row r="162" spans="1:20" ht="14.5" x14ac:dyDescent="0.35">
      <c r="A162" t="e">
        <f t="shared" si="22"/>
        <v>#VALUE!</v>
      </c>
      <c r="B162" s="21">
        <f t="shared" ca="1" si="23"/>
        <v>46142</v>
      </c>
      <c r="C162" s="21">
        <f t="shared" ca="1" si="24"/>
        <v>46157</v>
      </c>
      <c r="D162">
        <f t="shared" ca="1" si="25"/>
        <v>34</v>
      </c>
      <c r="E162">
        <f t="shared" ca="1" si="26"/>
        <v>0.30476301352222612</v>
      </c>
      <c r="F162" s="47">
        <f t="shared" ca="1" si="27"/>
        <v>2644.88</v>
      </c>
      <c r="G162" s="32" t="str">
        <f t="shared" ca="1" si="28"/>
        <v>hipotecario</v>
      </c>
      <c r="H16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162" t="str">
        <f t="shared" ca="1" si="29"/>
        <v>Sí</v>
      </c>
      <c r="J16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62" s="32">
        <f ca="1">IF(Tabla2[[#This Row],[¿cliente deuda abierta?]]="Sí", Tabla2[[#This Row],[Deuda actual]]*Tabla2[[#This Row],[diferencia de días]], "0")</f>
        <v>89925.92</v>
      </c>
      <c r="L16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16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62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162">
        <f t="shared" ca="1" si="30"/>
        <v>2183.02</v>
      </c>
      <c r="P162">
        <f t="shared" ca="1" si="31"/>
        <v>121866.69</v>
      </c>
      <c r="Q162">
        <f t="shared" ca="1" si="32"/>
        <v>0</v>
      </c>
      <c r="R162">
        <f ca="1">((Tabla2[[#This Row],[Fantasma Comunicación]]+1)/(Tabla2[[#This Row],[Fantasma Comunicación]]+RANDBETWEEN(0,5)+2))-0.5</f>
        <v>0</v>
      </c>
      <c r="S162" s="51">
        <f ca="1">1+MAX(0,Tabla2[[#This Row],[Deuda actual]]/Tabla2[[#This Row],[Liquidez]]+Tabla2[[#This Row],[Liquidez]]/(Tabla2[[#This Row],[Activos]]+Tabla2[[#This Row],[Liquidez]])+Tabla2[[#This Row],[Comunicación]])</f>
        <v>2.229167239124771</v>
      </c>
      <c r="T162">
        <f ca="1">Tabla2[[#This Row],[Deuda actual]]*EXP(Tabla2[[#This Row],[Ki]]*Tabla2[[#This Row],[diferencia de días]])*(1+Tabla2[[#This Row],[Hg]])</f>
        <v>3146.8049548395243</v>
      </c>
    </row>
    <row r="163" spans="1:20" ht="14.5" x14ac:dyDescent="0.35">
      <c r="A163" t="e">
        <f t="shared" si="22"/>
        <v>#VALUE!</v>
      </c>
      <c r="B163" s="21">
        <f t="shared" ca="1" si="23"/>
        <v>46094</v>
      </c>
      <c r="C163" s="21">
        <f t="shared" ca="1" si="24"/>
        <v>46157</v>
      </c>
      <c r="D163">
        <f t="shared" ca="1" si="25"/>
        <v>11</v>
      </c>
      <c r="E163">
        <f t="shared" ca="1" si="26"/>
        <v>0.70797098077912946</v>
      </c>
      <c r="F163" s="47">
        <f t="shared" ca="1" si="27"/>
        <v>2981.01</v>
      </c>
      <c r="G163" s="32" t="str">
        <f t="shared" ca="1" si="28"/>
        <v>hipotecario</v>
      </c>
      <c r="H16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63" t="str">
        <f t="shared" ca="1" si="29"/>
        <v>Sí</v>
      </c>
      <c r="J16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63" s="32">
        <f ca="1">IF(Tabla2[[#This Row],[¿cliente deuda abierta?]]="Sí", Tabla2[[#This Row],[Deuda actual]]*Tabla2[[#This Row],[diferencia de días]], "0")</f>
        <v>32791.11</v>
      </c>
      <c r="L16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16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63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163">
        <f t="shared" ca="1" si="30"/>
        <v>2098.19</v>
      </c>
      <c r="P163">
        <f t="shared" ca="1" si="31"/>
        <v>75007.73</v>
      </c>
      <c r="Q163">
        <f t="shared" ca="1" si="32"/>
        <v>2</v>
      </c>
      <c r="R163">
        <f ca="1">((Tabla2[[#This Row],[Fantasma Comunicación]]+1)/(Tabla2[[#This Row],[Fantasma Comunicación]]+RANDBETWEEN(0,5)+2))-0.5</f>
        <v>9.9999999999999978E-2</v>
      </c>
      <c r="S163" s="51">
        <f ca="1">1+MAX(0,Tabla2[[#This Row],[Deuda actual]]/Tabla2[[#This Row],[Liquidez]]+Tabla2[[#This Row],[Liquidez]]/(Tabla2[[#This Row],[Activos]]+Tabla2[[#This Row],[Liquidez]])+Tabla2[[#This Row],[Comunicación]])</f>
        <v>2.5479649139795804</v>
      </c>
      <c r="T163">
        <f ca="1">Tabla2[[#This Row],[Deuda actual]]*EXP(Tabla2[[#This Row],[Ki]]*Tabla2[[#This Row],[diferencia de días]])*(1+Tabla2[[#This Row],[Hg]])</f>
        <v>3286.3329854711515</v>
      </c>
    </row>
    <row r="164" spans="1:20" ht="14.5" x14ac:dyDescent="0.35">
      <c r="A164" t="e">
        <f t="shared" si="22"/>
        <v>#VALUE!</v>
      </c>
      <c r="B164" s="21">
        <f t="shared" ca="1" si="23"/>
        <v>46096</v>
      </c>
      <c r="C164" s="21">
        <f t="shared" ca="1" si="24"/>
        <v>46157</v>
      </c>
      <c r="D164">
        <f t="shared" ca="1" si="25"/>
        <v>6</v>
      </c>
      <c r="E164">
        <f t="shared" ca="1" si="26"/>
        <v>0.26393861530062357</v>
      </c>
      <c r="F164" s="47">
        <f t="shared" ca="1" si="27"/>
        <v>1247.76</v>
      </c>
      <c r="G164" s="32" t="str">
        <f t="shared" ca="1" si="28"/>
        <v>personal</v>
      </c>
      <c r="H16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64" t="str">
        <f t="shared" ca="1" si="29"/>
        <v>Sí</v>
      </c>
      <c r="J16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64" s="32">
        <f ca="1">IF(Tabla2[[#This Row],[¿cliente deuda abierta?]]="Sí", Tabla2[[#This Row],[Deuda actual]]*Tabla2[[#This Row],[diferencia de días]], "0")</f>
        <v>7486.5599999999995</v>
      </c>
      <c r="L16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6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6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64">
        <f t="shared" ca="1" si="30"/>
        <v>2111.9899999999998</v>
      </c>
      <c r="P164">
        <f t="shared" ca="1" si="31"/>
        <v>450082.5</v>
      </c>
      <c r="Q164">
        <f t="shared" ca="1" si="32"/>
        <v>2</v>
      </c>
      <c r="R164">
        <f ca="1">((Tabla2[[#This Row],[Fantasma Comunicación]]+1)/(Tabla2[[#This Row],[Fantasma Comunicación]]+RANDBETWEEN(0,5)+2))-0.5</f>
        <v>0</v>
      </c>
      <c r="S164" s="51">
        <f ca="1">1+MAX(0,Tabla2[[#This Row],[Deuda actual]]/Tabla2[[#This Row],[Liquidez]]+Tabla2[[#This Row],[Liquidez]]/(Tabla2[[#This Row],[Activos]]+Tabla2[[#This Row],[Liquidez]])+Tabla2[[#This Row],[Comunicación]])</f>
        <v>1.5954687864602874</v>
      </c>
      <c r="T164">
        <f ca="1">Tabla2[[#This Row],[Deuda actual]]*EXP(Tabla2[[#This Row],[Ki]]*Tabla2[[#This Row],[diferencia de días]])*(1+Tabla2[[#This Row],[Hg]])</f>
        <v>1311.7211212839957</v>
      </c>
    </row>
    <row r="165" spans="1:20" ht="14.5" x14ac:dyDescent="0.35">
      <c r="A165" t="e">
        <f t="shared" si="22"/>
        <v>#VALUE!</v>
      </c>
      <c r="B165" s="21">
        <f t="shared" ca="1" si="23"/>
        <v>46096</v>
      </c>
      <c r="C165" s="21">
        <f t="shared" ca="1" si="24"/>
        <v>46157</v>
      </c>
      <c r="D165">
        <f t="shared" ca="1" si="25"/>
        <v>9</v>
      </c>
      <c r="E165">
        <f t="shared" ca="1" si="26"/>
        <v>0.73946838937738935</v>
      </c>
      <c r="F165" s="47">
        <f t="shared" ca="1" si="27"/>
        <v>3234.23</v>
      </c>
      <c r="G165" s="32" t="str">
        <f t="shared" ca="1" si="28"/>
        <v>hipotecario</v>
      </c>
      <c r="H16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65" t="str">
        <f t="shared" ca="1" si="29"/>
        <v>Sí</v>
      </c>
      <c r="J16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65" s="32">
        <f ca="1">IF(Tabla2[[#This Row],[¿cliente deuda abierta?]]="Sí", Tabla2[[#This Row],[Deuda actual]]*Tabla2[[#This Row],[diferencia de días]], "0")</f>
        <v>29108.07</v>
      </c>
      <c r="L16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6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6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65">
        <f t="shared" ca="1" si="30"/>
        <v>1439.29</v>
      </c>
      <c r="P165">
        <f t="shared" ca="1" si="31"/>
        <v>202813.6</v>
      </c>
      <c r="Q165">
        <f t="shared" ca="1" si="32"/>
        <v>1</v>
      </c>
      <c r="R165">
        <f ca="1">((Tabla2[[#This Row],[Fantasma Comunicación]]+1)/(Tabla2[[#This Row],[Fantasma Comunicación]]+RANDBETWEEN(0,5)+2))-0.5</f>
        <v>-0.2142857142857143</v>
      </c>
      <c r="S165" s="51">
        <f ca="1">1+MAX(0,Tabla2[[#This Row],[Deuda actual]]/Tabla2[[#This Row],[Liquidez]]+Tabla2[[#This Row],[Liquidez]]/(Tabla2[[#This Row],[Activos]]+Tabla2[[#This Row],[Liquidez]])+Tabla2[[#This Row],[Comunicación]])</f>
        <v>3.0398618946639555</v>
      </c>
      <c r="T165">
        <f ca="1">Tabla2[[#This Row],[Deuda actual]]*EXP(Tabla2[[#This Row],[Ki]]*Tabla2[[#This Row],[diferencia de días]])*(1+Tabla2[[#This Row],[Hg]])</f>
        <v>3402.0596994275716</v>
      </c>
    </row>
    <row r="166" spans="1:20" ht="14.5" x14ac:dyDescent="0.35">
      <c r="A166" t="e">
        <f t="shared" si="22"/>
        <v>#VALUE!</v>
      </c>
      <c r="B166" s="21">
        <f t="shared" ca="1" si="23"/>
        <v>46088</v>
      </c>
      <c r="C166" s="21">
        <f t="shared" ca="1" si="24"/>
        <v>46157</v>
      </c>
      <c r="D166">
        <f t="shared" ca="1" si="25"/>
        <v>13</v>
      </c>
      <c r="E166">
        <f t="shared" ca="1" si="26"/>
        <v>0.46235906116287528</v>
      </c>
      <c r="F166" s="47">
        <f t="shared" ca="1" si="27"/>
        <v>230.73</v>
      </c>
      <c r="G166" s="32" t="str">
        <f t="shared" ca="1" si="28"/>
        <v>personal</v>
      </c>
      <c r="H16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66" t="str">
        <f t="shared" ca="1" si="29"/>
        <v>No</v>
      </c>
      <c r="J16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11999.465404251436</v>
      </c>
      <c r="K166" s="32" t="str">
        <f ca="1">IF(Tabla2[[#This Row],[¿cliente deuda abierta?]]="Sí", Tabla2[[#This Row],[Deuda actual]]*Tabla2[[#This Row],[diferencia de días]], "0")</f>
        <v>0</v>
      </c>
      <c r="L16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6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6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66">
        <f t="shared" ca="1" si="30"/>
        <v>1589</v>
      </c>
      <c r="P166">
        <f t="shared" ca="1" si="31"/>
        <v>121989.65</v>
      </c>
      <c r="Q166">
        <f t="shared" ca="1" si="32"/>
        <v>3</v>
      </c>
      <c r="R166">
        <f ca="1">((Tabla2[[#This Row],[Fantasma Comunicación]]+1)/(Tabla2[[#This Row],[Fantasma Comunicación]]+RANDBETWEEN(0,5)+2))-0.5</f>
        <v>-5.555555555555558E-2</v>
      </c>
      <c r="S166" s="51">
        <f ca="1">1+MAX(0,Tabla2[[#This Row],[Deuda actual]]/Tabla2[[#This Row],[Liquidez]]+Tabla2[[#This Row],[Liquidez]]/(Tabla2[[#This Row],[Activos]]+Tabla2[[#This Row],[Liquidez]])+Tabla2[[#This Row],[Comunicación]])</f>
        <v>1.1025071837089213</v>
      </c>
      <c r="T166">
        <f ca="1">Tabla2[[#This Row],[Deuda actual]]*EXP(Tabla2[[#This Row],[Ki]]*Tabla2[[#This Row],[diferencia de días]])*(1+Tabla2[[#This Row],[Hg]])</f>
        <v>208.19761068935216</v>
      </c>
    </row>
    <row r="167" spans="1:20" ht="14.5" x14ac:dyDescent="0.35">
      <c r="A167" t="e">
        <f t="shared" si="22"/>
        <v>#VALUE!</v>
      </c>
      <c r="B167" s="21">
        <f t="shared" ca="1" si="23"/>
        <v>46093</v>
      </c>
      <c r="C167" s="21">
        <f t="shared" ca="1" si="24"/>
        <v>46157</v>
      </c>
      <c r="D167">
        <f t="shared" ca="1" si="25"/>
        <v>16</v>
      </c>
      <c r="E167">
        <f t="shared" ca="1" si="26"/>
        <v>0.25681424553152787</v>
      </c>
      <c r="F167" s="47">
        <f t="shared" ca="1" si="27"/>
        <v>4636.9799999999996</v>
      </c>
      <c r="G167" s="32" t="str">
        <f t="shared" ca="1" si="28"/>
        <v>personal</v>
      </c>
      <c r="H16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167" t="str">
        <f t="shared" ca="1" si="29"/>
        <v>Sí</v>
      </c>
      <c r="J16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67" s="32">
        <f ca="1">IF(Tabla2[[#This Row],[¿cliente deuda abierta?]]="Sí", Tabla2[[#This Row],[Deuda actual]]*Tabla2[[#This Row],[diferencia de días]], "0")</f>
        <v>74191.679999999993</v>
      </c>
      <c r="L16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16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67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167">
        <f t="shared" ca="1" si="30"/>
        <v>1845.08</v>
      </c>
      <c r="P167">
        <f t="shared" ca="1" si="31"/>
        <v>124068.3</v>
      </c>
      <c r="Q167">
        <f t="shared" ca="1" si="32"/>
        <v>5</v>
      </c>
      <c r="R167">
        <f ca="1">((Tabla2[[#This Row],[Fantasma Comunicación]]+1)/(Tabla2[[#This Row],[Fantasma Comunicación]]+RANDBETWEEN(0,5)+2))-0.5</f>
        <v>0</v>
      </c>
      <c r="S167" s="51">
        <f ca="1">1+MAX(0,Tabla2[[#This Row],[Deuda actual]]/Tabla2[[#This Row],[Liquidez]]+Tabla2[[#This Row],[Liquidez]]/(Tabla2[[#This Row],[Activos]]+Tabla2[[#This Row],[Liquidez]])+Tabla2[[#This Row],[Comunicación]])</f>
        <v>3.5278128868135461</v>
      </c>
      <c r="T167">
        <f ca="1">Tabla2[[#This Row],[Deuda actual]]*EXP(Tabla2[[#This Row],[Ki]]*Tabla2[[#This Row],[diferencia de días]])*(1+Tabla2[[#This Row],[Hg]])</f>
        <v>5366.764616307868</v>
      </c>
    </row>
    <row r="168" spans="1:20" ht="14.5" x14ac:dyDescent="0.35">
      <c r="A168" t="e">
        <f t="shared" si="22"/>
        <v>#VALUE!</v>
      </c>
      <c r="B168" s="21">
        <f t="shared" ca="1" si="23"/>
        <v>46111</v>
      </c>
      <c r="C168" s="21">
        <f t="shared" ca="1" si="24"/>
        <v>46157</v>
      </c>
      <c r="D168">
        <f t="shared" ca="1" si="25"/>
        <v>1</v>
      </c>
      <c r="E168">
        <f t="shared" ca="1" si="26"/>
        <v>7.9903663050719609E-2</v>
      </c>
      <c r="F168" s="47">
        <f t="shared" ca="1" si="27"/>
        <v>662.62</v>
      </c>
      <c r="G168" s="32" t="str">
        <f t="shared" ca="1" si="28"/>
        <v>personal</v>
      </c>
      <c r="H16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68" t="str">
        <f t="shared" ca="1" si="29"/>
        <v>No</v>
      </c>
      <c r="J16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12000.661887517599</v>
      </c>
      <c r="K168" s="32" t="str">
        <f ca="1">IF(Tabla2[[#This Row],[¿cliente deuda abierta?]]="Sí", Tabla2[[#This Row],[Deuda actual]]*Tabla2[[#This Row],[diferencia de días]], "0")</f>
        <v>0</v>
      </c>
      <c r="L16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6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6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68">
        <f t="shared" ca="1" si="30"/>
        <v>1559.4</v>
      </c>
      <c r="P168">
        <f t="shared" ca="1" si="31"/>
        <v>1130021.22</v>
      </c>
      <c r="Q168">
        <f t="shared" ca="1" si="32"/>
        <v>5</v>
      </c>
      <c r="R168">
        <f ca="1">((Tabla2[[#This Row],[Fantasma Comunicación]]+1)/(Tabla2[[#This Row],[Fantasma Comunicación]]+RANDBETWEEN(0,5)+2))-0.5</f>
        <v>9.9999999999999978E-2</v>
      </c>
      <c r="S168" s="51">
        <f ca="1">1+MAX(0,Tabla2[[#This Row],[Deuda actual]]/Tabla2[[#This Row],[Liquidez]]+Tabla2[[#This Row],[Liquidez]]/(Tabla2[[#This Row],[Activos]]+Tabla2[[#This Row],[Liquidez]])+Tabla2[[#This Row],[Comunicación]])</f>
        <v>1.5262979133460948</v>
      </c>
      <c r="T168">
        <f ca="1">Tabla2[[#This Row],[Deuda actual]]*EXP(Tabla2[[#This Row],[Ki]]*Tabla2[[#This Row],[diferencia de días]])*(1+Tabla2[[#This Row],[Hg]])</f>
        <v>596.47728352795525</v>
      </c>
    </row>
    <row r="169" spans="1:20" ht="14.5" x14ac:dyDescent="0.35">
      <c r="A169" t="e">
        <f t="shared" si="22"/>
        <v>#VALUE!</v>
      </c>
      <c r="B169" s="21">
        <f t="shared" ca="1" si="23"/>
        <v>46117</v>
      </c>
      <c r="C169" s="21">
        <f t="shared" ca="1" si="24"/>
        <v>46157</v>
      </c>
      <c r="D169">
        <f t="shared" ca="1" si="25"/>
        <v>9</v>
      </c>
      <c r="E169">
        <f t="shared" ca="1" si="26"/>
        <v>0.95062112890033046</v>
      </c>
      <c r="F169" s="47">
        <f t="shared" ca="1" si="27"/>
        <v>1638.47</v>
      </c>
      <c r="G169" s="32" t="str">
        <f t="shared" ca="1" si="28"/>
        <v>hipotecario</v>
      </c>
      <c r="H16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69" t="str">
        <f t="shared" ca="1" si="29"/>
        <v>No</v>
      </c>
      <c r="J16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164999.74660682571</v>
      </c>
      <c r="K169" s="32" t="str">
        <f ca="1">IF(Tabla2[[#This Row],[¿cliente deuda abierta?]]="Sí", Tabla2[[#This Row],[Deuda actual]]*Tabla2[[#This Row],[diferencia de días]], "0")</f>
        <v>0</v>
      </c>
      <c r="L16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6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16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169">
        <f t="shared" ca="1" si="30"/>
        <v>1538.94</v>
      </c>
      <c r="P169">
        <f t="shared" ca="1" si="31"/>
        <v>184296.8</v>
      </c>
      <c r="Q169">
        <f t="shared" ca="1" si="32"/>
        <v>3</v>
      </c>
      <c r="R169">
        <f ca="1">((Tabla2[[#This Row],[Fantasma Comunicación]]+1)/(Tabla2[[#This Row],[Fantasma Comunicación]]+RANDBETWEEN(0,5)+2))-0.5</f>
        <v>7.1428571428571397E-2</v>
      </c>
      <c r="S169" s="51">
        <f ca="1">1+MAX(0,Tabla2[[#This Row],[Deuda actual]]/Tabla2[[#This Row],[Liquidez]]+Tabla2[[#This Row],[Liquidez]]/(Tabla2[[#This Row],[Activos]]+Tabla2[[#This Row],[Liquidez]])+Tabla2[[#This Row],[Comunicación]])</f>
        <v>2.144384141927357</v>
      </c>
      <c r="T169">
        <f ca="1">Tabla2[[#This Row],[Deuda actual]]*EXP(Tabla2[[#This Row],[Ki]]*Tabla2[[#This Row],[diferencia de días]])*(1+Tabla2[[#This Row],[Hg]])</f>
        <v>1313.137521531768</v>
      </c>
    </row>
    <row r="170" spans="1:20" ht="14.5" x14ac:dyDescent="0.35">
      <c r="A170" t="e">
        <f t="shared" si="22"/>
        <v>#VALUE!</v>
      </c>
      <c r="B170" s="21">
        <f t="shared" ca="1" si="23"/>
        <v>46139</v>
      </c>
      <c r="C170" s="21">
        <f t="shared" ca="1" si="24"/>
        <v>46157</v>
      </c>
      <c r="D170">
        <f t="shared" ca="1" si="25"/>
        <v>15</v>
      </c>
      <c r="E170">
        <f t="shared" ca="1" si="26"/>
        <v>0.92852347895221643</v>
      </c>
      <c r="F170" s="47">
        <f t="shared" ca="1" si="27"/>
        <v>95.05</v>
      </c>
      <c r="G170" s="32" t="str">
        <f t="shared" ca="1" si="28"/>
        <v>personal</v>
      </c>
      <c r="H17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170" t="str">
        <f t="shared" ca="1" si="29"/>
        <v>Sí</v>
      </c>
      <c r="J17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70" s="32">
        <f ca="1">IF(Tabla2[[#This Row],[¿cliente deuda abierta?]]="Sí", Tabla2[[#This Row],[Deuda actual]]*Tabla2[[#This Row],[diferencia de días]], "0")</f>
        <v>1425.75</v>
      </c>
      <c r="L17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7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7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70">
        <f t="shared" ca="1" si="30"/>
        <v>2454.25</v>
      </c>
      <c r="P170">
        <f t="shared" ca="1" si="31"/>
        <v>160106.95000000001</v>
      </c>
      <c r="Q170">
        <f t="shared" ca="1" si="32"/>
        <v>3</v>
      </c>
      <c r="R170">
        <f ca="1">((Tabla2[[#This Row],[Fantasma Comunicación]]+1)/(Tabla2[[#This Row],[Fantasma Comunicación]]+RANDBETWEEN(0,5)+2))-0.5</f>
        <v>0</v>
      </c>
      <c r="S170" s="51">
        <f ca="1">1+MAX(0,Tabla2[[#This Row],[Deuda actual]]/Tabla2[[#This Row],[Liquidez]]+Tabla2[[#This Row],[Liquidez]]/(Tabla2[[#This Row],[Activos]]+Tabla2[[#This Row],[Liquidez]])+Tabla2[[#This Row],[Comunicación]])</f>
        <v>1.053826126879708</v>
      </c>
      <c r="T170">
        <f ca="1">Tabla2[[#This Row],[Deuda actual]]*EXP(Tabla2[[#This Row],[Ki]]*Tabla2[[#This Row],[diferencia de días]])*(1+Tabla2[[#This Row],[Hg]])</f>
        <v>100.40311504328581</v>
      </c>
    </row>
    <row r="171" spans="1:20" ht="14.5" x14ac:dyDescent="0.35">
      <c r="A171" t="e">
        <f t="shared" si="22"/>
        <v>#VALUE!</v>
      </c>
      <c r="B171" s="21">
        <f t="shared" ca="1" si="23"/>
        <v>46111</v>
      </c>
      <c r="C171" s="21">
        <f t="shared" ca="1" si="24"/>
        <v>46157</v>
      </c>
      <c r="D171">
        <f t="shared" ca="1" si="25"/>
        <v>11</v>
      </c>
      <c r="E171">
        <f t="shared" ca="1" si="26"/>
        <v>0.36098522072995931</v>
      </c>
      <c r="F171" s="47">
        <f t="shared" ca="1" si="27"/>
        <v>285.12</v>
      </c>
      <c r="G171" s="32" t="str">
        <f t="shared" ca="1" si="28"/>
        <v>hipotecario</v>
      </c>
      <c r="H17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71" t="str">
        <f t="shared" ca="1" si="29"/>
        <v>Sí</v>
      </c>
      <c r="J17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71" s="32">
        <f ca="1">IF(Tabla2[[#This Row],[¿cliente deuda abierta?]]="Sí", Tabla2[[#This Row],[Deuda actual]]*Tabla2[[#This Row],[diferencia de días]], "0")</f>
        <v>3136.32</v>
      </c>
      <c r="L17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7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7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71">
        <f t="shared" ca="1" si="30"/>
        <v>2506.6999999999998</v>
      </c>
      <c r="P171">
        <f t="shared" ca="1" si="31"/>
        <v>448287.72</v>
      </c>
      <c r="Q171">
        <f t="shared" ca="1" si="32"/>
        <v>0</v>
      </c>
      <c r="R171">
        <f ca="1">((Tabla2[[#This Row],[Fantasma Comunicación]]+1)/(Tabla2[[#This Row],[Fantasma Comunicación]]+RANDBETWEEN(0,5)+2))-0.5</f>
        <v>-0.35714285714285715</v>
      </c>
      <c r="S171" s="51">
        <f ca="1">1+MAX(0,Tabla2[[#This Row],[Deuda actual]]/Tabla2[[#This Row],[Liquidez]]+Tabla2[[#This Row],[Liquidez]]/(Tabla2[[#This Row],[Activos]]+Tabla2[[#This Row],[Liquidez]])+Tabla2[[#This Row],[Comunicación]])</f>
        <v>1</v>
      </c>
      <c r="T171">
        <f ca="1">Tabla2[[#This Row],[Deuda actual]]*EXP(Tabla2[[#This Row],[Ki]]*Tabla2[[#This Row],[diferencia de días]])*(1+Tabla2[[#This Row],[Hg]])</f>
        <v>300.03535222150492</v>
      </c>
    </row>
    <row r="172" spans="1:20" ht="14.5" x14ac:dyDescent="0.35">
      <c r="A172" t="e">
        <f t="shared" si="22"/>
        <v>#VALUE!</v>
      </c>
      <c r="B172" s="21">
        <f t="shared" ca="1" si="23"/>
        <v>46112</v>
      </c>
      <c r="C172" s="21">
        <f t="shared" ca="1" si="24"/>
        <v>46157</v>
      </c>
      <c r="D172">
        <f t="shared" ca="1" si="25"/>
        <v>7</v>
      </c>
      <c r="E172">
        <f t="shared" ca="1" si="26"/>
        <v>0.87748571253221763</v>
      </c>
      <c r="F172" s="47">
        <f t="shared" ca="1" si="27"/>
        <v>2561.2800000000002</v>
      </c>
      <c r="G172" s="32" t="str">
        <f t="shared" ca="1" si="28"/>
        <v>hipotecario</v>
      </c>
      <c r="H17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72" t="str">
        <f t="shared" ca="1" si="29"/>
        <v>Sí</v>
      </c>
      <c r="J17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72" s="32">
        <f ca="1">IF(Tabla2[[#This Row],[¿cliente deuda abierta?]]="Sí", Tabla2[[#This Row],[Deuda actual]]*Tabla2[[#This Row],[diferencia de días]], "0")</f>
        <v>17928.960000000003</v>
      </c>
      <c r="L17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7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7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72">
        <f t="shared" ca="1" si="30"/>
        <v>1517.98</v>
      </c>
      <c r="P172">
        <f t="shared" ca="1" si="31"/>
        <v>358876.73</v>
      </c>
      <c r="Q172">
        <f t="shared" ca="1" si="32"/>
        <v>5</v>
      </c>
      <c r="R172">
        <f ca="1">((Tabla2[[#This Row],[Fantasma Comunicación]]+1)/(Tabla2[[#This Row],[Fantasma Comunicación]]+RANDBETWEEN(0,5)+2))-0.5</f>
        <v>4.5454545454545414E-2</v>
      </c>
      <c r="S172" s="51">
        <f ca="1">1+MAX(0,Tabla2[[#This Row],[Deuda actual]]/Tabla2[[#This Row],[Liquidez]]+Tabla2[[#This Row],[Liquidez]]/(Tabla2[[#This Row],[Activos]]+Tabla2[[#This Row],[Liquidez]])+Tabla2[[#This Row],[Comunicación]])</f>
        <v>2.7369614962391484</v>
      </c>
      <c r="T172">
        <f ca="1">Tabla2[[#This Row],[Deuda actual]]*EXP(Tabla2[[#This Row],[Ki]]*Tabla2[[#This Row],[diferencia de días]])*(1+Tabla2[[#This Row],[Hg]])</f>
        <v>2693.111718387478</v>
      </c>
    </row>
    <row r="173" spans="1:20" ht="14.5" x14ac:dyDescent="0.35">
      <c r="A173" t="e">
        <f t="shared" si="22"/>
        <v>#VALUE!</v>
      </c>
      <c r="B173" s="21">
        <f t="shared" ca="1" si="23"/>
        <v>46122</v>
      </c>
      <c r="C173" s="21">
        <f t="shared" ca="1" si="24"/>
        <v>46157</v>
      </c>
      <c r="D173">
        <f t="shared" ca="1" si="25"/>
        <v>2</v>
      </c>
      <c r="E173">
        <f t="shared" ca="1" si="26"/>
        <v>0.64562387078636185</v>
      </c>
      <c r="F173" s="47">
        <f t="shared" ca="1" si="27"/>
        <v>1213.1199999999999</v>
      </c>
      <c r="G173" s="32" t="str">
        <f t="shared" ca="1" si="28"/>
        <v>hipotecario</v>
      </c>
      <c r="H17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73" t="str">
        <f t="shared" ca="1" si="29"/>
        <v>Sí</v>
      </c>
      <c r="J17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73" s="32">
        <f ca="1">IF(Tabla2[[#This Row],[¿cliente deuda abierta?]]="Sí", Tabla2[[#This Row],[Deuda actual]]*Tabla2[[#This Row],[diferencia de días]], "0")</f>
        <v>2426.2399999999998</v>
      </c>
      <c r="L17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7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7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73">
        <f t="shared" ca="1" si="30"/>
        <v>1453.61</v>
      </c>
      <c r="P173">
        <f t="shared" ca="1" si="31"/>
        <v>392807.53</v>
      </c>
      <c r="Q173">
        <f t="shared" ca="1" si="32"/>
        <v>3</v>
      </c>
      <c r="R173">
        <f ca="1">((Tabla2[[#This Row],[Fantasma Comunicación]]+1)/(Tabla2[[#This Row],[Fantasma Comunicación]]+RANDBETWEEN(0,5)+2))-0.5</f>
        <v>7.1428571428571397E-2</v>
      </c>
      <c r="S173" s="51">
        <f ca="1">1+MAX(0,Tabla2[[#This Row],[Deuda actual]]/Tabla2[[#This Row],[Liquidez]]+Tabla2[[#This Row],[Liquidez]]/(Tabla2[[#This Row],[Activos]]+Tabla2[[#This Row],[Liquidez]])+Tabla2[[#This Row],[Comunicación]])</f>
        <v>1.909672217542278</v>
      </c>
      <c r="T173">
        <f ca="1">Tabla2[[#This Row],[Deuda actual]]*EXP(Tabla2[[#This Row],[Ki]]*Tabla2[[#This Row],[diferencia de días]])*(1+Tabla2[[#This Row],[Hg]])</f>
        <v>1274.2856123156685</v>
      </c>
    </row>
    <row r="174" spans="1:20" ht="14.5" x14ac:dyDescent="0.35">
      <c r="A174" t="e">
        <f t="shared" si="22"/>
        <v>#VALUE!</v>
      </c>
      <c r="B174" s="21">
        <f t="shared" ca="1" si="23"/>
        <v>46127</v>
      </c>
      <c r="C174" s="21">
        <f t="shared" ca="1" si="24"/>
        <v>46157</v>
      </c>
      <c r="D174">
        <f t="shared" ca="1" si="25"/>
        <v>7</v>
      </c>
      <c r="E174">
        <f t="shared" ca="1" si="26"/>
        <v>0.62609286125546282</v>
      </c>
      <c r="F174" s="47">
        <f t="shared" ca="1" si="27"/>
        <v>1884.53</v>
      </c>
      <c r="G174" s="32" t="str">
        <f t="shared" ca="1" si="28"/>
        <v>personal</v>
      </c>
      <c r="H17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74" t="str">
        <f t="shared" ca="1" si="29"/>
        <v>Sí</v>
      </c>
      <c r="J17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74" s="32">
        <f ca="1">IF(Tabla2[[#This Row],[¿cliente deuda abierta?]]="Sí", Tabla2[[#This Row],[Deuda actual]]*Tabla2[[#This Row],[diferencia de días]], "0")</f>
        <v>13191.71</v>
      </c>
      <c r="L17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7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7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74">
        <f t="shared" ca="1" si="30"/>
        <v>1814.41</v>
      </c>
      <c r="P174">
        <f t="shared" ca="1" si="31"/>
        <v>240667.91</v>
      </c>
      <c r="Q174">
        <f t="shared" ca="1" si="32"/>
        <v>4</v>
      </c>
      <c r="R174">
        <f ca="1">((Tabla2[[#This Row],[Fantasma Comunicación]]+1)/(Tabla2[[#This Row],[Fantasma Comunicación]]+RANDBETWEEN(0,5)+2))-0.5</f>
        <v>0.33333333333333337</v>
      </c>
      <c r="S174" s="51">
        <f ca="1">1+MAX(0,Tabla2[[#This Row],[Deuda actual]]/Tabla2[[#This Row],[Liquidez]]+Tabla2[[#This Row],[Liquidez]]/(Tabla2[[#This Row],[Activos]]+Tabla2[[#This Row],[Liquidez]])+Tabla2[[#This Row],[Comunicación]])</f>
        <v>2.3794621534479417</v>
      </c>
      <c r="T174">
        <f ca="1">Tabla2[[#This Row],[Deuda actual]]*EXP(Tabla2[[#This Row],[Ki]]*Tabla2[[#This Row],[diferencia de días]])*(1+Tabla2[[#This Row],[Hg]])</f>
        <v>1981.5286991866383</v>
      </c>
    </row>
    <row r="175" spans="1:20" ht="14.5" x14ac:dyDescent="0.35">
      <c r="A175" t="e">
        <f t="shared" si="22"/>
        <v>#VALUE!</v>
      </c>
      <c r="B175" s="21">
        <f t="shared" ca="1" si="23"/>
        <v>46097</v>
      </c>
      <c r="C175" s="21">
        <f t="shared" ca="1" si="24"/>
        <v>46157</v>
      </c>
      <c r="D175">
        <f t="shared" ca="1" si="25"/>
        <v>55</v>
      </c>
      <c r="E175">
        <f t="shared" ca="1" si="26"/>
        <v>0.12590367320266771</v>
      </c>
      <c r="F175" s="47">
        <f t="shared" ca="1" si="27"/>
        <v>1929.18</v>
      </c>
      <c r="G175" s="32" t="str">
        <f t="shared" ca="1" si="28"/>
        <v>personal</v>
      </c>
      <c r="H17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1.5E-3</v>
      </c>
      <c r="I175" t="str">
        <f t="shared" ca="1" si="29"/>
        <v>Sí</v>
      </c>
      <c r="J17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75" s="32">
        <f ca="1">IF(Tabla2[[#This Row],[¿cliente deuda abierta?]]="Sí", Tabla2[[#This Row],[Deuda actual]]*Tabla2[[#This Row],[diferencia de días]], "0")</f>
        <v>106104.90000000001</v>
      </c>
      <c r="L17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17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75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175">
        <f t="shared" ca="1" si="30"/>
        <v>1537.88</v>
      </c>
      <c r="P175">
        <f t="shared" ca="1" si="31"/>
        <v>141574.65</v>
      </c>
      <c r="Q175">
        <f t="shared" ca="1" si="32"/>
        <v>5</v>
      </c>
      <c r="R175">
        <f ca="1">((Tabla2[[#This Row],[Fantasma Comunicación]]+1)/(Tabla2[[#This Row],[Fantasma Comunicación]]+RANDBETWEEN(0,5)+2))-0.5</f>
        <v>0.3571428571428571</v>
      </c>
      <c r="S175" s="51">
        <f ca="1">1+MAX(0,Tabla2[[#This Row],[Deuda actual]]/Tabla2[[#This Row],[Liquidez]]+Tabla2[[#This Row],[Liquidez]]/(Tabla2[[#This Row],[Activos]]+Tabla2[[#This Row],[Liquidez]])+Tabla2[[#This Row],[Comunicación]])</f>
        <v>2.6223299852673021</v>
      </c>
      <c r="T175">
        <f ca="1">Tabla2[[#This Row],[Deuda actual]]*EXP(Tabla2[[#This Row],[Ki]]*Tabla2[[#This Row],[diferencia de días]])*(1+Tabla2[[#This Row],[Hg]])</f>
        <v>2409.3499589489329</v>
      </c>
    </row>
    <row r="176" spans="1:20" ht="14.5" x14ac:dyDescent="0.35">
      <c r="A176" t="e">
        <f t="shared" si="22"/>
        <v>#VALUE!</v>
      </c>
      <c r="B176" s="21">
        <f t="shared" ca="1" si="23"/>
        <v>46137</v>
      </c>
      <c r="C176" s="21">
        <f t="shared" ca="1" si="24"/>
        <v>46157</v>
      </c>
      <c r="D176">
        <f t="shared" ca="1" si="25"/>
        <v>19</v>
      </c>
      <c r="E176">
        <f t="shared" ca="1" si="26"/>
        <v>0.96797194121831809</v>
      </c>
      <c r="F176" s="47">
        <f t="shared" ca="1" si="27"/>
        <v>947.99</v>
      </c>
      <c r="G176" s="32" t="str">
        <f t="shared" ca="1" si="28"/>
        <v>hipotecario</v>
      </c>
      <c r="H17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176" t="str">
        <f t="shared" ca="1" si="29"/>
        <v>No</v>
      </c>
      <c r="J17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164999.38709705824</v>
      </c>
      <c r="K176" s="32" t="str">
        <f ca="1">IF(Tabla2[[#This Row],[¿cliente deuda abierta?]]="Sí", Tabla2[[#This Row],[Deuda actual]]*Tabla2[[#This Row],[diferencia de días]], "0")</f>
        <v>0</v>
      </c>
      <c r="L17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7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17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176">
        <f t="shared" ca="1" si="30"/>
        <v>1538.46</v>
      </c>
      <c r="P176">
        <f t="shared" ca="1" si="31"/>
        <v>117251.68</v>
      </c>
      <c r="Q176">
        <f t="shared" ca="1" si="32"/>
        <v>0</v>
      </c>
      <c r="R176">
        <f ca="1">((Tabla2[[#This Row],[Fantasma Comunicación]]+1)/(Tabla2[[#This Row],[Fantasma Comunicación]]+RANDBETWEEN(0,5)+2))-0.5</f>
        <v>-0.35714285714285715</v>
      </c>
      <c r="S176" s="51">
        <f ca="1">1+MAX(0,Tabla2[[#This Row],[Deuda actual]]/Tabla2[[#This Row],[Liquidez]]+Tabla2[[#This Row],[Liquidez]]/(Tabla2[[#This Row],[Activos]]+Tabla2[[#This Row],[Liquidez]])+Tabla2[[#This Row],[Comunicación]])</f>
        <v>1.2720023339468691</v>
      </c>
      <c r="T176">
        <f ca="1">Tabla2[[#This Row],[Deuda actual]]*EXP(Tabla2[[#This Row],[Ki]]*Tabla2[[#This Row],[diferencia de días]])*(1+Tabla2[[#This Row],[Hg]])</f>
        <v>764.17773715252497</v>
      </c>
    </row>
    <row r="177" spans="1:20" ht="14.5" x14ac:dyDescent="0.35">
      <c r="A177" t="e">
        <f t="shared" si="22"/>
        <v>#VALUE!</v>
      </c>
      <c r="B177" s="21">
        <f t="shared" ca="1" si="23"/>
        <v>46082</v>
      </c>
      <c r="C177" s="21">
        <f t="shared" ca="1" si="24"/>
        <v>46157</v>
      </c>
      <c r="D177">
        <f t="shared" ca="1" si="25"/>
        <v>13</v>
      </c>
      <c r="E177">
        <f t="shared" ca="1" si="26"/>
        <v>0.76722046178720693</v>
      </c>
      <c r="F177" s="47">
        <f t="shared" ca="1" si="27"/>
        <v>10000</v>
      </c>
      <c r="G177" s="32" t="str">
        <f t="shared" ca="1" si="28"/>
        <v>personal</v>
      </c>
      <c r="H17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77" t="str">
        <f t="shared" ca="1" si="29"/>
        <v>No</v>
      </c>
      <c r="J17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12000.015915912698</v>
      </c>
      <c r="K177" s="32" t="str">
        <f ca="1">IF(Tabla2[[#This Row],[¿cliente deuda abierta?]]="Sí", Tabla2[[#This Row],[Deuda actual]]*Tabla2[[#This Row],[diferencia de días]], "0")</f>
        <v>0</v>
      </c>
      <c r="L17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7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7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77">
        <f t="shared" ca="1" si="30"/>
        <v>1844.33</v>
      </c>
      <c r="P177">
        <f t="shared" ca="1" si="31"/>
        <v>60595.46</v>
      </c>
      <c r="Q177">
        <f t="shared" ca="1" si="32"/>
        <v>1</v>
      </c>
      <c r="R177">
        <f ca="1">((Tabla2[[#This Row],[Fantasma Comunicación]]+1)/(Tabla2[[#This Row],[Fantasma Comunicación]]+RANDBETWEEN(0,5)+2))-0.5</f>
        <v>0.16666666666666663</v>
      </c>
      <c r="S177" s="51">
        <f ca="1">1+MAX(0,Tabla2[[#This Row],[Deuda actual]]/Tabla2[[#This Row],[Liquidez]]+Tabla2[[#This Row],[Liquidez]]/(Tabla2[[#This Row],[Activos]]+Tabla2[[#This Row],[Liquidez]])+Tabla2[[#This Row],[Comunicación]])</f>
        <v>6.6182275758665563</v>
      </c>
      <c r="T177">
        <f ca="1">Tabla2[[#This Row],[Deuda actual]]*EXP(Tabla2[[#This Row],[Ki]]*Tabla2[[#This Row],[diferencia de días]])*(1+Tabla2[[#This Row],[Hg]])</f>
        <v>9023.4304463811459</v>
      </c>
    </row>
    <row r="178" spans="1:20" ht="14.5" x14ac:dyDescent="0.35">
      <c r="A178" t="e">
        <f t="shared" si="22"/>
        <v>#VALUE!</v>
      </c>
      <c r="B178" s="21">
        <f t="shared" ca="1" si="23"/>
        <v>46118</v>
      </c>
      <c r="C178" s="21">
        <f t="shared" ca="1" si="24"/>
        <v>46157</v>
      </c>
      <c r="D178">
        <f t="shared" ca="1" si="25"/>
        <v>7</v>
      </c>
      <c r="E178">
        <f t="shared" ca="1" si="26"/>
        <v>0.55331723999237914</v>
      </c>
      <c r="F178" s="47">
        <f t="shared" ca="1" si="27"/>
        <v>2090.58</v>
      </c>
      <c r="G178" s="32" t="str">
        <f t="shared" ca="1" si="28"/>
        <v>personal</v>
      </c>
      <c r="H17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78" t="str">
        <f t="shared" ca="1" si="29"/>
        <v>Sí</v>
      </c>
      <c r="J17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78" s="32">
        <f ca="1">IF(Tabla2[[#This Row],[¿cliente deuda abierta?]]="Sí", Tabla2[[#This Row],[Deuda actual]]*Tabla2[[#This Row],[diferencia de días]], "0")</f>
        <v>14634.06</v>
      </c>
      <c r="L17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7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7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78">
        <f t="shared" ca="1" si="30"/>
        <v>1998.56</v>
      </c>
      <c r="P178">
        <f t="shared" ca="1" si="31"/>
        <v>96066.08</v>
      </c>
      <c r="Q178">
        <f t="shared" ca="1" si="32"/>
        <v>1</v>
      </c>
      <c r="R178">
        <f ca="1">((Tabla2[[#This Row],[Fantasma Comunicación]]+1)/(Tabla2[[#This Row],[Fantasma Comunicación]]+RANDBETWEEN(0,5)+2))-0.5</f>
        <v>-0.25</v>
      </c>
      <c r="S178" s="51">
        <f ca="1">1+MAX(0,Tabla2[[#This Row],[Deuda actual]]/Tabla2[[#This Row],[Liquidez]]+Tabla2[[#This Row],[Liquidez]]/(Tabla2[[#This Row],[Activos]]+Tabla2[[#This Row],[Liquidez]])+Tabla2[[#This Row],[Comunicación]])</f>
        <v>1.8164231779571567</v>
      </c>
      <c r="T178">
        <f ca="1">Tabla2[[#This Row],[Deuda actual]]*EXP(Tabla2[[#This Row],[Ki]]*Tabla2[[#This Row],[diferencia de días]])*(1+Tabla2[[#This Row],[Hg]])</f>
        <v>2198.1843048110682</v>
      </c>
    </row>
    <row r="179" spans="1:20" ht="14.5" x14ac:dyDescent="0.35">
      <c r="A179" t="e">
        <f t="shared" si="22"/>
        <v>#VALUE!</v>
      </c>
      <c r="B179" s="21">
        <f t="shared" ca="1" si="23"/>
        <v>46119</v>
      </c>
      <c r="C179" s="21">
        <f t="shared" ca="1" si="24"/>
        <v>46157</v>
      </c>
      <c r="D179">
        <f t="shared" ca="1" si="25"/>
        <v>2</v>
      </c>
      <c r="E179">
        <f t="shared" ca="1" si="26"/>
        <v>0.15650014741793694</v>
      </c>
      <c r="F179" s="47">
        <f t="shared" ca="1" si="27"/>
        <v>133.19999999999999</v>
      </c>
      <c r="G179" s="32" t="str">
        <f t="shared" ca="1" si="28"/>
        <v>hipotecario</v>
      </c>
      <c r="H17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79" t="str">
        <f t="shared" ca="1" si="29"/>
        <v>No</v>
      </c>
      <c r="J17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165000.05481767605</v>
      </c>
      <c r="K179" s="32" t="str">
        <f ca="1">IF(Tabla2[[#This Row],[¿cliente deuda abierta?]]="Sí", Tabla2[[#This Row],[Deuda actual]]*Tabla2[[#This Row],[diferencia de días]], "0")</f>
        <v>0</v>
      </c>
      <c r="L17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7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17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179">
        <f t="shared" ca="1" si="30"/>
        <v>2766.9</v>
      </c>
      <c r="P179">
        <f t="shared" ca="1" si="31"/>
        <v>72832.23</v>
      </c>
      <c r="Q179">
        <f t="shared" ca="1" si="32"/>
        <v>0</v>
      </c>
      <c r="R179">
        <f ca="1">((Tabla2[[#This Row],[Fantasma Comunicación]]+1)/(Tabla2[[#This Row],[Fantasma Comunicación]]+RANDBETWEEN(0,5)+2))-0.5</f>
        <v>-0.35714285714285715</v>
      </c>
      <c r="S179" s="51">
        <f ca="1">1+MAX(0,Tabla2[[#This Row],[Deuda actual]]/Tabla2[[#This Row],[Liquidez]]+Tabla2[[#This Row],[Liquidez]]/(Tabla2[[#This Row],[Activos]]+Tabla2[[#This Row],[Liquidez]])+Tabla2[[#This Row],[Comunicación]])</f>
        <v>1</v>
      </c>
      <c r="T179">
        <f ca="1">Tabla2[[#This Row],[Deuda actual]]*EXP(Tabla2[[#This Row],[Ki]]*Tabla2[[#This Row],[diferencia de días]])*(1+Tabla2[[#This Row],[Hg]])</f>
        <v>106.60263252593676</v>
      </c>
    </row>
    <row r="180" spans="1:20" ht="14.5" x14ac:dyDescent="0.35">
      <c r="A180" t="e">
        <f t="shared" si="22"/>
        <v>#VALUE!</v>
      </c>
      <c r="B180" s="21">
        <f t="shared" ca="1" si="23"/>
        <v>46098</v>
      </c>
      <c r="C180" s="21">
        <f t="shared" ca="1" si="24"/>
        <v>46157</v>
      </c>
      <c r="D180">
        <f t="shared" ca="1" si="25"/>
        <v>1</v>
      </c>
      <c r="E180">
        <f t="shared" ca="1" si="26"/>
        <v>0.44483696687115093</v>
      </c>
      <c r="F180" s="47">
        <f t="shared" ca="1" si="27"/>
        <v>2498.46</v>
      </c>
      <c r="G180" s="32" t="str">
        <f t="shared" ca="1" si="28"/>
        <v>personal</v>
      </c>
      <c r="H18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80" t="str">
        <f t="shared" ca="1" si="29"/>
        <v>No</v>
      </c>
      <c r="J18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11999.512946209934</v>
      </c>
      <c r="K180" s="32" t="str">
        <f ca="1">IF(Tabla2[[#This Row],[¿cliente deuda abierta?]]="Sí", Tabla2[[#This Row],[Deuda actual]]*Tabla2[[#This Row],[diferencia de días]], "0")</f>
        <v>0</v>
      </c>
      <c r="L18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8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8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80">
        <f t="shared" ca="1" si="30"/>
        <v>1714.64</v>
      </c>
      <c r="P180">
        <f t="shared" ca="1" si="31"/>
        <v>132448.85999999999</v>
      </c>
      <c r="Q180">
        <f t="shared" ca="1" si="32"/>
        <v>4</v>
      </c>
      <c r="R180">
        <f ca="1">((Tabla2[[#This Row],[Fantasma Comunicación]]+1)/(Tabla2[[#This Row],[Fantasma Comunicación]]+RANDBETWEEN(0,5)+2))-0.5</f>
        <v>0.33333333333333337</v>
      </c>
      <c r="S180" s="51">
        <f ca="1">1+MAX(0,Tabla2[[#This Row],[Deuda actual]]/Tabla2[[#This Row],[Liquidez]]+Tabla2[[#This Row],[Liquidez]]/(Tabla2[[#This Row],[Activos]]+Tabla2[[#This Row],[Liquidez]])+Tabla2[[#This Row],[Comunicación]])</f>
        <v>2.8032474194467567</v>
      </c>
      <c r="T180">
        <f ca="1">Tabla2[[#This Row],[Deuda actual]]*EXP(Tabla2[[#This Row],[Ki]]*Tabla2[[#This Row],[diferencia de días]])*(1+Tabla2[[#This Row],[Hg]])</f>
        <v>2249.0637677752784</v>
      </c>
    </row>
    <row r="181" spans="1:20" ht="14.5" x14ac:dyDescent="0.35">
      <c r="A181" t="e">
        <f t="shared" si="22"/>
        <v>#VALUE!</v>
      </c>
      <c r="B181" s="21">
        <f t="shared" ca="1" si="23"/>
        <v>46135</v>
      </c>
      <c r="C181" s="21">
        <f t="shared" ca="1" si="24"/>
        <v>46157</v>
      </c>
      <c r="D181">
        <f t="shared" ca="1" si="25"/>
        <v>2</v>
      </c>
      <c r="E181">
        <f t="shared" ca="1" si="26"/>
        <v>0.91105066877577623</v>
      </c>
      <c r="F181" s="47">
        <f t="shared" ca="1" si="27"/>
        <v>958.39</v>
      </c>
      <c r="G181" s="32" t="str">
        <f t="shared" ca="1" si="28"/>
        <v>personal</v>
      </c>
      <c r="H18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81" t="str">
        <f t="shared" ca="1" si="29"/>
        <v>Sí</v>
      </c>
      <c r="J18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81" s="32">
        <f ca="1">IF(Tabla2[[#This Row],[¿cliente deuda abierta?]]="Sí", Tabla2[[#This Row],[Deuda actual]]*Tabla2[[#This Row],[diferencia de días]], "0")</f>
        <v>1916.78</v>
      </c>
      <c r="L18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8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8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81">
        <f t="shared" ca="1" si="30"/>
        <v>1187.1600000000001</v>
      </c>
      <c r="P181">
        <f t="shared" ca="1" si="31"/>
        <v>105864.77</v>
      </c>
      <c r="Q181">
        <f t="shared" ca="1" si="32"/>
        <v>4</v>
      </c>
      <c r="R181">
        <f ca="1">((Tabla2[[#This Row],[Fantasma Comunicación]]+1)/(Tabla2[[#This Row],[Fantasma Comunicación]]+RANDBETWEEN(0,5)+2))-0.5</f>
        <v>-4.545454545454547E-2</v>
      </c>
      <c r="S181" s="51">
        <f ca="1">1+MAX(0,Tabla2[[#This Row],[Deuda actual]]/Tabla2[[#This Row],[Liquidez]]+Tabla2[[#This Row],[Liquidez]]/(Tabla2[[#This Row],[Activos]]+Tabla2[[#This Row],[Liquidez]])+Tabla2[[#This Row],[Comunicación]])</f>
        <v>1.7729314306124129</v>
      </c>
      <c r="T181">
        <f ca="1">Tabla2[[#This Row],[Deuda actual]]*EXP(Tabla2[[#This Row],[Ki]]*Tabla2[[#This Row],[diferencia de días]])*(1+Tabla2[[#This Row],[Hg]])</f>
        <v>1006.7121043154953</v>
      </c>
    </row>
    <row r="182" spans="1:20" ht="14.5" x14ac:dyDescent="0.35">
      <c r="A182" t="e">
        <f t="shared" si="22"/>
        <v>#VALUE!</v>
      </c>
      <c r="B182" s="21">
        <f t="shared" ca="1" si="23"/>
        <v>46141</v>
      </c>
      <c r="C182" s="21">
        <f t="shared" ca="1" si="24"/>
        <v>46157</v>
      </c>
      <c r="D182">
        <f t="shared" ca="1" si="25"/>
        <v>6</v>
      </c>
      <c r="E182">
        <f t="shared" ca="1" si="26"/>
        <v>0.18410114987080806</v>
      </c>
      <c r="F182" s="47">
        <f t="shared" ca="1" si="27"/>
        <v>1565.57</v>
      </c>
      <c r="G182" s="32" t="str">
        <f t="shared" ca="1" si="28"/>
        <v>hipotecario</v>
      </c>
      <c r="H18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82" t="str">
        <f t="shared" ca="1" si="29"/>
        <v>Sí</v>
      </c>
      <c r="J18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82" s="32">
        <f ca="1">IF(Tabla2[[#This Row],[¿cliente deuda abierta?]]="Sí", Tabla2[[#This Row],[Deuda actual]]*Tabla2[[#This Row],[diferencia de días]], "0")</f>
        <v>9393.42</v>
      </c>
      <c r="L18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8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8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82">
        <f t="shared" ca="1" si="30"/>
        <v>1558.73</v>
      </c>
      <c r="P182">
        <f t="shared" ca="1" si="31"/>
        <v>106541.89</v>
      </c>
      <c r="Q182">
        <f t="shared" ca="1" si="32"/>
        <v>1</v>
      </c>
      <c r="R182">
        <f ca="1">((Tabla2[[#This Row],[Fantasma Comunicación]]+1)/(Tabla2[[#This Row],[Fantasma Comunicación]]+RANDBETWEEN(0,5)+2))-0.5</f>
        <v>-0.25</v>
      </c>
      <c r="S182" s="51">
        <f ca="1">1+MAX(0,Tabla2[[#This Row],[Deuda actual]]/Tabla2[[#This Row],[Liquidez]]+Tabla2[[#This Row],[Liquidez]]/(Tabla2[[#This Row],[Activos]]+Tabla2[[#This Row],[Liquidez]])+Tabla2[[#This Row],[Comunicación]])</f>
        <v>1.7688074390690089</v>
      </c>
      <c r="T182">
        <f ca="1">Tabla2[[#This Row],[Deuda actual]]*EXP(Tabla2[[#This Row],[Ki]]*Tabla2[[#This Row],[diferencia de días]])*(1+Tabla2[[#This Row],[Hg]])</f>
        <v>1645.8223022444904</v>
      </c>
    </row>
    <row r="183" spans="1:20" ht="14.5" x14ac:dyDescent="0.35">
      <c r="A183" t="e">
        <f t="shared" si="22"/>
        <v>#VALUE!</v>
      </c>
      <c r="B183" s="21">
        <f t="shared" ca="1" si="23"/>
        <v>46136</v>
      </c>
      <c r="C183" s="21">
        <f t="shared" ca="1" si="24"/>
        <v>46157</v>
      </c>
      <c r="D183">
        <f t="shared" ca="1" si="25"/>
        <v>12</v>
      </c>
      <c r="E183">
        <f t="shared" ca="1" si="26"/>
        <v>0.98621812478805582</v>
      </c>
      <c r="F183" s="47">
        <f t="shared" ca="1" si="27"/>
        <v>269.48</v>
      </c>
      <c r="G183" s="32" t="str">
        <f t="shared" ca="1" si="28"/>
        <v>personal</v>
      </c>
      <c r="H18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83" t="str">
        <f t="shared" ca="1" si="29"/>
        <v>Sí</v>
      </c>
      <c r="J18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83" s="32">
        <f ca="1">IF(Tabla2[[#This Row],[¿cliente deuda abierta?]]="Sí", Tabla2[[#This Row],[Deuda actual]]*Tabla2[[#This Row],[diferencia de días]], "0")</f>
        <v>3233.76</v>
      </c>
      <c r="L18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8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8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83">
        <f t="shared" ca="1" si="30"/>
        <v>1632.92</v>
      </c>
      <c r="P183">
        <f t="shared" ca="1" si="31"/>
        <v>893258.26</v>
      </c>
      <c r="Q183">
        <f t="shared" ca="1" si="32"/>
        <v>4</v>
      </c>
      <c r="R183">
        <f ca="1">((Tabla2[[#This Row],[Fantasma Comunicación]]+1)/(Tabla2[[#This Row],[Fantasma Comunicación]]+RANDBETWEEN(0,5)+2))-0.5</f>
        <v>0.2142857142857143</v>
      </c>
      <c r="S183" s="51">
        <f ca="1">1+MAX(0,Tabla2[[#This Row],[Deuda actual]]/Tabla2[[#This Row],[Liquidez]]+Tabla2[[#This Row],[Liquidez]]/(Tabla2[[#This Row],[Activos]]+Tabla2[[#This Row],[Liquidez]])+Tabla2[[#This Row],[Comunicación]])</f>
        <v>1.3811399454403803</v>
      </c>
      <c r="T183">
        <f ca="1">Tabla2[[#This Row],[Deuda actual]]*EXP(Tabla2[[#This Row],[Ki]]*Tabla2[[#This Row],[diferencia de días]])*(1+Tabla2[[#This Row],[Hg]])</f>
        <v>283.63390515983735</v>
      </c>
    </row>
    <row r="184" spans="1:20" ht="14.5" x14ac:dyDescent="0.35">
      <c r="A184" t="e">
        <f t="shared" si="22"/>
        <v>#VALUE!</v>
      </c>
      <c r="B184" s="21">
        <f t="shared" ca="1" si="23"/>
        <v>46108</v>
      </c>
      <c r="C184" s="21">
        <f t="shared" ca="1" si="24"/>
        <v>46157</v>
      </c>
      <c r="D184">
        <f t="shared" ca="1" si="25"/>
        <v>5</v>
      </c>
      <c r="E184">
        <f t="shared" ca="1" si="26"/>
        <v>0.13869639184657012</v>
      </c>
      <c r="F184" s="47">
        <f t="shared" ca="1" si="27"/>
        <v>448.38</v>
      </c>
      <c r="G184" s="32" t="str">
        <f t="shared" ca="1" si="28"/>
        <v>personal</v>
      </c>
      <c r="H18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84" t="str">
        <f t="shared" ca="1" si="29"/>
        <v>Sí</v>
      </c>
      <c r="J18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84" s="32">
        <f ca="1">IF(Tabla2[[#This Row],[¿cliente deuda abierta?]]="Sí", Tabla2[[#This Row],[Deuda actual]]*Tabla2[[#This Row],[diferencia de días]], "0")</f>
        <v>2241.9</v>
      </c>
      <c r="L18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8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8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84">
        <f t="shared" ca="1" si="30"/>
        <v>1927.71</v>
      </c>
      <c r="P184">
        <f t="shared" ca="1" si="31"/>
        <v>195726.51</v>
      </c>
      <c r="Q184">
        <f t="shared" ca="1" si="32"/>
        <v>1</v>
      </c>
      <c r="R184">
        <f ca="1">((Tabla2[[#This Row],[Fantasma Comunicación]]+1)/(Tabla2[[#This Row],[Fantasma Comunicación]]+RANDBETWEEN(0,5)+2))-0.5</f>
        <v>-0.16666666666666669</v>
      </c>
      <c r="S184" s="51">
        <f ca="1">1+MAX(0,Tabla2[[#This Row],[Deuda actual]]/Tabla2[[#This Row],[Liquidez]]+Tabla2[[#This Row],[Liquidez]]/(Tabla2[[#This Row],[Activos]]+Tabla2[[#This Row],[Liquidez]])+Tabla2[[#This Row],[Comunicación]])</f>
        <v>1.0756835013675157</v>
      </c>
      <c r="T184">
        <f ca="1">Tabla2[[#This Row],[Deuda actual]]*EXP(Tabla2[[#This Row],[Ki]]*Tabla2[[#This Row],[diferencia de días]])*(1+Tabla2[[#This Row],[Hg]])</f>
        <v>471.2700344779862</v>
      </c>
    </row>
    <row r="185" spans="1:20" ht="14.5" x14ac:dyDescent="0.35">
      <c r="A185" t="e">
        <f t="shared" si="22"/>
        <v>#VALUE!</v>
      </c>
      <c r="B185" s="21">
        <f t="shared" ca="1" si="23"/>
        <v>46112</v>
      </c>
      <c r="C185" s="21">
        <f t="shared" ca="1" si="24"/>
        <v>46157</v>
      </c>
      <c r="D185">
        <f t="shared" ca="1" si="25"/>
        <v>23</v>
      </c>
      <c r="E185">
        <f t="shared" ca="1" si="26"/>
        <v>0.30602516994966789</v>
      </c>
      <c r="F185" s="47">
        <f t="shared" ca="1" si="27"/>
        <v>3694.79</v>
      </c>
      <c r="G185" s="32" t="str">
        <f t="shared" ca="1" si="28"/>
        <v>personal</v>
      </c>
      <c r="H18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185" t="str">
        <f t="shared" ca="1" si="29"/>
        <v>No</v>
      </c>
      <c r="J18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11999.344862340464</v>
      </c>
      <c r="K185" s="32" t="str">
        <f ca="1">IF(Tabla2[[#This Row],[¿cliente deuda abierta?]]="Sí", Tabla2[[#This Row],[Deuda actual]]*Tabla2[[#This Row],[diferencia de días]], "0")</f>
        <v>0</v>
      </c>
      <c r="L18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8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8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85">
        <f t="shared" ca="1" si="30"/>
        <v>2005.4</v>
      </c>
      <c r="P185">
        <f t="shared" ca="1" si="31"/>
        <v>60061.4</v>
      </c>
      <c r="Q185">
        <f t="shared" ca="1" si="32"/>
        <v>4</v>
      </c>
      <c r="R185">
        <f ca="1">((Tabla2[[#This Row],[Fantasma Comunicación]]+1)/(Tabla2[[#This Row],[Fantasma Comunicación]]+RANDBETWEEN(0,5)+2))-0.5</f>
        <v>0.125</v>
      </c>
      <c r="S185" s="51">
        <f ca="1">1+MAX(0,Tabla2[[#This Row],[Deuda actual]]/Tabla2[[#This Row],[Liquidez]]+Tabla2[[#This Row],[Liquidez]]/(Tabla2[[#This Row],[Activos]]+Tabla2[[#This Row],[Liquidez]])+Tabla2[[#This Row],[Comunicación]])</f>
        <v>2.9997308142396033</v>
      </c>
      <c r="T185">
        <f ca="1">Tabla2[[#This Row],[Deuda actual]]*EXP(Tabla2[[#This Row],[Ki]]*Tabla2[[#This Row],[diferencia de días]])*(1+Tabla2[[#This Row],[Hg]])</f>
        <v>3356.04502091924</v>
      </c>
    </row>
    <row r="186" spans="1:20" ht="14.5" x14ac:dyDescent="0.35">
      <c r="A186" t="e">
        <f t="shared" si="22"/>
        <v>#VALUE!</v>
      </c>
      <c r="B186" s="21">
        <f t="shared" ca="1" si="23"/>
        <v>46140</v>
      </c>
      <c r="C186" s="21">
        <f t="shared" ca="1" si="24"/>
        <v>46157</v>
      </c>
      <c r="D186">
        <f t="shared" ca="1" si="25"/>
        <v>13</v>
      </c>
      <c r="E186">
        <f t="shared" ca="1" si="26"/>
        <v>0.94292966702978753</v>
      </c>
      <c r="F186" s="47">
        <f t="shared" ca="1" si="27"/>
        <v>1705.56</v>
      </c>
      <c r="G186" s="32" t="str">
        <f t="shared" ca="1" si="28"/>
        <v>personal</v>
      </c>
      <c r="H18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86" t="str">
        <f t="shared" ca="1" si="29"/>
        <v>No</v>
      </c>
      <c r="J18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11999.482424033118</v>
      </c>
      <c r="K186" s="32" t="str">
        <f ca="1">IF(Tabla2[[#This Row],[¿cliente deuda abierta?]]="Sí", Tabla2[[#This Row],[Deuda actual]]*Tabla2[[#This Row],[diferencia de días]], "0")</f>
        <v>0</v>
      </c>
      <c r="L18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8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8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86">
        <f t="shared" ca="1" si="30"/>
        <v>1864.16</v>
      </c>
      <c r="P186">
        <f t="shared" ca="1" si="31"/>
        <v>100557.53</v>
      </c>
      <c r="Q186">
        <f t="shared" ca="1" si="32"/>
        <v>1</v>
      </c>
      <c r="R186">
        <f ca="1">((Tabla2[[#This Row],[Fantasma Comunicación]]+1)/(Tabla2[[#This Row],[Fantasma Comunicación]]+RANDBETWEEN(0,5)+2))-0.5</f>
        <v>-9.9999999999999978E-2</v>
      </c>
      <c r="S186" s="51">
        <f ca="1">1+MAX(0,Tabla2[[#This Row],[Deuda actual]]/Tabla2[[#This Row],[Liquidez]]+Tabla2[[#This Row],[Liquidez]]/(Tabla2[[#This Row],[Activos]]+Tabla2[[#This Row],[Liquidez]])+Tabla2[[#This Row],[Comunicación]])</f>
        <v>1.8331222982337052</v>
      </c>
      <c r="T186">
        <f ca="1">Tabla2[[#This Row],[Deuda actual]]*EXP(Tabla2[[#This Row],[Ki]]*Tabla2[[#This Row],[diferencia de días]])*(1+Tabla2[[#This Row],[Hg]])</f>
        <v>1539.0002032129826</v>
      </c>
    </row>
    <row r="187" spans="1:20" ht="14.5" x14ac:dyDescent="0.35">
      <c r="A187" t="e">
        <f t="shared" si="22"/>
        <v>#VALUE!</v>
      </c>
      <c r="B187" s="21">
        <f t="shared" ca="1" si="23"/>
        <v>46104</v>
      </c>
      <c r="C187" s="21">
        <f t="shared" ca="1" si="24"/>
        <v>46157</v>
      </c>
      <c r="D187">
        <f t="shared" ca="1" si="25"/>
        <v>23</v>
      </c>
      <c r="E187">
        <f t="shared" ca="1" si="26"/>
        <v>0.23425894937021952</v>
      </c>
      <c r="F187" s="47">
        <f t="shared" ca="1" si="27"/>
        <v>162.35</v>
      </c>
      <c r="G187" s="32" t="str">
        <f t="shared" ca="1" si="28"/>
        <v>personal</v>
      </c>
      <c r="H18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187" t="str">
        <f t="shared" ca="1" si="29"/>
        <v>Sí</v>
      </c>
      <c r="J18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87" s="32">
        <f ca="1">IF(Tabla2[[#This Row],[¿cliente deuda abierta?]]="Sí", Tabla2[[#This Row],[Deuda actual]]*Tabla2[[#This Row],[diferencia de días]], "0")</f>
        <v>3734.0499999999997</v>
      </c>
      <c r="L18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8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8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87">
        <f t="shared" ca="1" si="30"/>
        <v>1415.52</v>
      </c>
      <c r="P187">
        <f t="shared" ca="1" si="31"/>
        <v>172020.61</v>
      </c>
      <c r="Q187">
        <f t="shared" ca="1" si="32"/>
        <v>0</v>
      </c>
      <c r="R187">
        <f ca="1">((Tabla2[[#This Row],[Fantasma Comunicación]]+1)/(Tabla2[[#This Row],[Fantasma Comunicación]]+RANDBETWEEN(0,5)+2))-0.5</f>
        <v>-0.25</v>
      </c>
      <c r="S187" s="51">
        <f ca="1">1+MAX(0,Tabla2[[#This Row],[Deuda actual]]/Tabla2[[#This Row],[Liquidez]]+Tabla2[[#This Row],[Liquidez]]/(Tabla2[[#This Row],[Activos]]+Tabla2[[#This Row],[Liquidez]])+Tabla2[[#This Row],[Comunicación]])</f>
        <v>1</v>
      </c>
      <c r="T187">
        <f ca="1">Tabla2[[#This Row],[Deuda actual]]*EXP(Tabla2[[#This Row],[Ki]]*Tabla2[[#This Row],[diferencia de días]])*(1+Tabla2[[#This Row],[Hg]])</f>
        <v>172.04303735907726</v>
      </c>
    </row>
    <row r="188" spans="1:20" ht="14.5" x14ac:dyDescent="0.35">
      <c r="A188" t="e">
        <f t="shared" si="22"/>
        <v>#VALUE!</v>
      </c>
      <c r="B188" s="21">
        <f t="shared" ca="1" si="23"/>
        <v>46109</v>
      </c>
      <c r="C188" s="21">
        <f t="shared" ca="1" si="24"/>
        <v>46157</v>
      </c>
      <c r="D188">
        <f t="shared" ca="1" si="25"/>
        <v>19</v>
      </c>
      <c r="E188">
        <f t="shared" ca="1" si="26"/>
        <v>0.27130332194766871</v>
      </c>
      <c r="F188" s="47">
        <f t="shared" ca="1" si="27"/>
        <v>170.54</v>
      </c>
      <c r="G188" s="32" t="str">
        <f t="shared" ca="1" si="28"/>
        <v>personal</v>
      </c>
      <c r="H18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188" t="str">
        <f t="shared" ca="1" si="29"/>
        <v>Sí</v>
      </c>
      <c r="J18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88" s="32">
        <f ca="1">IF(Tabla2[[#This Row],[¿cliente deuda abierta?]]="Sí", Tabla2[[#This Row],[Deuda actual]]*Tabla2[[#This Row],[diferencia de días]], "0")</f>
        <v>3240.2599999999998</v>
      </c>
      <c r="L18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8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8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88">
        <f t="shared" ca="1" si="30"/>
        <v>1987.93</v>
      </c>
      <c r="P188">
        <f t="shared" ca="1" si="31"/>
        <v>67457.149999999994</v>
      </c>
      <c r="Q188">
        <f t="shared" ca="1" si="32"/>
        <v>0</v>
      </c>
      <c r="R188">
        <f ca="1">((Tabla2[[#This Row],[Fantasma Comunicación]]+1)/(Tabla2[[#This Row],[Fantasma Comunicación]]+RANDBETWEEN(0,5)+2))-0.5</f>
        <v>-0.25</v>
      </c>
      <c r="S188" s="51">
        <f ca="1">1+MAX(0,Tabla2[[#This Row],[Deuda actual]]/Tabla2[[#This Row],[Liquidez]]+Tabla2[[#This Row],[Liquidez]]/(Tabla2[[#This Row],[Activos]]+Tabla2[[#This Row],[Liquidez]])+Tabla2[[#This Row],[Comunicación]])</f>
        <v>1</v>
      </c>
      <c r="T188">
        <f ca="1">Tabla2[[#This Row],[Deuda actual]]*EXP(Tabla2[[#This Row],[Ki]]*Tabla2[[#This Row],[diferencia de días]])*(1+Tabla2[[#This Row],[Hg]])</f>
        <v>180.43309378090908</v>
      </c>
    </row>
    <row r="189" spans="1:20" ht="14.5" x14ac:dyDescent="0.35">
      <c r="A189" t="e">
        <f t="shared" si="22"/>
        <v>#VALUE!</v>
      </c>
      <c r="B189" s="21">
        <f t="shared" ca="1" si="23"/>
        <v>46125</v>
      </c>
      <c r="C189" s="21">
        <f t="shared" ca="1" si="24"/>
        <v>46157</v>
      </c>
      <c r="D189">
        <f t="shared" ca="1" si="25"/>
        <v>10</v>
      </c>
      <c r="E189">
        <f t="shared" ca="1" si="26"/>
        <v>0.1629906617358684</v>
      </c>
      <c r="F189" s="47">
        <f t="shared" ca="1" si="27"/>
        <v>2306.96</v>
      </c>
      <c r="G189" s="32" t="str">
        <f t="shared" ca="1" si="28"/>
        <v>hipotecario</v>
      </c>
      <c r="H18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89" t="str">
        <f t="shared" ca="1" si="29"/>
        <v>No</v>
      </c>
      <c r="J18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165000.06119135302</v>
      </c>
      <c r="K189" s="32" t="str">
        <f ca="1">IF(Tabla2[[#This Row],[¿cliente deuda abierta?]]="Sí", Tabla2[[#This Row],[Deuda actual]]*Tabla2[[#This Row],[diferencia de días]], "0")</f>
        <v>0</v>
      </c>
      <c r="L18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8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18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189">
        <f t="shared" ca="1" si="30"/>
        <v>1520.39</v>
      </c>
      <c r="P189">
        <f t="shared" ca="1" si="31"/>
        <v>188378.69</v>
      </c>
      <c r="Q189">
        <f t="shared" ca="1" si="32"/>
        <v>0</v>
      </c>
      <c r="R189">
        <f ca="1">((Tabla2[[#This Row],[Fantasma Comunicación]]+1)/(Tabla2[[#This Row],[Fantasma Comunicación]]+RANDBETWEEN(0,5)+2))-0.5</f>
        <v>-0.3</v>
      </c>
      <c r="S189" s="51">
        <f ca="1">1+MAX(0,Tabla2[[#This Row],[Deuda actual]]/Tabla2[[#This Row],[Liquidez]]+Tabla2[[#This Row],[Liquidez]]/(Tabla2[[#This Row],[Activos]]+Tabla2[[#This Row],[Liquidez]])+Tabla2[[#This Row],[Comunicación]])</f>
        <v>2.2253538279189198</v>
      </c>
      <c r="T189">
        <f ca="1">Tabla2[[#This Row],[Deuda actual]]*EXP(Tabla2[[#This Row],[Ki]]*Tabla2[[#This Row],[diferencia de días]])*(1+Tabla2[[#This Row],[Hg]])</f>
        <v>1849.2628295979885</v>
      </c>
    </row>
    <row r="190" spans="1:20" ht="14.5" x14ac:dyDescent="0.35">
      <c r="A190" t="e">
        <f t="shared" si="22"/>
        <v>#VALUE!</v>
      </c>
      <c r="B190" s="21">
        <f t="shared" ca="1" si="23"/>
        <v>46110</v>
      </c>
      <c r="C190" s="21">
        <f t="shared" ca="1" si="24"/>
        <v>46157</v>
      </c>
      <c r="D190">
        <f t="shared" ca="1" si="25"/>
        <v>18</v>
      </c>
      <c r="E190">
        <f t="shared" ca="1" si="26"/>
        <v>0.90554465397187611</v>
      </c>
      <c r="F190" s="47">
        <f t="shared" ca="1" si="27"/>
        <v>121.28</v>
      </c>
      <c r="G190" s="32" t="str">
        <f t="shared" ca="1" si="28"/>
        <v>personal</v>
      </c>
      <c r="H19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190" t="str">
        <f t="shared" ca="1" si="29"/>
        <v>No</v>
      </c>
      <c r="J19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11999.691762935225</v>
      </c>
      <c r="K190" s="32" t="str">
        <f ca="1">IF(Tabla2[[#This Row],[¿cliente deuda abierta?]]="Sí", Tabla2[[#This Row],[Deuda actual]]*Tabla2[[#This Row],[diferencia de días]], "0")</f>
        <v>0</v>
      </c>
      <c r="L19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9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9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90">
        <f t="shared" ca="1" si="30"/>
        <v>1797.82</v>
      </c>
      <c r="P190">
        <f t="shared" ca="1" si="31"/>
        <v>225978.41</v>
      </c>
      <c r="Q190">
        <f t="shared" ca="1" si="32"/>
        <v>4</v>
      </c>
      <c r="R190">
        <f ca="1">((Tabla2[[#This Row],[Fantasma Comunicación]]+1)/(Tabla2[[#This Row],[Fantasma Comunicación]]+RANDBETWEEN(0,5)+2))-0.5</f>
        <v>0.2142857142857143</v>
      </c>
      <c r="S190" s="51">
        <f ca="1">1+MAX(0,Tabla2[[#This Row],[Deuda actual]]/Tabla2[[#This Row],[Liquidez]]+Tabla2[[#This Row],[Liquidez]]/(Tabla2[[#This Row],[Activos]]+Tabla2[[#This Row],[Liquidez]])+Tabla2[[#This Row],[Comunicación]])</f>
        <v>1.2896381149137479</v>
      </c>
      <c r="T190">
        <f ca="1">Tabla2[[#This Row],[Deuda actual]]*EXP(Tabla2[[#This Row],[Ki]]*Tabla2[[#This Row],[diferencia de días]])*(1+Tabla2[[#This Row],[Hg]])</f>
        <v>109.94073042220748</v>
      </c>
    </row>
    <row r="191" spans="1:20" ht="14.5" x14ac:dyDescent="0.35">
      <c r="A191" t="e">
        <f t="shared" si="22"/>
        <v>#VALUE!</v>
      </c>
      <c r="B191" s="21">
        <f t="shared" ca="1" si="23"/>
        <v>46132</v>
      </c>
      <c r="C191" s="21">
        <f t="shared" ca="1" si="24"/>
        <v>46157</v>
      </c>
      <c r="D191">
        <f t="shared" ca="1" si="25"/>
        <v>7</v>
      </c>
      <c r="E191">
        <f t="shared" ca="1" si="26"/>
        <v>0.75553248408560447</v>
      </c>
      <c r="F191" s="47">
        <f t="shared" ca="1" si="27"/>
        <v>1027.44</v>
      </c>
      <c r="G191" s="32" t="str">
        <f t="shared" ca="1" si="28"/>
        <v>hipotecario</v>
      </c>
      <c r="H19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91" t="str">
        <f t="shared" ca="1" si="29"/>
        <v>Sí</v>
      </c>
      <c r="J19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91" s="32">
        <f ca="1">IF(Tabla2[[#This Row],[¿cliente deuda abierta?]]="Sí", Tabla2[[#This Row],[Deuda actual]]*Tabla2[[#This Row],[diferencia de días]], "0")</f>
        <v>7192.08</v>
      </c>
      <c r="L19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9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9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91">
        <f t="shared" ca="1" si="30"/>
        <v>1669.93</v>
      </c>
      <c r="P191">
        <f t="shared" ca="1" si="31"/>
        <v>50342.7</v>
      </c>
      <c r="Q191">
        <f t="shared" ca="1" si="32"/>
        <v>5</v>
      </c>
      <c r="R191">
        <f ca="1">((Tabla2[[#This Row],[Fantasma Comunicación]]+1)/(Tabla2[[#This Row],[Fantasma Comunicación]]+RANDBETWEEN(0,5)+2))-0.5</f>
        <v>9.9999999999999978E-2</v>
      </c>
      <c r="S191" s="51">
        <f ca="1">1+MAX(0,Tabla2[[#This Row],[Deuda actual]]/Tabla2[[#This Row],[Liquidez]]+Tabla2[[#This Row],[Liquidez]]/(Tabla2[[#This Row],[Activos]]+Tabla2[[#This Row],[Liquidez]])+Tabla2[[#This Row],[Comunicación]])</f>
        <v>1.7473655625967399</v>
      </c>
      <c r="T191">
        <f ca="1">Tabla2[[#This Row],[Deuda actual]]*EXP(Tabla2[[#This Row],[Ki]]*Tabla2[[#This Row],[diferencia de días]])*(1+Tabla2[[#This Row],[Hg]])</f>
        <v>1080.3233945293096</v>
      </c>
    </row>
    <row r="192" spans="1:20" ht="14.5" x14ac:dyDescent="0.35">
      <c r="A192" t="e">
        <f t="shared" si="22"/>
        <v>#VALUE!</v>
      </c>
      <c r="B192" s="21">
        <f t="shared" ca="1" si="23"/>
        <v>46129</v>
      </c>
      <c r="C192" s="21">
        <f t="shared" ca="1" si="24"/>
        <v>46157</v>
      </c>
      <c r="D192">
        <f t="shared" ca="1" si="25"/>
        <v>24</v>
      </c>
      <c r="E192">
        <f t="shared" ca="1" si="26"/>
        <v>0.32039398430541521</v>
      </c>
      <c r="F192" s="47">
        <f t="shared" ca="1" si="27"/>
        <v>4196.43</v>
      </c>
      <c r="G192" s="32" t="str">
        <f t="shared" ca="1" si="28"/>
        <v>personal</v>
      </c>
      <c r="H19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192" t="str">
        <f t="shared" ca="1" si="29"/>
        <v>No</v>
      </c>
      <c r="J19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12000.495164590386</v>
      </c>
      <c r="K192" s="32" t="str">
        <f ca="1">IF(Tabla2[[#This Row],[¿cliente deuda abierta?]]="Sí", Tabla2[[#This Row],[Deuda actual]]*Tabla2[[#This Row],[diferencia de días]], "0")</f>
        <v>0</v>
      </c>
      <c r="L19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9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9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92">
        <f t="shared" ca="1" si="30"/>
        <v>1047.25</v>
      </c>
      <c r="P192">
        <f t="shared" ca="1" si="31"/>
        <v>93430.92</v>
      </c>
      <c r="Q192">
        <f t="shared" ca="1" si="32"/>
        <v>5</v>
      </c>
      <c r="R192">
        <f ca="1">((Tabla2[[#This Row],[Fantasma Comunicación]]+1)/(Tabla2[[#This Row],[Fantasma Comunicación]]+RANDBETWEEN(0,5)+2))-0.5</f>
        <v>4.5454545454545414E-2</v>
      </c>
      <c r="S192" s="51">
        <f ca="1">1+MAX(0,Tabla2[[#This Row],[Deuda actual]]/Tabla2[[#This Row],[Liquidez]]+Tabla2[[#This Row],[Liquidez]]/(Tabla2[[#This Row],[Activos]]+Tabla2[[#This Row],[Liquidez]])+Tabla2[[#This Row],[Comunicación]])</f>
        <v>5.0636338886531078</v>
      </c>
      <c r="T192">
        <f ca="1">Tabla2[[#This Row],[Deuda actual]]*EXP(Tabla2[[#This Row],[Ki]]*Tabla2[[#This Row],[diferencia de días]])*(1+Tabla2[[#This Row],[Hg]])</f>
        <v>3813.2187477940179</v>
      </c>
    </row>
    <row r="193" spans="1:20" ht="14.5" x14ac:dyDescent="0.35">
      <c r="A193" t="e">
        <f t="shared" si="22"/>
        <v>#VALUE!</v>
      </c>
      <c r="B193" s="21">
        <f t="shared" ca="1" si="23"/>
        <v>46090</v>
      </c>
      <c r="C193" s="21">
        <f t="shared" ca="1" si="24"/>
        <v>46157</v>
      </c>
      <c r="D193">
        <f t="shared" ca="1" si="25"/>
        <v>19</v>
      </c>
      <c r="E193">
        <f t="shared" ca="1" si="26"/>
        <v>0.67276351452788874</v>
      </c>
      <c r="F193" s="47">
        <f t="shared" ca="1" si="27"/>
        <v>916.34</v>
      </c>
      <c r="G193" s="32" t="str">
        <f t="shared" ca="1" si="28"/>
        <v>personal</v>
      </c>
      <c r="H19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193" t="str">
        <f t="shared" ca="1" si="29"/>
        <v>Sí</v>
      </c>
      <c r="J19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93" s="32">
        <f ca="1">IF(Tabla2[[#This Row],[¿cliente deuda abierta?]]="Sí", Tabla2[[#This Row],[Deuda actual]]*Tabla2[[#This Row],[diferencia de días]], "0")</f>
        <v>17410.46</v>
      </c>
      <c r="L19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9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9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93">
        <f t="shared" ca="1" si="30"/>
        <v>1800.04</v>
      </c>
      <c r="P193">
        <f t="shared" ca="1" si="31"/>
        <v>247124.41</v>
      </c>
      <c r="Q193">
        <f t="shared" ca="1" si="32"/>
        <v>4</v>
      </c>
      <c r="R193">
        <f ca="1">((Tabla2[[#This Row],[Fantasma Comunicación]]+1)/(Tabla2[[#This Row],[Fantasma Comunicación]]+RANDBETWEEN(0,5)+2))-0.5</f>
        <v>5.555555555555558E-2</v>
      </c>
      <c r="S193" s="51">
        <f ca="1">1+MAX(0,Tabla2[[#This Row],[Deuda actual]]/Tabla2[[#This Row],[Liquidez]]+Tabla2[[#This Row],[Liquidez]]/(Tabla2[[#This Row],[Activos]]+Tabla2[[#This Row],[Liquidez]])+Tabla2[[#This Row],[Comunicación]])</f>
        <v>1.5718532911166099</v>
      </c>
      <c r="T193">
        <f ca="1">Tabla2[[#This Row],[Deuda actual]]*EXP(Tabla2[[#This Row],[Ki]]*Tabla2[[#This Row],[diferencia de días]])*(1+Tabla2[[#This Row],[Hg]])</f>
        <v>969.4972508220842</v>
      </c>
    </row>
    <row r="194" spans="1:20" ht="14.5" x14ac:dyDescent="0.35">
      <c r="A194" t="e">
        <f t="shared" ref="A194:A257" si="33">A193+1</f>
        <v>#VALUE!</v>
      </c>
      <c r="B194" s="21">
        <f t="shared" ref="B194:B257" ca="1" si="34">RANDBETWEEN(DATE(2026,3,1), DATE(2026,5,1))</f>
        <v>46127</v>
      </c>
      <c r="C194" s="21">
        <f t="shared" ref="C194:C257" ca="1" si="35">TODAY()</f>
        <v>46157</v>
      </c>
      <c r="D194">
        <f t="shared" ref="D194:D257" ca="1" si="36">ROUND((-(15) * LN(RAND())),0)</f>
        <v>3</v>
      </c>
      <c r="E194">
        <f t="shared" ref="E194:E257" ca="1" si="37">RAND()</f>
        <v>0.39309179057405408</v>
      </c>
      <c r="F194" s="47">
        <f t="shared" ref="F194:F257" ca="1" si="38">ROUND(MIN(10000, _xlfn.LOGNORM.INV(RAND(), 69/10, 13/10)),2)</f>
        <v>1075.58</v>
      </c>
      <c r="G194" s="32" t="str">
        <f t="shared" ref="G194:G257" ca="1" si="39">IF(RAND()&lt;=0.5,"personal","hipotecario")</f>
        <v>hipotecario</v>
      </c>
      <c r="H19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94" t="str">
        <f t="shared" ref="I194:I257" ca="1" si="40">IF(RAND()&lt;=0.65, "Sí", "No")</f>
        <v>Sí</v>
      </c>
      <c r="J19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94" s="32">
        <f ca="1">IF(Tabla2[[#This Row],[¿cliente deuda abierta?]]="Sí", Tabla2[[#This Row],[Deuda actual]]*Tabla2[[#This Row],[diferencia de días]], "0")</f>
        <v>3226.74</v>
      </c>
      <c r="L19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9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9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94">
        <f t="shared" ref="O194:O257" ca="1" si="41">ROUND(1000*(_xlfn.LOGNORM.INV(RAND(), 0.5, 0.2)),2)</f>
        <v>1529.44</v>
      </c>
      <c r="P194">
        <f t="shared" ref="P194:P257" ca="1" si="42">ROUND(50000*(_xlfn.LOGNORM.INV(RAND(), 1, 0.75)),2)</f>
        <v>120106.85</v>
      </c>
      <c r="Q194">
        <f t="shared" ref="Q194:Q257" ca="1" si="43">RANDBETWEEN(0,5)</f>
        <v>0</v>
      </c>
      <c r="R194">
        <f ca="1">((Tabla2[[#This Row],[Fantasma Comunicación]]+1)/(Tabla2[[#This Row],[Fantasma Comunicación]]+RANDBETWEEN(0,5)+2))-0.5</f>
        <v>-0.3</v>
      </c>
      <c r="S194" s="51">
        <f ca="1">1+MAX(0,Tabla2[[#This Row],[Deuda actual]]/Tabla2[[#This Row],[Liquidez]]+Tabla2[[#This Row],[Liquidez]]/(Tabla2[[#This Row],[Activos]]+Tabla2[[#This Row],[Liquidez]])+Tabla2[[#This Row],[Comunicación]])</f>
        <v>1.4158247421229044</v>
      </c>
      <c r="T194">
        <f ca="1">Tabla2[[#This Row],[Deuda actual]]*EXP(Tabla2[[#This Row],[Ki]]*Tabla2[[#This Row],[diferencia de días]])*(1+Tabla2[[#This Row],[Hg]])</f>
        <v>1130.0368187252832</v>
      </c>
    </row>
    <row r="195" spans="1:20" ht="14.5" x14ac:dyDescent="0.35">
      <c r="A195" t="e">
        <f t="shared" si="33"/>
        <v>#VALUE!</v>
      </c>
      <c r="B195" s="21">
        <f t="shared" ca="1" si="34"/>
        <v>46111</v>
      </c>
      <c r="C195" s="21">
        <f t="shared" ca="1" si="35"/>
        <v>46157</v>
      </c>
      <c r="D195">
        <f t="shared" ca="1" si="36"/>
        <v>3</v>
      </c>
      <c r="E195">
        <f t="shared" ca="1" si="37"/>
        <v>0.11308108493251634</v>
      </c>
      <c r="F195" s="47">
        <f t="shared" ca="1" si="38"/>
        <v>184.26</v>
      </c>
      <c r="G195" s="32" t="str">
        <f t="shared" ca="1" si="39"/>
        <v>personal</v>
      </c>
      <c r="H19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95" t="str">
        <f t="shared" ca="1" si="40"/>
        <v>Sí</v>
      </c>
      <c r="J19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95" s="32">
        <f ca="1">IF(Tabla2[[#This Row],[¿cliente deuda abierta?]]="Sí", Tabla2[[#This Row],[Deuda actual]]*Tabla2[[#This Row],[diferencia de días]], "0")</f>
        <v>552.78</v>
      </c>
      <c r="L19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9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9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95">
        <f t="shared" ca="1" si="41"/>
        <v>1221.49</v>
      </c>
      <c r="P195">
        <f t="shared" ca="1" si="42"/>
        <v>783755.22</v>
      </c>
      <c r="Q195">
        <f t="shared" ca="1" si="43"/>
        <v>4</v>
      </c>
      <c r="R195">
        <f ca="1">((Tabla2[[#This Row],[Fantasma Comunicación]]+1)/(Tabla2[[#This Row],[Fantasma Comunicación]]+RANDBETWEEN(0,5)+2))-0.5</f>
        <v>-4.545454545454547E-2</v>
      </c>
      <c r="S195" s="51">
        <f ca="1">1+MAX(0,Tabla2[[#This Row],[Deuda actual]]/Tabla2[[#This Row],[Liquidez]]+Tabla2[[#This Row],[Liquidez]]/(Tabla2[[#This Row],[Activos]]+Tabla2[[#This Row],[Liquidez]])+Tabla2[[#This Row],[Comunicación]])</f>
        <v>1.1069500927445777</v>
      </c>
      <c r="T195">
        <f ca="1">Tabla2[[#This Row],[Deuda actual]]*EXP(Tabla2[[#This Row],[Ki]]*Tabla2[[#This Row],[diferencia de días]])*(1+Tabla2[[#This Row],[Hg]])</f>
        <v>193.58911863210608</v>
      </c>
    </row>
    <row r="196" spans="1:20" ht="14.5" x14ac:dyDescent="0.35">
      <c r="A196" t="e">
        <f t="shared" si="33"/>
        <v>#VALUE!</v>
      </c>
      <c r="B196" s="21">
        <f t="shared" ca="1" si="34"/>
        <v>46098</v>
      </c>
      <c r="C196" s="21">
        <f t="shared" ca="1" si="35"/>
        <v>46157</v>
      </c>
      <c r="D196">
        <f t="shared" ca="1" si="36"/>
        <v>12</v>
      </c>
      <c r="E196">
        <f t="shared" ca="1" si="37"/>
        <v>0.7119948028211418</v>
      </c>
      <c r="F196" s="47">
        <f t="shared" ca="1" si="38"/>
        <v>176.27</v>
      </c>
      <c r="G196" s="32" t="str">
        <f t="shared" ca="1" si="39"/>
        <v>personal</v>
      </c>
      <c r="H19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96" t="str">
        <f t="shared" ca="1" si="40"/>
        <v>No</v>
      </c>
      <c r="J19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11999.80788084597</v>
      </c>
      <c r="K196" s="32" t="str">
        <f ca="1">IF(Tabla2[[#This Row],[¿cliente deuda abierta?]]="Sí", Tabla2[[#This Row],[Deuda actual]]*Tabla2[[#This Row],[diferencia de días]], "0")</f>
        <v>0</v>
      </c>
      <c r="L19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9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9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96">
        <f t="shared" ca="1" si="41"/>
        <v>1314.09</v>
      </c>
      <c r="P196">
        <f t="shared" ca="1" si="42"/>
        <v>215101.48</v>
      </c>
      <c r="Q196">
        <f t="shared" ca="1" si="43"/>
        <v>5</v>
      </c>
      <c r="R196">
        <f ca="1">((Tabla2[[#This Row],[Fantasma Comunicación]]+1)/(Tabla2[[#This Row],[Fantasma Comunicación]]+RANDBETWEEN(0,5)+2))-0.5</f>
        <v>0.25</v>
      </c>
      <c r="S196" s="51">
        <f ca="1">1+MAX(0,Tabla2[[#This Row],[Deuda actual]]/Tabla2[[#This Row],[Liquidez]]+Tabla2[[#This Row],[Liquidez]]/(Tabla2[[#This Row],[Activos]]+Tabla2[[#This Row],[Liquidez]])+Tabla2[[#This Row],[Comunicación]])</f>
        <v>1.3902105209614244</v>
      </c>
      <c r="T196">
        <f ca="1">Tabla2[[#This Row],[Deuda actual]]*EXP(Tabla2[[#This Row],[Ki]]*Tabla2[[#This Row],[diferencia de días]])*(1+Tabla2[[#This Row],[Hg]])</f>
        <v>159.0242004575729</v>
      </c>
    </row>
    <row r="197" spans="1:20" ht="14.5" x14ac:dyDescent="0.35">
      <c r="A197" t="e">
        <f t="shared" si="33"/>
        <v>#VALUE!</v>
      </c>
      <c r="B197" s="21">
        <f t="shared" ca="1" si="34"/>
        <v>46112</v>
      </c>
      <c r="C197" s="21">
        <f t="shared" ca="1" si="35"/>
        <v>46157</v>
      </c>
      <c r="D197">
        <f t="shared" ca="1" si="36"/>
        <v>7</v>
      </c>
      <c r="E197">
        <f t="shared" ca="1" si="37"/>
        <v>0.2127852853343879</v>
      </c>
      <c r="F197" s="47">
        <f t="shared" ca="1" si="38"/>
        <v>72.930000000000007</v>
      </c>
      <c r="G197" s="32" t="str">
        <f t="shared" ca="1" si="39"/>
        <v>personal</v>
      </c>
      <c r="H19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97" t="str">
        <f t="shared" ca="1" si="40"/>
        <v>Sí</v>
      </c>
      <c r="J19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97" s="32">
        <f ca="1">IF(Tabla2[[#This Row],[¿cliente deuda abierta?]]="Sí", Tabla2[[#This Row],[Deuda actual]]*Tabla2[[#This Row],[diferencia de días]], "0")</f>
        <v>510.51000000000005</v>
      </c>
      <c r="L19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9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9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97">
        <f t="shared" ca="1" si="41"/>
        <v>1611.04</v>
      </c>
      <c r="P197">
        <f t="shared" ca="1" si="42"/>
        <v>214861.67</v>
      </c>
      <c r="Q197">
        <f t="shared" ca="1" si="43"/>
        <v>3</v>
      </c>
      <c r="R197">
        <f ca="1">((Tabla2[[#This Row],[Fantasma Comunicación]]+1)/(Tabla2[[#This Row],[Fantasma Comunicación]]+RANDBETWEEN(0,5)+2))-0.5</f>
        <v>0.30000000000000004</v>
      </c>
      <c r="S197" s="51">
        <f ca="1">1+MAX(0,Tabla2[[#This Row],[Deuda actual]]/Tabla2[[#This Row],[Liquidez]]+Tabla2[[#This Row],[Liquidez]]/(Tabla2[[#This Row],[Activos]]+Tabla2[[#This Row],[Liquidez]])+Tabla2[[#This Row],[Comunicación]])</f>
        <v>1.3527111260288975</v>
      </c>
      <c r="T197">
        <f ca="1">Tabla2[[#This Row],[Deuda actual]]*EXP(Tabla2[[#This Row],[Ki]]*Tabla2[[#This Row],[diferencia de días]])*(1+Tabla2[[#This Row],[Hg]])</f>
        <v>76.683782180003263</v>
      </c>
    </row>
    <row r="198" spans="1:20" ht="14.5" x14ac:dyDescent="0.35">
      <c r="A198" t="e">
        <f t="shared" si="33"/>
        <v>#VALUE!</v>
      </c>
      <c r="B198" s="21">
        <f t="shared" ca="1" si="34"/>
        <v>46109</v>
      </c>
      <c r="C198" s="21">
        <f t="shared" ca="1" si="35"/>
        <v>46157</v>
      </c>
      <c r="D198">
        <f t="shared" ca="1" si="36"/>
        <v>8</v>
      </c>
      <c r="E198">
        <f t="shared" ca="1" si="37"/>
        <v>0.54871766517214005</v>
      </c>
      <c r="F198" s="47">
        <f t="shared" ca="1" si="38"/>
        <v>2034.04</v>
      </c>
      <c r="G198" s="32" t="str">
        <f t="shared" ca="1" si="39"/>
        <v>hipotecario</v>
      </c>
      <c r="H19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98" t="str">
        <f t="shared" ca="1" si="40"/>
        <v>Sí</v>
      </c>
      <c r="J19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98" s="32">
        <f ca="1">IF(Tabla2[[#This Row],[¿cliente deuda abierta?]]="Sí", Tabla2[[#This Row],[Deuda actual]]*Tabla2[[#This Row],[diferencia de días]], "0")</f>
        <v>16272.32</v>
      </c>
      <c r="L19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9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9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98">
        <f t="shared" ca="1" si="41"/>
        <v>1991.31</v>
      </c>
      <c r="P198">
        <f t="shared" ca="1" si="42"/>
        <v>136967.04000000001</v>
      </c>
      <c r="Q198">
        <f t="shared" ca="1" si="43"/>
        <v>4</v>
      </c>
      <c r="R198">
        <f ca="1">((Tabla2[[#This Row],[Fantasma Comunicación]]+1)/(Tabla2[[#This Row],[Fantasma Comunicación]]+RANDBETWEEN(0,5)+2))-0.5</f>
        <v>0.33333333333333337</v>
      </c>
      <c r="S198" s="51">
        <f ca="1">1+MAX(0,Tabla2[[#This Row],[Deuda actual]]/Tabla2[[#This Row],[Liquidez]]+Tabla2[[#This Row],[Liquidez]]/(Tabla2[[#This Row],[Activos]]+Tabla2[[#This Row],[Liquidez]])+Tabla2[[#This Row],[Comunicación]])</f>
        <v>2.3691218345167022</v>
      </c>
      <c r="T198">
        <f ca="1">Tabla2[[#This Row],[Deuda actual]]*EXP(Tabla2[[#This Row],[Ki]]*Tabla2[[#This Row],[diferencia de días]])*(1+Tabla2[[#This Row],[Hg]])</f>
        <v>2139.1619224083429</v>
      </c>
    </row>
    <row r="199" spans="1:20" ht="14.5" x14ac:dyDescent="0.35">
      <c r="A199" t="e">
        <f t="shared" si="33"/>
        <v>#VALUE!</v>
      </c>
      <c r="B199" s="21">
        <f t="shared" ca="1" si="34"/>
        <v>46143</v>
      </c>
      <c r="C199" s="21">
        <f t="shared" ca="1" si="35"/>
        <v>46157</v>
      </c>
      <c r="D199">
        <f t="shared" ca="1" si="36"/>
        <v>4</v>
      </c>
      <c r="E199">
        <f t="shared" ca="1" si="37"/>
        <v>0.15648705604814084</v>
      </c>
      <c r="F199" s="47">
        <f t="shared" ca="1" si="38"/>
        <v>3122.34</v>
      </c>
      <c r="G199" s="32" t="str">
        <f t="shared" ca="1" si="39"/>
        <v>personal</v>
      </c>
      <c r="H19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99" t="str">
        <f t="shared" ca="1" si="40"/>
        <v>No</v>
      </c>
      <c r="J19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12001.03773402343</v>
      </c>
      <c r="K199" s="32" t="str">
        <f ca="1">IF(Tabla2[[#This Row],[¿cliente deuda abierta?]]="Sí", Tabla2[[#This Row],[Deuda actual]]*Tabla2[[#This Row],[diferencia de días]], "0")</f>
        <v>0</v>
      </c>
      <c r="L19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19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19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199">
        <f t="shared" ca="1" si="41"/>
        <v>2011.58</v>
      </c>
      <c r="P199">
        <f t="shared" ca="1" si="42"/>
        <v>101042.55</v>
      </c>
      <c r="Q199">
        <f t="shared" ca="1" si="43"/>
        <v>3</v>
      </c>
      <c r="R199">
        <f ca="1">((Tabla2[[#This Row],[Fantasma Comunicación]]+1)/(Tabla2[[#This Row],[Fantasma Comunicación]]+RANDBETWEEN(0,5)+2))-0.5</f>
        <v>-9.9999999999999978E-2</v>
      </c>
      <c r="S199" s="51">
        <f ca="1">1+MAX(0,Tabla2[[#This Row],[Deuda actual]]/Tabla2[[#This Row],[Liquidez]]+Tabla2[[#This Row],[Liquidez]]/(Tabla2[[#This Row],[Activos]]+Tabla2[[#This Row],[Liquidez]])+Tabla2[[#This Row],[Comunicación]])</f>
        <v>2.4717025059095139</v>
      </c>
      <c r="T199">
        <f ca="1">Tabla2[[#This Row],[Deuda actual]]*EXP(Tabla2[[#This Row],[Ki]]*Tabla2[[#This Row],[diferencia de días]])*(1+Tabla2[[#This Row],[Hg]])</f>
        <v>2812.3549842737639</v>
      </c>
    </row>
    <row r="200" spans="1:20" ht="14.5" x14ac:dyDescent="0.35">
      <c r="A200" t="e">
        <f t="shared" si="33"/>
        <v>#VALUE!</v>
      </c>
      <c r="B200" s="21">
        <f t="shared" ca="1" si="34"/>
        <v>46130</v>
      </c>
      <c r="C200" s="21">
        <f t="shared" ca="1" si="35"/>
        <v>46157</v>
      </c>
      <c r="D200">
        <f t="shared" ca="1" si="36"/>
        <v>3</v>
      </c>
      <c r="E200">
        <f t="shared" ca="1" si="37"/>
        <v>0.33201754349498547</v>
      </c>
      <c r="F200" s="47">
        <f t="shared" ca="1" si="38"/>
        <v>61.36</v>
      </c>
      <c r="G200" s="32" t="str">
        <f t="shared" ca="1" si="39"/>
        <v>hipotecario</v>
      </c>
      <c r="H20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00" t="str">
        <f t="shared" ca="1" si="40"/>
        <v>Sí</v>
      </c>
      <c r="J20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00" s="32">
        <f ca="1">IF(Tabla2[[#This Row],[¿cliente deuda abierta?]]="Sí", Tabla2[[#This Row],[Deuda actual]]*Tabla2[[#This Row],[diferencia de días]], "0")</f>
        <v>184.07999999999998</v>
      </c>
      <c r="L20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0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0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00">
        <f t="shared" ca="1" si="41"/>
        <v>2415.98</v>
      </c>
      <c r="P200">
        <f t="shared" ca="1" si="42"/>
        <v>61656.57</v>
      </c>
      <c r="Q200">
        <f t="shared" ca="1" si="43"/>
        <v>5</v>
      </c>
      <c r="R200">
        <f ca="1">((Tabla2[[#This Row],[Fantasma Comunicación]]+1)/(Tabla2[[#This Row],[Fantasma Comunicación]]+RANDBETWEEN(0,5)+2))-0.5</f>
        <v>0.16666666666666663</v>
      </c>
      <c r="S200" s="51">
        <f ca="1">1+MAX(0,Tabla2[[#This Row],[Deuda actual]]/Tabla2[[#This Row],[Liquidez]]+Tabla2[[#This Row],[Liquidez]]/(Tabla2[[#This Row],[Activos]]+Tabla2[[#This Row],[Liquidez]])+Tabla2[[#This Row],[Comunicación]])</f>
        <v>1.2297711710496757</v>
      </c>
      <c r="T200">
        <f ca="1">Tabla2[[#This Row],[Deuda actual]]*EXP(Tabla2[[#This Row],[Ki]]*Tabla2[[#This Row],[diferencia de días]])*(1+Tabla2[[#This Row],[Hg]])</f>
        <v>64.466668399359762</v>
      </c>
    </row>
    <row r="201" spans="1:20" ht="14.5" x14ac:dyDescent="0.35">
      <c r="A201" t="e">
        <f t="shared" si="33"/>
        <v>#VALUE!</v>
      </c>
      <c r="B201" s="21">
        <f t="shared" ca="1" si="34"/>
        <v>46128</v>
      </c>
      <c r="C201" s="21">
        <f t="shared" ca="1" si="35"/>
        <v>46157</v>
      </c>
      <c r="D201">
        <f t="shared" ca="1" si="36"/>
        <v>47</v>
      </c>
      <c r="E201">
        <f t="shared" ca="1" si="37"/>
        <v>0.14130937978438818</v>
      </c>
      <c r="F201" s="47">
        <f t="shared" ca="1" si="38"/>
        <v>6584.67</v>
      </c>
      <c r="G201" s="32" t="str">
        <f t="shared" ca="1" si="39"/>
        <v>personal</v>
      </c>
      <c r="H20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201" t="str">
        <f t="shared" ca="1" si="40"/>
        <v>Sí</v>
      </c>
      <c r="J20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01" s="32">
        <f ca="1">IF(Tabla2[[#This Row],[¿cliente deuda abierta?]]="Sí", Tabla2[[#This Row],[Deuda actual]]*Tabla2[[#This Row],[diferencia de días]], "0")</f>
        <v>309479.49</v>
      </c>
      <c r="L20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0.2</v>
      </c>
      <c r="M20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01" s="32">
        <f ca="1">MAX(Tabla2[[#This Row],[VALORES DE Hg para actuales deudores]:[Valores de HG para deudores cerrados]])*IF(Tabla2[[#This Row],[VALORES DE Hg para actuales deudores]]&gt;Tabla2[[#This Row],[Valores de HG para deudores cerrados]],-1,1)</f>
        <v>0.2</v>
      </c>
      <c r="O201">
        <f t="shared" ca="1" si="41"/>
        <v>1899.45</v>
      </c>
      <c r="P201">
        <f t="shared" ca="1" si="42"/>
        <v>148948.69</v>
      </c>
      <c r="Q201">
        <f t="shared" ca="1" si="43"/>
        <v>1</v>
      </c>
      <c r="R201">
        <f ca="1">((Tabla2[[#This Row],[Fantasma Comunicación]]+1)/(Tabla2[[#This Row],[Fantasma Comunicación]]+RANDBETWEEN(0,5)+2))-0.5</f>
        <v>-9.9999999999999978E-2</v>
      </c>
      <c r="S201" s="51">
        <f ca="1">1+MAX(0,Tabla2[[#This Row],[Deuda actual]]/Tabla2[[#This Row],[Liquidez]]+Tabla2[[#This Row],[Liquidez]]/(Tabla2[[#This Row],[Activos]]+Tabla2[[#This Row],[Liquidez]])+Tabla2[[#This Row],[Comunicación]])</f>
        <v>4.3792110871200727</v>
      </c>
      <c r="T201">
        <f ca="1">Tabla2[[#This Row],[Deuda actual]]*EXP(Tabla2[[#This Row],[Ki]]*Tabla2[[#This Row],[diferencia de días]])*(1+Tabla2[[#This Row],[Hg]])</f>
        <v>8281.8450594318438</v>
      </c>
    </row>
    <row r="202" spans="1:20" ht="14.5" x14ac:dyDescent="0.35">
      <c r="A202" t="e">
        <f t="shared" si="33"/>
        <v>#VALUE!</v>
      </c>
      <c r="B202" s="21">
        <f t="shared" ca="1" si="34"/>
        <v>46138</v>
      </c>
      <c r="C202" s="21">
        <f t="shared" ca="1" si="35"/>
        <v>46157</v>
      </c>
      <c r="D202">
        <f t="shared" ca="1" si="36"/>
        <v>46</v>
      </c>
      <c r="E202">
        <f t="shared" ca="1" si="37"/>
        <v>6.274710701638353E-2</v>
      </c>
      <c r="F202" s="47">
        <f t="shared" ca="1" si="38"/>
        <v>745.54</v>
      </c>
      <c r="G202" s="32" t="str">
        <f t="shared" ca="1" si="39"/>
        <v>personal</v>
      </c>
      <c r="H20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202" t="str">
        <f t="shared" ca="1" si="40"/>
        <v>Sí</v>
      </c>
      <c r="J20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02" s="32">
        <f ca="1">IF(Tabla2[[#This Row],[¿cliente deuda abierta?]]="Sí", Tabla2[[#This Row],[Deuda actual]]*Tabla2[[#This Row],[diferencia de días]], "0")</f>
        <v>34294.839999999997</v>
      </c>
      <c r="L20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20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02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202">
        <f t="shared" ca="1" si="41"/>
        <v>1628.98</v>
      </c>
      <c r="P202">
        <f t="shared" ca="1" si="42"/>
        <v>171090.79</v>
      </c>
      <c r="Q202">
        <f t="shared" ca="1" si="43"/>
        <v>0</v>
      </c>
      <c r="R202">
        <f ca="1">((Tabla2[[#This Row],[Fantasma Comunicación]]+1)/(Tabla2[[#This Row],[Fantasma Comunicación]]+RANDBETWEEN(0,5)+2))-0.5</f>
        <v>-0.33333333333333337</v>
      </c>
      <c r="S202" s="51">
        <f ca="1">1+MAX(0,Tabla2[[#This Row],[Deuda actual]]/Tabla2[[#This Row],[Liquidez]]+Tabla2[[#This Row],[Liquidez]]/(Tabla2[[#This Row],[Activos]]+Tabla2[[#This Row],[Liquidez]])+Tabla2[[#This Row],[Comunicación]])</f>
        <v>1.1337709127825695</v>
      </c>
      <c r="T202">
        <f ca="1">Tabla2[[#This Row],[Deuda actual]]*EXP(Tabla2[[#This Row],[Ki]]*Tabla2[[#This Row],[diferencia de días]])*(1+Tabla2[[#This Row],[Hg]])</f>
        <v>858.69944197931852</v>
      </c>
    </row>
    <row r="203" spans="1:20" ht="14.5" x14ac:dyDescent="0.35">
      <c r="A203" t="e">
        <f t="shared" si="33"/>
        <v>#VALUE!</v>
      </c>
      <c r="B203" s="21">
        <f t="shared" ca="1" si="34"/>
        <v>46091</v>
      </c>
      <c r="C203" s="21">
        <f t="shared" ca="1" si="35"/>
        <v>46157</v>
      </c>
      <c r="D203">
        <f t="shared" ca="1" si="36"/>
        <v>2</v>
      </c>
      <c r="E203">
        <f t="shared" ca="1" si="37"/>
        <v>0.73725968049036761</v>
      </c>
      <c r="F203" s="47">
        <f t="shared" ca="1" si="38"/>
        <v>797.85</v>
      </c>
      <c r="G203" s="32" t="str">
        <f t="shared" ca="1" si="39"/>
        <v>personal</v>
      </c>
      <c r="H20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03" t="str">
        <f t="shared" ca="1" si="40"/>
        <v>Sí</v>
      </c>
      <c r="J20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03" s="32">
        <f ca="1">IF(Tabla2[[#This Row],[¿cliente deuda abierta?]]="Sí", Tabla2[[#This Row],[Deuda actual]]*Tabla2[[#This Row],[diferencia de días]], "0")</f>
        <v>1595.7</v>
      </c>
      <c r="L20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0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0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03">
        <f t="shared" ca="1" si="41"/>
        <v>1247.83</v>
      </c>
      <c r="P203">
        <f t="shared" ca="1" si="42"/>
        <v>128990.96</v>
      </c>
      <c r="Q203">
        <f t="shared" ca="1" si="43"/>
        <v>3</v>
      </c>
      <c r="R203">
        <f ca="1">((Tabla2[[#This Row],[Fantasma Comunicación]]+1)/(Tabla2[[#This Row],[Fantasma Comunicación]]+RANDBETWEEN(0,5)+2))-0.5</f>
        <v>0.30000000000000004</v>
      </c>
      <c r="S203" s="51">
        <f ca="1">1+MAX(0,Tabla2[[#This Row],[Deuda actual]]/Tabla2[[#This Row],[Liquidez]]+Tabla2[[#This Row],[Liquidez]]/(Tabla2[[#This Row],[Activos]]+Tabla2[[#This Row],[Liquidez]])+Tabla2[[#This Row],[Comunicación]])</f>
        <v>1.9489710743203186</v>
      </c>
      <c r="T203">
        <f ca="1">Tabla2[[#This Row],[Deuda actual]]*EXP(Tabla2[[#This Row],[Ki]]*Tabla2[[#This Row],[diferencia de días]])*(1+Tabla2[[#This Row],[Hg]])</f>
        <v>838.07766402833693</v>
      </c>
    </row>
    <row r="204" spans="1:20" ht="14.5" x14ac:dyDescent="0.35">
      <c r="A204" t="e">
        <f t="shared" si="33"/>
        <v>#VALUE!</v>
      </c>
      <c r="B204" s="21">
        <f t="shared" ca="1" si="34"/>
        <v>46090</v>
      </c>
      <c r="C204" s="21">
        <f t="shared" ca="1" si="35"/>
        <v>46157</v>
      </c>
      <c r="D204">
        <f t="shared" ca="1" si="36"/>
        <v>2</v>
      </c>
      <c r="E204">
        <f t="shared" ca="1" si="37"/>
        <v>0.44614182911970124</v>
      </c>
      <c r="F204" s="47">
        <f t="shared" ca="1" si="38"/>
        <v>1773.06</v>
      </c>
      <c r="G204" s="32" t="str">
        <f t="shared" ca="1" si="39"/>
        <v>personal</v>
      </c>
      <c r="H20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04" t="str">
        <f t="shared" ca="1" si="40"/>
        <v>No</v>
      </c>
      <c r="J20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12000.266244131528</v>
      </c>
      <c r="K204" s="32" t="str">
        <f ca="1">IF(Tabla2[[#This Row],[¿cliente deuda abierta?]]="Sí", Tabla2[[#This Row],[Deuda actual]]*Tabla2[[#This Row],[diferencia de días]], "0")</f>
        <v>0</v>
      </c>
      <c r="L20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0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20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204">
        <f t="shared" ca="1" si="41"/>
        <v>1531.38</v>
      </c>
      <c r="P204">
        <f t="shared" ca="1" si="42"/>
        <v>239216.83</v>
      </c>
      <c r="Q204">
        <f t="shared" ca="1" si="43"/>
        <v>1</v>
      </c>
      <c r="R204">
        <f ca="1">((Tabla2[[#This Row],[Fantasma Comunicación]]+1)/(Tabla2[[#This Row],[Fantasma Comunicación]]+RANDBETWEEN(0,5)+2))-0.5</f>
        <v>-9.9999999999999978E-2</v>
      </c>
      <c r="S204" s="51">
        <f ca="1">1+MAX(0,Tabla2[[#This Row],[Deuda actual]]/Tabla2[[#This Row],[Liquidez]]+Tabla2[[#This Row],[Liquidez]]/(Tabla2[[#This Row],[Activos]]+Tabla2[[#This Row],[Liquidez]])+Tabla2[[#This Row],[Comunicación]])</f>
        <v>2.0641793578395706</v>
      </c>
      <c r="T204">
        <f ca="1">Tabla2[[#This Row],[Deuda actual]]*EXP(Tabla2[[#This Row],[Ki]]*Tabla2[[#This Row],[diferencia de días]])*(1+Tabla2[[#This Row],[Hg]])</f>
        <v>1596.3924292773434</v>
      </c>
    </row>
    <row r="205" spans="1:20" ht="14.5" x14ac:dyDescent="0.35">
      <c r="A205" t="e">
        <f t="shared" si="33"/>
        <v>#VALUE!</v>
      </c>
      <c r="B205" s="21">
        <f t="shared" ca="1" si="34"/>
        <v>46121</v>
      </c>
      <c r="C205" s="21">
        <f t="shared" ca="1" si="35"/>
        <v>46157</v>
      </c>
      <c r="D205">
        <f t="shared" ca="1" si="36"/>
        <v>25</v>
      </c>
      <c r="E205">
        <f t="shared" ca="1" si="37"/>
        <v>0.22418899753187338</v>
      </c>
      <c r="F205" s="47">
        <f t="shared" ca="1" si="38"/>
        <v>344.31</v>
      </c>
      <c r="G205" s="32" t="str">
        <f t="shared" ca="1" si="39"/>
        <v>personal</v>
      </c>
      <c r="H20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205" t="str">
        <f t="shared" ca="1" si="40"/>
        <v>Sí</v>
      </c>
      <c r="J20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05" s="32">
        <f ca="1">IF(Tabla2[[#This Row],[¿cliente deuda abierta?]]="Sí", Tabla2[[#This Row],[Deuda actual]]*Tabla2[[#This Row],[diferencia de días]], "0")</f>
        <v>8607.75</v>
      </c>
      <c r="L20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0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0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05">
        <f t="shared" ca="1" si="41"/>
        <v>1410.49</v>
      </c>
      <c r="P205">
        <f t="shared" ca="1" si="42"/>
        <v>122288.31</v>
      </c>
      <c r="Q205">
        <f t="shared" ca="1" si="43"/>
        <v>1</v>
      </c>
      <c r="R205">
        <f ca="1">((Tabla2[[#This Row],[Fantasma Comunicación]]+1)/(Tabla2[[#This Row],[Fantasma Comunicación]]+RANDBETWEEN(0,5)+2))-0.5</f>
        <v>-9.9999999999999978E-2</v>
      </c>
      <c r="S205" s="51">
        <f ca="1">1+MAX(0,Tabla2[[#This Row],[Deuda actual]]/Tabla2[[#This Row],[Liquidez]]+Tabla2[[#This Row],[Liquidez]]/(Tabla2[[#This Row],[Activos]]+Tabla2[[#This Row],[Liquidez]])+Tabla2[[#This Row],[Comunicación]])</f>
        <v>1.1555092746485027</v>
      </c>
      <c r="T205">
        <f ca="1">Tabla2[[#This Row],[Deuda actual]]*EXP(Tabla2[[#This Row],[Ki]]*Tabla2[[#This Row],[diferencia de días]])*(1+Tabla2[[#This Row],[Hg]])</f>
        <v>365.15889168018737</v>
      </c>
    </row>
    <row r="206" spans="1:20" ht="14.5" x14ac:dyDescent="0.35">
      <c r="A206" t="e">
        <f t="shared" si="33"/>
        <v>#VALUE!</v>
      </c>
      <c r="B206" s="21">
        <f t="shared" ca="1" si="34"/>
        <v>46110</v>
      </c>
      <c r="C206" s="21">
        <f t="shared" ca="1" si="35"/>
        <v>46157</v>
      </c>
      <c r="D206">
        <f t="shared" ca="1" si="36"/>
        <v>15</v>
      </c>
      <c r="E206">
        <f t="shared" ca="1" si="37"/>
        <v>0.88632762824015021</v>
      </c>
      <c r="F206" s="47">
        <f t="shared" ca="1" si="38"/>
        <v>3705.37</v>
      </c>
      <c r="G206" s="32" t="str">
        <f t="shared" ca="1" si="39"/>
        <v>personal</v>
      </c>
      <c r="H20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206" t="str">
        <f t="shared" ca="1" si="40"/>
        <v>Sí</v>
      </c>
      <c r="J20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06" s="32">
        <f ca="1">IF(Tabla2[[#This Row],[¿cliente deuda abierta?]]="Sí", Tabla2[[#This Row],[Deuda actual]]*Tabla2[[#This Row],[diferencia de días]], "0")</f>
        <v>55580.549999999996</v>
      </c>
      <c r="L20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20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06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206">
        <f t="shared" ca="1" si="41"/>
        <v>1430.54</v>
      </c>
      <c r="P206">
        <f t="shared" ca="1" si="42"/>
        <v>166548.32</v>
      </c>
      <c r="Q206">
        <f t="shared" ca="1" si="43"/>
        <v>4</v>
      </c>
      <c r="R206">
        <f ca="1">((Tabla2[[#This Row],[Fantasma Comunicación]]+1)/(Tabla2[[#This Row],[Fantasma Comunicación]]+RANDBETWEEN(0,5)+2))-0.5</f>
        <v>0</v>
      </c>
      <c r="S206" s="51">
        <f ca="1">1+MAX(0,Tabla2[[#This Row],[Deuda actual]]/Tabla2[[#This Row],[Liquidez]]+Tabla2[[#This Row],[Liquidez]]/(Tabla2[[#This Row],[Activos]]+Tabla2[[#This Row],[Liquidez]])+Tabla2[[#This Row],[Comunicación]])</f>
        <v>3.5987059092360916</v>
      </c>
      <c r="T206">
        <f ca="1">Tabla2[[#This Row],[Deuda actual]]*EXP(Tabla2[[#This Row],[Ki]]*Tabla2[[#This Row],[diferencia de días]])*(1+Tabla2[[#This Row],[Hg]])</f>
        <v>4100.4359552790156</v>
      </c>
    </row>
    <row r="207" spans="1:20" ht="14.5" x14ac:dyDescent="0.35">
      <c r="A207" t="e">
        <f t="shared" si="33"/>
        <v>#VALUE!</v>
      </c>
      <c r="B207" s="21">
        <f t="shared" ca="1" si="34"/>
        <v>46117</v>
      </c>
      <c r="C207" s="21">
        <f t="shared" ca="1" si="35"/>
        <v>46157</v>
      </c>
      <c r="D207">
        <f t="shared" ca="1" si="36"/>
        <v>3</v>
      </c>
      <c r="E207">
        <f t="shared" ca="1" si="37"/>
        <v>0.60416932074415053</v>
      </c>
      <c r="F207" s="47">
        <f t="shared" ca="1" si="38"/>
        <v>2911.79</v>
      </c>
      <c r="G207" s="32" t="str">
        <f t="shared" ca="1" si="39"/>
        <v>personal</v>
      </c>
      <c r="H20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07" t="str">
        <f t="shared" ca="1" si="40"/>
        <v>Sí</v>
      </c>
      <c r="J20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07" s="32">
        <f ca="1">IF(Tabla2[[#This Row],[¿cliente deuda abierta?]]="Sí", Tabla2[[#This Row],[Deuda actual]]*Tabla2[[#This Row],[diferencia de días]], "0")</f>
        <v>8735.369999999999</v>
      </c>
      <c r="L20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0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0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07">
        <f t="shared" ca="1" si="41"/>
        <v>1520.17</v>
      </c>
      <c r="P207">
        <f t="shared" ca="1" si="42"/>
        <v>98857.91</v>
      </c>
      <c r="Q207">
        <f t="shared" ca="1" si="43"/>
        <v>2</v>
      </c>
      <c r="R207">
        <f ca="1">((Tabla2[[#This Row],[Fantasma Comunicación]]+1)/(Tabla2[[#This Row],[Fantasma Comunicación]]+RANDBETWEEN(0,5)+2))-0.5</f>
        <v>0</v>
      </c>
      <c r="S207" s="51">
        <f ca="1">1+MAX(0,Tabla2[[#This Row],[Deuda actual]]/Tabla2[[#This Row],[Liquidez]]+Tabla2[[#This Row],[Liquidez]]/(Tabla2[[#This Row],[Activos]]+Tabla2[[#This Row],[Liquidez]])+Tabla2[[#This Row],[Comunicación]])</f>
        <v>2.9305815311669972</v>
      </c>
      <c r="T207">
        <f ca="1">Tabla2[[#This Row],[Deuda actual]]*EXP(Tabla2[[#This Row],[Ki]]*Tabla2[[#This Row],[diferencia de días]])*(1+Tabla2[[#This Row],[Hg]])</f>
        <v>3059.2144781383922</v>
      </c>
    </row>
    <row r="208" spans="1:20" ht="14.5" x14ac:dyDescent="0.35">
      <c r="A208" t="e">
        <f t="shared" si="33"/>
        <v>#VALUE!</v>
      </c>
      <c r="B208" s="21">
        <f t="shared" ca="1" si="34"/>
        <v>46138</v>
      </c>
      <c r="C208" s="21">
        <f t="shared" ca="1" si="35"/>
        <v>46157</v>
      </c>
      <c r="D208">
        <f t="shared" ca="1" si="36"/>
        <v>13</v>
      </c>
      <c r="E208">
        <f t="shared" ca="1" si="37"/>
        <v>0.96917209696998841</v>
      </c>
      <c r="F208" s="47">
        <f t="shared" ca="1" si="38"/>
        <v>884</v>
      </c>
      <c r="G208" s="32" t="str">
        <f t="shared" ca="1" si="39"/>
        <v>personal</v>
      </c>
      <c r="H20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08" t="str">
        <f t="shared" ca="1" si="40"/>
        <v>No</v>
      </c>
      <c r="J20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11999.958368827323</v>
      </c>
      <c r="K208" s="32" t="str">
        <f ca="1">IF(Tabla2[[#This Row],[¿cliente deuda abierta?]]="Sí", Tabla2[[#This Row],[Deuda actual]]*Tabla2[[#This Row],[diferencia de días]], "0")</f>
        <v>0</v>
      </c>
      <c r="L20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0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20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208">
        <f t="shared" ca="1" si="41"/>
        <v>1948.18</v>
      </c>
      <c r="P208">
        <f t="shared" ca="1" si="42"/>
        <v>130354.31</v>
      </c>
      <c r="Q208">
        <f t="shared" ca="1" si="43"/>
        <v>4</v>
      </c>
      <c r="R208">
        <f ca="1">((Tabla2[[#This Row],[Fantasma Comunicación]]+1)/(Tabla2[[#This Row],[Fantasma Comunicación]]+RANDBETWEEN(0,5)+2))-0.5</f>
        <v>0</v>
      </c>
      <c r="S208" s="51">
        <f ca="1">1+MAX(0,Tabla2[[#This Row],[Deuda actual]]/Tabla2[[#This Row],[Liquidez]]+Tabla2[[#This Row],[Liquidez]]/(Tabla2[[#This Row],[Activos]]+Tabla2[[#This Row],[Liquidez]])+Tabla2[[#This Row],[Comunicación]])</f>
        <v>1.4684820349873926</v>
      </c>
      <c r="T208">
        <f ca="1">Tabla2[[#This Row],[Deuda actual]]*EXP(Tabla2[[#This Row],[Ki]]*Tabla2[[#This Row],[diferencia de días]])*(1+Tabla2[[#This Row],[Hg]])</f>
        <v>797.67125146009334</v>
      </c>
    </row>
    <row r="209" spans="1:20" ht="14.5" x14ac:dyDescent="0.35">
      <c r="A209" t="e">
        <f t="shared" si="33"/>
        <v>#VALUE!</v>
      </c>
      <c r="B209" s="21">
        <f t="shared" ca="1" si="34"/>
        <v>46128</v>
      </c>
      <c r="C209" s="21">
        <f t="shared" ca="1" si="35"/>
        <v>46157</v>
      </c>
      <c r="D209">
        <f t="shared" ca="1" si="36"/>
        <v>28</v>
      </c>
      <c r="E209">
        <f t="shared" ca="1" si="37"/>
        <v>0.25739602718239263</v>
      </c>
      <c r="F209" s="47">
        <f t="shared" ca="1" si="38"/>
        <v>598.39</v>
      </c>
      <c r="G209" s="32" t="str">
        <f t="shared" ca="1" si="39"/>
        <v>personal</v>
      </c>
      <c r="H20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209" t="str">
        <f t="shared" ca="1" si="40"/>
        <v>Sí</v>
      </c>
      <c r="J20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09" s="32">
        <f ca="1">IF(Tabla2[[#This Row],[¿cliente deuda abierta?]]="Sí", Tabla2[[#This Row],[Deuda actual]]*Tabla2[[#This Row],[diferencia de días]], "0")</f>
        <v>16754.919999999998</v>
      </c>
      <c r="L20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0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0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09">
        <f t="shared" ca="1" si="41"/>
        <v>1115.69</v>
      </c>
      <c r="P209">
        <f t="shared" ca="1" si="42"/>
        <v>100503.28</v>
      </c>
      <c r="Q209">
        <f t="shared" ca="1" si="43"/>
        <v>5</v>
      </c>
      <c r="R209">
        <f ca="1">((Tabla2[[#This Row],[Fantasma Comunicación]]+1)/(Tabla2[[#This Row],[Fantasma Comunicación]]+RANDBETWEEN(0,5)+2))-0.5</f>
        <v>0.3571428571428571</v>
      </c>
      <c r="S209" s="51">
        <f ca="1">1+MAX(0,Tabla2[[#This Row],[Deuda actual]]/Tabla2[[#This Row],[Liquidez]]+Tabla2[[#This Row],[Liquidez]]/(Tabla2[[#This Row],[Activos]]+Tabla2[[#This Row],[Liquidez]])+Tabla2[[#This Row],[Comunicación]])</f>
        <v>1.9044627477957143</v>
      </c>
      <c r="T209">
        <f ca="1">Tabla2[[#This Row],[Deuda actual]]*EXP(Tabla2[[#This Row],[Ki]]*Tabla2[[#This Row],[diferencia de días]])*(1+Tabla2[[#This Row],[Hg]])</f>
        <v>635.38612150630649</v>
      </c>
    </row>
    <row r="210" spans="1:20" ht="14.5" x14ac:dyDescent="0.35">
      <c r="A210" t="e">
        <f t="shared" si="33"/>
        <v>#VALUE!</v>
      </c>
      <c r="B210" s="21">
        <f t="shared" ca="1" si="34"/>
        <v>46104</v>
      </c>
      <c r="C210" s="21">
        <f t="shared" ca="1" si="35"/>
        <v>46157</v>
      </c>
      <c r="D210">
        <f t="shared" ca="1" si="36"/>
        <v>5</v>
      </c>
      <c r="E210">
        <f t="shared" ca="1" si="37"/>
        <v>0.1224588114643762</v>
      </c>
      <c r="F210" s="47">
        <f t="shared" ca="1" si="38"/>
        <v>1439.94</v>
      </c>
      <c r="G210" s="32" t="str">
        <f t="shared" ca="1" si="39"/>
        <v>hipotecario</v>
      </c>
      <c r="H21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10" t="str">
        <f t="shared" ca="1" si="40"/>
        <v>No</v>
      </c>
      <c r="J21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165001.26627156063</v>
      </c>
      <c r="K210" s="32" t="str">
        <f ca="1">IF(Tabla2[[#This Row],[¿cliente deuda abierta?]]="Sí", Tabla2[[#This Row],[Deuda actual]]*Tabla2[[#This Row],[diferencia de días]], "0")</f>
        <v>0</v>
      </c>
      <c r="L21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1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21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210">
        <f t="shared" ca="1" si="41"/>
        <v>2299.0300000000002</v>
      </c>
      <c r="P210">
        <f t="shared" ca="1" si="42"/>
        <v>158230.74</v>
      </c>
      <c r="Q210">
        <f t="shared" ca="1" si="43"/>
        <v>0</v>
      </c>
      <c r="R210">
        <f ca="1">((Tabla2[[#This Row],[Fantasma Comunicación]]+1)/(Tabla2[[#This Row],[Fantasma Comunicación]]+RANDBETWEEN(0,5)+2))-0.5</f>
        <v>-0.33333333333333337</v>
      </c>
      <c r="S210" s="51">
        <f ca="1">1+MAX(0,Tabla2[[#This Row],[Deuda actual]]/Tabla2[[#This Row],[Liquidez]]+Tabla2[[#This Row],[Liquidez]]/(Tabla2[[#This Row],[Activos]]+Tabla2[[#This Row],[Liquidez]])+Tabla2[[#This Row],[Comunicación]])</f>
        <v>1.3073132000578329</v>
      </c>
      <c r="T210">
        <f ca="1">Tabla2[[#This Row],[Deuda actual]]*EXP(Tabla2[[#This Row],[Ki]]*Tabla2[[#This Row],[diferencia de días]])*(1+Tabla2[[#This Row],[Hg]])</f>
        <v>1153.1045281680401</v>
      </c>
    </row>
    <row r="211" spans="1:20" ht="14.5" x14ac:dyDescent="0.35">
      <c r="A211" t="e">
        <f t="shared" si="33"/>
        <v>#VALUE!</v>
      </c>
      <c r="B211" s="21">
        <f t="shared" ca="1" si="34"/>
        <v>46108</v>
      </c>
      <c r="C211" s="21">
        <f t="shared" ca="1" si="35"/>
        <v>46157</v>
      </c>
      <c r="D211">
        <f t="shared" ca="1" si="36"/>
        <v>0</v>
      </c>
      <c r="E211">
        <f t="shared" ca="1" si="37"/>
        <v>0.41015586614158561</v>
      </c>
      <c r="F211" s="47">
        <f t="shared" ca="1" si="38"/>
        <v>289.56</v>
      </c>
      <c r="G211" s="32" t="str">
        <f t="shared" ca="1" si="39"/>
        <v>personal</v>
      </c>
      <c r="H21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11" t="str">
        <f t="shared" ca="1" si="40"/>
        <v>Sí</v>
      </c>
      <c r="J21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11" s="32">
        <f ca="1">IF(Tabla2[[#This Row],[¿cliente deuda abierta?]]="Sí", Tabla2[[#This Row],[Deuda actual]]*Tabla2[[#This Row],[diferencia de días]], "0")</f>
        <v>0</v>
      </c>
      <c r="L21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1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11" s="32">
        <f ca="1">MAX(Tabla2[[#This Row],[VALORES DE Hg para actuales deudores]:[Valores de HG para deudores cerrados]])*IF(Tabla2[[#This Row],[VALORES DE Hg para actuales deudores]]&gt;Tabla2[[#This Row],[Valores de HG para deudores cerrados]],-1,1)</f>
        <v>0</v>
      </c>
      <c r="O211">
        <f t="shared" ca="1" si="41"/>
        <v>1489.92</v>
      </c>
      <c r="P211">
        <f t="shared" ca="1" si="42"/>
        <v>55834.96</v>
      </c>
      <c r="Q211">
        <f t="shared" ca="1" si="43"/>
        <v>3</v>
      </c>
      <c r="R211">
        <f ca="1">((Tabla2[[#This Row],[Fantasma Comunicación]]+1)/(Tabla2[[#This Row],[Fantasma Comunicación]]+RANDBETWEEN(0,5)+2))-0.5</f>
        <v>0.16666666666666663</v>
      </c>
      <c r="S211" s="51">
        <f ca="1">1+MAX(0,Tabla2[[#This Row],[Deuda actual]]/Tabla2[[#This Row],[Liquidez]]+Tabla2[[#This Row],[Liquidez]]/(Tabla2[[#This Row],[Activos]]+Tabla2[[#This Row],[Liquidez]])+Tabla2[[#This Row],[Comunicación]])</f>
        <v>1.3870034806987077</v>
      </c>
      <c r="T211">
        <f ca="1">Tabla2[[#This Row],[Deuda actual]]*EXP(Tabla2[[#This Row],[Ki]]*Tabla2[[#This Row],[diferencia de días]])*(1+Tabla2[[#This Row],[Hg]])</f>
        <v>289.56</v>
      </c>
    </row>
    <row r="212" spans="1:20" ht="14.5" x14ac:dyDescent="0.35">
      <c r="A212" t="e">
        <f t="shared" si="33"/>
        <v>#VALUE!</v>
      </c>
      <c r="B212" s="21">
        <f t="shared" ca="1" si="34"/>
        <v>46105</v>
      </c>
      <c r="C212" s="21">
        <f t="shared" ca="1" si="35"/>
        <v>46157</v>
      </c>
      <c r="D212">
        <f t="shared" ca="1" si="36"/>
        <v>1</v>
      </c>
      <c r="E212">
        <f t="shared" ca="1" si="37"/>
        <v>0.33583738534983232</v>
      </c>
      <c r="F212" s="47">
        <f t="shared" ca="1" si="38"/>
        <v>1061.8</v>
      </c>
      <c r="G212" s="32" t="str">
        <f t="shared" ca="1" si="39"/>
        <v>hipotecario</v>
      </c>
      <c r="H21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12" t="str">
        <f t="shared" ca="1" si="40"/>
        <v>No</v>
      </c>
      <c r="J21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165000.74419631113</v>
      </c>
      <c r="K212" s="32" t="str">
        <f ca="1">IF(Tabla2[[#This Row],[¿cliente deuda abierta?]]="Sí", Tabla2[[#This Row],[Deuda actual]]*Tabla2[[#This Row],[diferencia de días]], "0")</f>
        <v>0</v>
      </c>
      <c r="L21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1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21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212">
        <f t="shared" ca="1" si="41"/>
        <v>1955.36</v>
      </c>
      <c r="P212">
        <f t="shared" ca="1" si="42"/>
        <v>139556.17000000001</v>
      </c>
      <c r="Q212">
        <f t="shared" ca="1" si="43"/>
        <v>2</v>
      </c>
      <c r="R212">
        <f ca="1">((Tabla2[[#This Row],[Fantasma Comunicación]]+1)/(Tabla2[[#This Row],[Fantasma Comunicación]]+RANDBETWEEN(0,5)+2))-0.5</f>
        <v>-7.1428571428571452E-2</v>
      </c>
      <c r="S212" s="51">
        <f ca="1">1+MAX(0,Tabla2[[#This Row],[Deuda actual]]/Tabla2[[#This Row],[Liquidez]]+Tabla2[[#This Row],[Liquidez]]/(Tabla2[[#This Row],[Activos]]+Tabla2[[#This Row],[Liquidez]])+Tabla2[[#This Row],[Comunicación]])</f>
        <v>1.4854093123494145</v>
      </c>
      <c r="T212">
        <f ca="1">Tabla2[[#This Row],[Deuda actual]]*EXP(Tabla2[[#This Row],[Ki]]*Tabla2[[#This Row],[diferencia de días]])*(1+Tabla2[[#This Row],[Hg]])</f>
        <v>849.60990498993272</v>
      </c>
    </row>
    <row r="213" spans="1:20" ht="14.5" x14ac:dyDescent="0.35">
      <c r="A213" t="e">
        <f t="shared" si="33"/>
        <v>#VALUE!</v>
      </c>
      <c r="B213" s="21">
        <f t="shared" ca="1" si="34"/>
        <v>46132</v>
      </c>
      <c r="C213" s="21">
        <f t="shared" ca="1" si="35"/>
        <v>46157</v>
      </c>
      <c r="D213">
        <f t="shared" ca="1" si="36"/>
        <v>3</v>
      </c>
      <c r="E213">
        <f t="shared" ca="1" si="37"/>
        <v>0.93920163758834174</v>
      </c>
      <c r="F213" s="47">
        <f t="shared" ca="1" si="38"/>
        <v>65.38</v>
      </c>
      <c r="G213" s="32" t="str">
        <f t="shared" ca="1" si="39"/>
        <v>hipotecario</v>
      </c>
      <c r="H21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13" t="str">
        <f t="shared" ca="1" si="40"/>
        <v>No</v>
      </c>
      <c r="J21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164999.07264430856</v>
      </c>
      <c r="K213" s="32" t="str">
        <f ca="1">IF(Tabla2[[#This Row],[¿cliente deuda abierta?]]="Sí", Tabla2[[#This Row],[Deuda actual]]*Tabla2[[#This Row],[diferencia de días]], "0")</f>
        <v>0</v>
      </c>
      <c r="L21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1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21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213">
        <f t="shared" ca="1" si="41"/>
        <v>2096.54</v>
      </c>
      <c r="P213">
        <f t="shared" ca="1" si="42"/>
        <v>81104.5</v>
      </c>
      <c r="Q213">
        <f t="shared" ca="1" si="43"/>
        <v>2</v>
      </c>
      <c r="R213">
        <f ca="1">((Tabla2[[#This Row],[Fantasma Comunicación]]+1)/(Tabla2[[#This Row],[Fantasma Comunicación]]+RANDBETWEEN(0,5)+2))-0.5</f>
        <v>9.9999999999999978E-2</v>
      </c>
      <c r="S213" s="51">
        <f ca="1">1+MAX(0,Tabla2[[#This Row],[Deuda actual]]/Tabla2[[#This Row],[Liquidez]]+Tabla2[[#This Row],[Liquidez]]/(Tabla2[[#This Row],[Activos]]+Tabla2[[#This Row],[Liquidez]])+Tabla2[[#This Row],[Comunicación]])</f>
        <v>1.1563831969577711</v>
      </c>
      <c r="T213">
        <f ca="1">Tabla2[[#This Row],[Deuda actual]]*EXP(Tabla2[[#This Row],[Ki]]*Tabla2[[#This Row],[diferencia de días]])*(1+Tabla2[[#This Row],[Hg]])</f>
        <v>52.335391816603227</v>
      </c>
    </row>
    <row r="214" spans="1:20" ht="14.5" x14ac:dyDescent="0.35">
      <c r="A214" t="e">
        <f t="shared" si="33"/>
        <v>#VALUE!</v>
      </c>
      <c r="B214" s="21">
        <f t="shared" ca="1" si="34"/>
        <v>46105</v>
      </c>
      <c r="C214" s="21">
        <f t="shared" ca="1" si="35"/>
        <v>46157</v>
      </c>
      <c r="D214">
        <f t="shared" ca="1" si="36"/>
        <v>1</v>
      </c>
      <c r="E214">
        <f t="shared" ca="1" si="37"/>
        <v>0.47237121569636187</v>
      </c>
      <c r="F214" s="47">
        <f t="shared" ca="1" si="38"/>
        <v>479.53</v>
      </c>
      <c r="G214" s="32" t="str">
        <f t="shared" ca="1" si="39"/>
        <v>personal</v>
      </c>
      <c r="H21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14" t="str">
        <f t="shared" ca="1" si="40"/>
        <v>Sí</v>
      </c>
      <c r="J21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14" s="32">
        <f ca="1">IF(Tabla2[[#This Row],[¿cliente deuda abierta?]]="Sí", Tabla2[[#This Row],[Deuda actual]]*Tabla2[[#This Row],[diferencia de días]], "0")</f>
        <v>479.53</v>
      </c>
      <c r="L21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1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1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14">
        <f t="shared" ca="1" si="41"/>
        <v>1394.82</v>
      </c>
      <c r="P214">
        <f t="shared" ca="1" si="42"/>
        <v>55062.3</v>
      </c>
      <c r="Q214">
        <f t="shared" ca="1" si="43"/>
        <v>0</v>
      </c>
      <c r="R214">
        <f ca="1">((Tabla2[[#This Row],[Fantasma Comunicación]]+1)/(Tabla2[[#This Row],[Fantasma Comunicación]]+RANDBETWEEN(0,5)+2))-0.5</f>
        <v>-0.35714285714285715</v>
      </c>
      <c r="S214" s="51">
        <f ca="1">1+MAX(0,Tabla2[[#This Row],[Deuda actual]]/Tabla2[[#This Row],[Liquidez]]+Tabla2[[#This Row],[Liquidez]]/(Tabla2[[#This Row],[Activos]]+Tabla2[[#This Row],[Liquidez]])+Tabla2[[#This Row],[Comunicación]])</f>
        <v>1.0113564370872301</v>
      </c>
      <c r="T214">
        <f ca="1">Tabla2[[#This Row],[Deuda actual]]*EXP(Tabla2[[#This Row],[Ki]]*Tabla2[[#This Row],[diferencia de días]])*(1+Tabla2[[#This Row],[Hg]])</f>
        <v>503.60721137080139</v>
      </c>
    </row>
    <row r="215" spans="1:20" ht="14.5" x14ac:dyDescent="0.35">
      <c r="A215" t="e">
        <f t="shared" si="33"/>
        <v>#VALUE!</v>
      </c>
      <c r="B215" s="21">
        <f t="shared" ca="1" si="34"/>
        <v>46125</v>
      </c>
      <c r="C215" s="21">
        <f t="shared" ca="1" si="35"/>
        <v>46157</v>
      </c>
      <c r="D215">
        <f t="shared" ca="1" si="36"/>
        <v>7</v>
      </c>
      <c r="E215">
        <f t="shared" ca="1" si="37"/>
        <v>1.7160326013372695E-2</v>
      </c>
      <c r="F215" s="47">
        <f t="shared" ca="1" si="38"/>
        <v>399.09</v>
      </c>
      <c r="G215" s="32" t="str">
        <f t="shared" ca="1" si="39"/>
        <v>hipotecario</v>
      </c>
      <c r="H21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15" t="str">
        <f t="shared" ca="1" si="40"/>
        <v>Sí</v>
      </c>
      <c r="J21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15" s="32">
        <f ca="1">IF(Tabla2[[#This Row],[¿cliente deuda abierta?]]="Sí", Tabla2[[#This Row],[Deuda actual]]*Tabla2[[#This Row],[diferencia de días]], "0")</f>
        <v>2793.6299999999997</v>
      </c>
      <c r="L21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1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1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15">
        <f t="shared" ca="1" si="41"/>
        <v>2432.0700000000002</v>
      </c>
      <c r="P215">
        <f t="shared" ca="1" si="42"/>
        <v>114355.69</v>
      </c>
      <c r="Q215">
        <f t="shared" ca="1" si="43"/>
        <v>1</v>
      </c>
      <c r="R215">
        <f ca="1">((Tabla2[[#This Row],[Fantasma Comunicación]]+1)/(Tabla2[[#This Row],[Fantasma Comunicación]]+RANDBETWEEN(0,5)+2))-0.5</f>
        <v>0.16666666666666663</v>
      </c>
      <c r="S215" s="51">
        <f ca="1">1+MAX(0,Tabla2[[#This Row],[Deuda actual]]/Tabla2[[#This Row],[Liquidez]]+Tabla2[[#This Row],[Liquidez]]/(Tabla2[[#This Row],[Activos]]+Tabla2[[#This Row],[Liquidez]])+Tabla2[[#This Row],[Comunicación]])</f>
        <v>1.3515861495604158</v>
      </c>
      <c r="T215">
        <f ca="1">Tabla2[[#This Row],[Deuda actual]]*EXP(Tabla2[[#This Row],[Ki]]*Tabla2[[#This Row],[diferencia de días]])*(1+Tabla2[[#This Row],[Hg]])</f>
        <v>419.6315731553201</v>
      </c>
    </row>
    <row r="216" spans="1:20" ht="14.5" x14ac:dyDescent="0.35">
      <c r="A216" t="e">
        <f t="shared" si="33"/>
        <v>#VALUE!</v>
      </c>
      <c r="B216" s="21">
        <f t="shared" ca="1" si="34"/>
        <v>46090</v>
      </c>
      <c r="C216" s="21">
        <f t="shared" ca="1" si="35"/>
        <v>46157</v>
      </c>
      <c r="D216">
        <f t="shared" ca="1" si="36"/>
        <v>15</v>
      </c>
      <c r="E216">
        <f t="shared" ca="1" si="37"/>
        <v>8.3968406923502825E-2</v>
      </c>
      <c r="F216" s="47">
        <f t="shared" ca="1" si="38"/>
        <v>230.07</v>
      </c>
      <c r="G216" s="32" t="str">
        <f t="shared" ca="1" si="39"/>
        <v>hipotecario</v>
      </c>
      <c r="H21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216" t="str">
        <f t="shared" ca="1" si="40"/>
        <v>No</v>
      </c>
      <c r="J21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165000.41031529574</v>
      </c>
      <c r="K216" s="32" t="str">
        <f ca="1">IF(Tabla2[[#This Row],[¿cliente deuda abierta?]]="Sí", Tabla2[[#This Row],[Deuda actual]]*Tabla2[[#This Row],[diferencia de días]], "0")</f>
        <v>0</v>
      </c>
      <c r="L21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1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21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216">
        <f t="shared" ca="1" si="41"/>
        <v>1511.62</v>
      </c>
      <c r="P216">
        <f t="shared" ca="1" si="42"/>
        <v>17511</v>
      </c>
      <c r="Q216">
        <f t="shared" ca="1" si="43"/>
        <v>0</v>
      </c>
      <c r="R216">
        <f ca="1">((Tabla2[[#This Row],[Fantasma Comunicación]]+1)/(Tabla2[[#This Row],[Fantasma Comunicación]]+RANDBETWEEN(0,5)+2))-0.5</f>
        <v>-0.16666666666666669</v>
      </c>
      <c r="S216" s="51">
        <f ca="1">1+MAX(0,Tabla2[[#This Row],[Deuda actual]]/Tabla2[[#This Row],[Liquidez]]+Tabla2[[#This Row],[Liquidez]]/(Tabla2[[#This Row],[Activos]]+Tabla2[[#This Row],[Liquidez]])+Tabla2[[#This Row],[Comunicación]])</f>
        <v>1.0649986262844733</v>
      </c>
      <c r="T216">
        <f ca="1">Tabla2[[#This Row],[Deuda actual]]*EXP(Tabla2[[#This Row],[Ki]]*Tabla2[[#This Row],[diferencia de días]])*(1+Tabla2[[#This Row],[Hg]])</f>
        <v>185.16365564396699</v>
      </c>
    </row>
    <row r="217" spans="1:20" ht="14.5" x14ac:dyDescent="0.35">
      <c r="A217" t="e">
        <f t="shared" si="33"/>
        <v>#VALUE!</v>
      </c>
      <c r="B217" s="21">
        <f t="shared" ca="1" si="34"/>
        <v>46112</v>
      </c>
      <c r="C217" s="21">
        <f t="shared" ca="1" si="35"/>
        <v>46157</v>
      </c>
      <c r="D217">
        <f t="shared" ca="1" si="36"/>
        <v>62</v>
      </c>
      <c r="E217">
        <f t="shared" ca="1" si="37"/>
        <v>9.8039065924994895E-2</v>
      </c>
      <c r="F217" s="47">
        <f t="shared" ca="1" si="38"/>
        <v>967.08</v>
      </c>
      <c r="G217" s="32" t="str">
        <f t="shared" ca="1" si="39"/>
        <v>hipotecario</v>
      </c>
      <c r="H21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217" t="str">
        <f t="shared" ca="1" si="40"/>
        <v>Sí</v>
      </c>
      <c r="J21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17" s="32">
        <f ca="1">IF(Tabla2[[#This Row],[¿cliente deuda abierta?]]="Sí", Tabla2[[#This Row],[Deuda actual]]*Tabla2[[#This Row],[diferencia de días]], "0")</f>
        <v>59958.96</v>
      </c>
      <c r="L21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21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17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217">
        <f t="shared" ca="1" si="41"/>
        <v>1906.73</v>
      </c>
      <c r="P217">
        <f t="shared" ca="1" si="42"/>
        <v>243008.06</v>
      </c>
      <c r="Q217">
        <f t="shared" ca="1" si="43"/>
        <v>4</v>
      </c>
      <c r="R217">
        <f ca="1">((Tabla2[[#This Row],[Fantasma Comunicación]]+1)/(Tabla2[[#This Row],[Fantasma Comunicación]]+RANDBETWEEN(0,5)+2))-0.5</f>
        <v>0.125</v>
      </c>
      <c r="S217" s="51">
        <f ca="1">1+MAX(0,Tabla2[[#This Row],[Deuda actual]]/Tabla2[[#This Row],[Liquidez]]+Tabla2[[#This Row],[Liquidez]]/(Tabla2[[#This Row],[Activos]]+Tabla2[[#This Row],[Liquidez]])+Tabla2[[#This Row],[Comunicación]])</f>
        <v>1.6399782220086287</v>
      </c>
      <c r="T217">
        <f ca="1">Tabla2[[#This Row],[Deuda actual]]*EXP(Tabla2[[#This Row],[Ki]]*Tabla2[[#This Row],[diferencia de días]])*(1+Tabla2[[#This Row],[Hg]])</f>
        <v>1131.8303747735456</v>
      </c>
    </row>
    <row r="218" spans="1:20" ht="14.5" x14ac:dyDescent="0.35">
      <c r="A218" t="e">
        <f t="shared" si="33"/>
        <v>#VALUE!</v>
      </c>
      <c r="B218" s="21">
        <f t="shared" ca="1" si="34"/>
        <v>46116</v>
      </c>
      <c r="C218" s="21">
        <f t="shared" ca="1" si="35"/>
        <v>46157</v>
      </c>
      <c r="D218">
        <f t="shared" ca="1" si="36"/>
        <v>32</v>
      </c>
      <c r="E218">
        <f t="shared" ca="1" si="37"/>
        <v>0.54314866430934416</v>
      </c>
      <c r="F218" s="47">
        <f t="shared" ca="1" si="38"/>
        <v>380.8</v>
      </c>
      <c r="G218" s="32" t="str">
        <f t="shared" ca="1" si="39"/>
        <v>hipotecario</v>
      </c>
      <c r="H21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218" t="str">
        <f t="shared" ca="1" si="40"/>
        <v>Sí</v>
      </c>
      <c r="J21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18" s="32">
        <f ca="1">IF(Tabla2[[#This Row],[¿cliente deuda abierta?]]="Sí", Tabla2[[#This Row],[Deuda actual]]*Tabla2[[#This Row],[diferencia de días]], "0")</f>
        <v>12185.6</v>
      </c>
      <c r="L21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1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1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18">
        <f t="shared" ca="1" si="41"/>
        <v>1654.39</v>
      </c>
      <c r="P218">
        <f t="shared" ca="1" si="42"/>
        <v>144201.32</v>
      </c>
      <c r="Q218">
        <f t="shared" ca="1" si="43"/>
        <v>0</v>
      </c>
      <c r="R218">
        <f ca="1">((Tabla2[[#This Row],[Fantasma Comunicación]]+1)/(Tabla2[[#This Row],[Fantasma Comunicación]]+RANDBETWEEN(0,5)+2))-0.5</f>
        <v>-0.16666666666666669</v>
      </c>
      <c r="S218" s="51">
        <f ca="1">1+MAX(0,Tabla2[[#This Row],[Deuda actual]]/Tabla2[[#This Row],[Liquidez]]+Tabla2[[#This Row],[Liquidez]]/(Tabla2[[#This Row],[Activos]]+Tabla2[[#This Row],[Liquidez]])+Tabla2[[#This Row],[Comunicación]])</f>
        <v>1.0748514540194898</v>
      </c>
      <c r="T218">
        <f ca="1">Tabla2[[#This Row],[Deuda actual]]*EXP(Tabla2[[#This Row],[Ki]]*Tabla2[[#This Row],[diferencia de días]])*(1+Tabla2[[#This Row],[Hg]])</f>
        <v>412.84179932119855</v>
      </c>
    </row>
    <row r="219" spans="1:20" ht="14.5" x14ac:dyDescent="0.35">
      <c r="A219" t="e">
        <f t="shared" si="33"/>
        <v>#VALUE!</v>
      </c>
      <c r="B219" s="21">
        <f t="shared" ca="1" si="34"/>
        <v>46141</v>
      </c>
      <c r="C219" s="21">
        <f t="shared" ca="1" si="35"/>
        <v>46157</v>
      </c>
      <c r="D219">
        <f t="shared" ca="1" si="36"/>
        <v>3</v>
      </c>
      <c r="E219">
        <f t="shared" ca="1" si="37"/>
        <v>0.68777011897276585</v>
      </c>
      <c r="F219" s="47">
        <f t="shared" ca="1" si="38"/>
        <v>779.43</v>
      </c>
      <c r="G219" s="32" t="str">
        <f t="shared" ca="1" si="39"/>
        <v>hipotecario</v>
      </c>
      <c r="H21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19" t="str">
        <f t="shared" ca="1" si="40"/>
        <v>No</v>
      </c>
      <c r="J21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164999.85490456119</v>
      </c>
      <c r="K219" s="32" t="str">
        <f ca="1">IF(Tabla2[[#This Row],[¿cliente deuda abierta?]]="Sí", Tabla2[[#This Row],[Deuda actual]]*Tabla2[[#This Row],[diferencia de días]], "0")</f>
        <v>0</v>
      </c>
      <c r="L21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1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21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219">
        <f t="shared" ca="1" si="41"/>
        <v>1714.01</v>
      </c>
      <c r="P219">
        <f t="shared" ca="1" si="42"/>
        <v>297791.58</v>
      </c>
      <c r="Q219">
        <f t="shared" ca="1" si="43"/>
        <v>0</v>
      </c>
      <c r="R219">
        <f ca="1">((Tabla2[[#This Row],[Fantasma Comunicación]]+1)/(Tabla2[[#This Row],[Fantasma Comunicación]]+RANDBETWEEN(0,5)+2))-0.5</f>
        <v>0</v>
      </c>
      <c r="S219" s="51">
        <f ca="1">1+MAX(0,Tabla2[[#This Row],[Deuda actual]]/Tabla2[[#This Row],[Liquidez]]+Tabla2[[#This Row],[Liquidez]]/(Tabla2[[#This Row],[Activos]]+Tabla2[[#This Row],[Liquidez]])+Tabla2[[#This Row],[Comunicación]])</f>
        <v>1.4604634354811012</v>
      </c>
      <c r="T219">
        <f ca="1">Tabla2[[#This Row],[Deuda actual]]*EXP(Tabla2[[#This Row],[Ki]]*Tabla2[[#This Row],[diferencia de días]])*(1+Tabla2[[#This Row],[Hg]])</f>
        <v>623.918238660371</v>
      </c>
    </row>
    <row r="220" spans="1:20" ht="14.5" x14ac:dyDescent="0.35">
      <c r="A220" t="e">
        <f t="shared" si="33"/>
        <v>#VALUE!</v>
      </c>
      <c r="B220" s="21">
        <f t="shared" ca="1" si="34"/>
        <v>46135</v>
      </c>
      <c r="C220" s="21">
        <f t="shared" ca="1" si="35"/>
        <v>46157</v>
      </c>
      <c r="D220">
        <f t="shared" ca="1" si="36"/>
        <v>2</v>
      </c>
      <c r="E220">
        <f t="shared" ca="1" si="37"/>
        <v>0.32235789112089119</v>
      </c>
      <c r="F220" s="47">
        <f t="shared" ca="1" si="38"/>
        <v>809.23</v>
      </c>
      <c r="G220" s="32" t="str">
        <f t="shared" ca="1" si="39"/>
        <v>hipotecario</v>
      </c>
      <c r="H22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20" t="str">
        <f t="shared" ca="1" si="40"/>
        <v>No</v>
      </c>
      <c r="J22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165000.65246307931</v>
      </c>
      <c r="K220" s="32" t="str">
        <f ca="1">IF(Tabla2[[#This Row],[¿cliente deuda abierta?]]="Sí", Tabla2[[#This Row],[Deuda actual]]*Tabla2[[#This Row],[diferencia de días]], "0")</f>
        <v>0</v>
      </c>
      <c r="L22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2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22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220">
        <f t="shared" ca="1" si="41"/>
        <v>1563.33</v>
      </c>
      <c r="P220">
        <f t="shared" ca="1" si="42"/>
        <v>33635.269999999997</v>
      </c>
      <c r="Q220">
        <f t="shared" ca="1" si="43"/>
        <v>2</v>
      </c>
      <c r="R220">
        <f ca="1">((Tabla2[[#This Row],[Fantasma Comunicación]]+1)/(Tabla2[[#This Row],[Fantasma Comunicación]]+RANDBETWEEN(0,5)+2))-0.5</f>
        <v>-0.125</v>
      </c>
      <c r="S220" s="51">
        <f ca="1">1+MAX(0,Tabla2[[#This Row],[Deuda actual]]/Tabla2[[#This Row],[Liquidez]]+Tabla2[[#This Row],[Liquidez]]/(Tabla2[[#This Row],[Activos]]+Tabla2[[#This Row],[Liquidez]])+Tabla2[[#This Row],[Comunicación]])</f>
        <v>1.4370467843361443</v>
      </c>
      <c r="T220">
        <f ca="1">Tabla2[[#This Row],[Deuda actual]]*EXP(Tabla2[[#This Row],[Ki]]*Tabla2[[#This Row],[diferencia de días]])*(1+Tabla2[[#This Row],[Hg]])</f>
        <v>647.64300539762621</v>
      </c>
    </row>
    <row r="221" spans="1:20" ht="14.5" x14ac:dyDescent="0.35">
      <c r="A221" t="e">
        <f t="shared" si="33"/>
        <v>#VALUE!</v>
      </c>
      <c r="B221" s="21">
        <f t="shared" ca="1" si="34"/>
        <v>46132</v>
      </c>
      <c r="C221" s="21">
        <f t="shared" ca="1" si="35"/>
        <v>46157</v>
      </c>
      <c r="D221">
        <f t="shared" ca="1" si="36"/>
        <v>8</v>
      </c>
      <c r="E221">
        <f t="shared" ca="1" si="37"/>
        <v>0.18780928366241323</v>
      </c>
      <c r="F221" s="47">
        <f t="shared" ca="1" si="38"/>
        <v>1092.48</v>
      </c>
      <c r="G221" s="32" t="str">
        <f t="shared" ca="1" si="39"/>
        <v>hipotecario</v>
      </c>
      <c r="H22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21" t="str">
        <f t="shared" ca="1" si="40"/>
        <v>Sí</v>
      </c>
      <c r="J22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21" s="32">
        <f ca="1">IF(Tabla2[[#This Row],[¿cliente deuda abierta?]]="Sí", Tabla2[[#This Row],[Deuda actual]]*Tabla2[[#This Row],[diferencia de días]], "0")</f>
        <v>8739.84</v>
      </c>
      <c r="L22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2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2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21">
        <f t="shared" ca="1" si="41"/>
        <v>1559.57</v>
      </c>
      <c r="P221">
        <f t="shared" ca="1" si="42"/>
        <v>424854.97</v>
      </c>
      <c r="Q221">
        <f t="shared" ca="1" si="43"/>
        <v>5</v>
      </c>
      <c r="R221">
        <f ca="1">((Tabla2[[#This Row],[Fantasma Comunicación]]+1)/(Tabla2[[#This Row],[Fantasma Comunicación]]+RANDBETWEEN(0,5)+2))-0.5</f>
        <v>9.9999999999999978E-2</v>
      </c>
      <c r="S221" s="51">
        <f ca="1">1+MAX(0,Tabla2[[#This Row],[Deuda actual]]/Tabla2[[#This Row],[Liquidez]]+Tabla2[[#This Row],[Liquidez]]/(Tabla2[[#This Row],[Activos]]+Tabla2[[#This Row],[Liquidez]])+Tabla2[[#This Row],[Comunicación]])</f>
        <v>1.8041581824880857</v>
      </c>
      <c r="T221">
        <f ca="1">Tabla2[[#This Row],[Deuda actual]]*EXP(Tabla2[[#This Row],[Ki]]*Tabla2[[#This Row],[diferencia de días]])*(1+Tabla2[[#This Row],[Hg]])</f>
        <v>1148.9408354765228</v>
      </c>
    </row>
    <row r="222" spans="1:20" ht="14.5" x14ac:dyDescent="0.35">
      <c r="A222" t="e">
        <f t="shared" si="33"/>
        <v>#VALUE!</v>
      </c>
      <c r="B222" s="21">
        <f t="shared" ca="1" si="34"/>
        <v>46132</v>
      </c>
      <c r="C222" s="21">
        <f t="shared" ca="1" si="35"/>
        <v>46157</v>
      </c>
      <c r="D222">
        <f t="shared" ca="1" si="36"/>
        <v>10</v>
      </c>
      <c r="E222">
        <f t="shared" ca="1" si="37"/>
        <v>0.78805241759960298</v>
      </c>
      <c r="F222" s="47">
        <f t="shared" ca="1" si="38"/>
        <v>7970.86</v>
      </c>
      <c r="G222" s="32" t="str">
        <f t="shared" ca="1" si="39"/>
        <v>hipotecario</v>
      </c>
      <c r="H22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22" t="str">
        <f t="shared" ca="1" si="40"/>
        <v>No</v>
      </c>
      <c r="J22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165000.61475575974</v>
      </c>
      <c r="K222" s="32" t="str">
        <f ca="1">IF(Tabla2[[#This Row],[¿cliente deuda abierta?]]="Sí", Tabla2[[#This Row],[Deuda actual]]*Tabla2[[#This Row],[diferencia de días]], "0")</f>
        <v>0</v>
      </c>
      <c r="L22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2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22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222">
        <f t="shared" ca="1" si="41"/>
        <v>1647.57</v>
      </c>
      <c r="P222">
        <f t="shared" ca="1" si="42"/>
        <v>247279.52</v>
      </c>
      <c r="Q222">
        <f t="shared" ca="1" si="43"/>
        <v>0</v>
      </c>
      <c r="R222">
        <f ca="1">((Tabla2[[#This Row],[Fantasma Comunicación]]+1)/(Tabla2[[#This Row],[Fantasma Comunicación]]+RANDBETWEEN(0,5)+2))-0.5</f>
        <v>-0.35714285714285715</v>
      </c>
      <c r="S222" s="51">
        <f ca="1">1+MAX(0,Tabla2[[#This Row],[Deuda actual]]/Tabla2[[#This Row],[Liquidez]]+Tabla2[[#This Row],[Liquidez]]/(Tabla2[[#This Row],[Activos]]+Tabla2[[#This Row],[Liquidez]])+Tabla2[[#This Row],[Comunicación]])</f>
        <v>5.4874250500583219</v>
      </c>
      <c r="T222">
        <f ca="1">Tabla2[[#This Row],[Deuda actual]]*EXP(Tabla2[[#This Row],[Ki]]*Tabla2[[#This Row],[diferencia de días]])*(1+Tabla2[[#This Row],[Hg]])</f>
        <v>6389.4541378825043</v>
      </c>
    </row>
    <row r="223" spans="1:20" ht="14.5" x14ac:dyDescent="0.35">
      <c r="A223" t="e">
        <f t="shared" si="33"/>
        <v>#VALUE!</v>
      </c>
      <c r="B223" s="21">
        <f t="shared" ca="1" si="34"/>
        <v>46131</v>
      </c>
      <c r="C223" s="21">
        <f t="shared" ca="1" si="35"/>
        <v>46157</v>
      </c>
      <c r="D223">
        <f t="shared" ca="1" si="36"/>
        <v>19</v>
      </c>
      <c r="E223">
        <f t="shared" ca="1" si="37"/>
        <v>0.65058454541736355</v>
      </c>
      <c r="F223" s="47">
        <f t="shared" ca="1" si="38"/>
        <v>669.76</v>
      </c>
      <c r="G223" s="32" t="str">
        <f t="shared" ca="1" si="39"/>
        <v>hipotecario</v>
      </c>
      <c r="H22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223" t="str">
        <f t="shared" ca="1" si="40"/>
        <v>Sí</v>
      </c>
      <c r="J22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23" s="32">
        <f ca="1">IF(Tabla2[[#This Row],[¿cliente deuda abierta?]]="Sí", Tabla2[[#This Row],[Deuda actual]]*Tabla2[[#This Row],[diferencia de días]], "0")</f>
        <v>12725.44</v>
      </c>
      <c r="L22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2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2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23">
        <f t="shared" ca="1" si="41"/>
        <v>1544.03</v>
      </c>
      <c r="P223">
        <f t="shared" ca="1" si="42"/>
        <v>317091.93</v>
      </c>
      <c r="Q223">
        <f t="shared" ca="1" si="43"/>
        <v>5</v>
      </c>
      <c r="R223">
        <f ca="1">((Tabla2[[#This Row],[Fantasma Comunicación]]+1)/(Tabla2[[#This Row],[Fantasma Comunicación]]+RANDBETWEEN(0,5)+2))-0.5</f>
        <v>9.9999999999999978E-2</v>
      </c>
      <c r="S223" s="51">
        <f ca="1">1+MAX(0,Tabla2[[#This Row],[Deuda actual]]/Tabla2[[#This Row],[Liquidez]]+Tabla2[[#This Row],[Liquidez]]/(Tabla2[[#This Row],[Activos]]+Tabla2[[#This Row],[Liquidez]])+Tabla2[[#This Row],[Comunicación]])</f>
        <v>1.5386197045316408</v>
      </c>
      <c r="T223">
        <f ca="1">Tabla2[[#This Row],[Deuda actual]]*EXP(Tabla2[[#This Row],[Ki]]*Tabla2[[#This Row],[diferencia de días]])*(1+Tabla2[[#This Row],[Hg]])</f>
        <v>708.61304615164579</v>
      </c>
    </row>
    <row r="224" spans="1:20" ht="14.5" x14ac:dyDescent="0.35">
      <c r="A224" t="e">
        <f t="shared" si="33"/>
        <v>#VALUE!</v>
      </c>
      <c r="B224" s="21">
        <f t="shared" ca="1" si="34"/>
        <v>46086</v>
      </c>
      <c r="C224" s="21">
        <f t="shared" ca="1" si="35"/>
        <v>46157</v>
      </c>
      <c r="D224">
        <f t="shared" ca="1" si="36"/>
        <v>4</v>
      </c>
      <c r="E224">
        <f t="shared" ca="1" si="37"/>
        <v>0.99462581195617283</v>
      </c>
      <c r="F224" s="47">
        <f t="shared" ca="1" si="38"/>
        <v>1030.8</v>
      </c>
      <c r="G224" s="32" t="str">
        <f t="shared" ca="1" si="39"/>
        <v>personal</v>
      </c>
      <c r="H22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24" t="str">
        <f t="shared" ca="1" si="40"/>
        <v>Sí</v>
      </c>
      <c r="J22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24" s="32">
        <f ca="1">IF(Tabla2[[#This Row],[¿cliente deuda abierta?]]="Sí", Tabla2[[#This Row],[Deuda actual]]*Tabla2[[#This Row],[diferencia de días]], "0")</f>
        <v>4123.2</v>
      </c>
      <c r="L22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2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2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24">
        <f t="shared" ca="1" si="41"/>
        <v>1230.5</v>
      </c>
      <c r="P224">
        <f t="shared" ca="1" si="42"/>
        <v>61151.18</v>
      </c>
      <c r="Q224">
        <f t="shared" ca="1" si="43"/>
        <v>3</v>
      </c>
      <c r="R224">
        <f ca="1">((Tabla2[[#This Row],[Fantasma Comunicación]]+1)/(Tabla2[[#This Row],[Fantasma Comunicación]]+RANDBETWEEN(0,5)+2))-0.5</f>
        <v>0.16666666666666663</v>
      </c>
      <c r="S224" s="51">
        <f ca="1">1+MAX(0,Tabla2[[#This Row],[Deuda actual]]/Tabla2[[#This Row],[Liquidez]]+Tabla2[[#This Row],[Liquidez]]/(Tabla2[[#This Row],[Activos]]+Tabla2[[#This Row],[Liquidez]])+Tabla2[[#This Row],[Comunicación]])</f>
        <v>2.0241002577863458</v>
      </c>
      <c r="T224">
        <f ca="1">Tabla2[[#This Row],[Deuda actual]]*EXP(Tabla2[[#This Row],[Ki]]*Tabla2[[#This Row],[diferencia de días]])*(1+Tabla2[[#This Row],[Hg]])</f>
        <v>1083.2062184411782</v>
      </c>
    </row>
    <row r="225" spans="1:20" ht="14.5" x14ac:dyDescent="0.35">
      <c r="A225" t="e">
        <f t="shared" si="33"/>
        <v>#VALUE!</v>
      </c>
      <c r="B225" s="21">
        <f t="shared" ca="1" si="34"/>
        <v>46142</v>
      </c>
      <c r="C225" s="21">
        <f t="shared" ca="1" si="35"/>
        <v>46157</v>
      </c>
      <c r="D225">
        <f t="shared" ca="1" si="36"/>
        <v>14</v>
      </c>
      <c r="E225">
        <f t="shared" ca="1" si="37"/>
        <v>0.21966138941185698</v>
      </c>
      <c r="F225" s="47">
        <f t="shared" ca="1" si="38"/>
        <v>579.15</v>
      </c>
      <c r="G225" s="32" t="str">
        <f t="shared" ca="1" si="39"/>
        <v>hipotecario</v>
      </c>
      <c r="H22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25" t="str">
        <f t="shared" ca="1" si="40"/>
        <v>Sí</v>
      </c>
      <c r="J22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25" s="32">
        <f ca="1">IF(Tabla2[[#This Row],[¿cliente deuda abierta?]]="Sí", Tabla2[[#This Row],[Deuda actual]]*Tabla2[[#This Row],[diferencia de días]], "0")</f>
        <v>8108.0999999999995</v>
      </c>
      <c r="L22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2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2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25">
        <f t="shared" ca="1" si="41"/>
        <v>1392.22</v>
      </c>
      <c r="P225">
        <f t="shared" ca="1" si="42"/>
        <v>359560.99</v>
      </c>
      <c r="Q225">
        <f t="shared" ca="1" si="43"/>
        <v>2</v>
      </c>
      <c r="R225">
        <f ca="1">((Tabla2[[#This Row],[Fantasma Comunicación]]+1)/(Tabla2[[#This Row],[Fantasma Comunicación]]+RANDBETWEEN(0,5)+2))-0.5</f>
        <v>0</v>
      </c>
      <c r="S225" s="51">
        <f ca="1">1+MAX(0,Tabla2[[#This Row],[Deuda actual]]/Tabla2[[#This Row],[Liquidez]]+Tabla2[[#This Row],[Liquidez]]/(Tabla2[[#This Row],[Activos]]+Tabla2[[#This Row],[Liquidez]])+Tabla2[[#This Row],[Comunicación]])</f>
        <v>1.4198473539107144</v>
      </c>
      <c r="T225">
        <f ca="1">Tabla2[[#This Row],[Deuda actual]]*EXP(Tabla2[[#This Row],[Ki]]*Tabla2[[#This Row],[diferencia de días]])*(1+Tabla2[[#This Row],[Hg]])</f>
        <v>609.81258700782098</v>
      </c>
    </row>
    <row r="226" spans="1:20" ht="14.5" x14ac:dyDescent="0.35">
      <c r="A226" t="e">
        <f t="shared" si="33"/>
        <v>#VALUE!</v>
      </c>
      <c r="B226" s="21">
        <f t="shared" ca="1" si="34"/>
        <v>46139</v>
      </c>
      <c r="C226" s="21">
        <f t="shared" ca="1" si="35"/>
        <v>46157</v>
      </c>
      <c r="D226">
        <f t="shared" ca="1" si="36"/>
        <v>7</v>
      </c>
      <c r="E226">
        <f t="shared" ca="1" si="37"/>
        <v>0.44634414191680738</v>
      </c>
      <c r="F226" s="47">
        <f t="shared" ca="1" si="38"/>
        <v>4162.87</v>
      </c>
      <c r="G226" s="32" t="str">
        <f t="shared" ca="1" si="39"/>
        <v>hipotecario</v>
      </c>
      <c r="H22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26" t="str">
        <f t="shared" ca="1" si="40"/>
        <v>Sí</v>
      </c>
      <c r="J22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26" s="32">
        <f ca="1">IF(Tabla2[[#This Row],[¿cliente deuda abierta?]]="Sí", Tabla2[[#This Row],[Deuda actual]]*Tabla2[[#This Row],[diferencia de días]], "0")</f>
        <v>29140.09</v>
      </c>
      <c r="L22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2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2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26">
        <f t="shared" ca="1" si="41"/>
        <v>1665.69</v>
      </c>
      <c r="P226">
        <f t="shared" ca="1" si="42"/>
        <v>422839.57</v>
      </c>
      <c r="Q226">
        <f t="shared" ca="1" si="43"/>
        <v>5</v>
      </c>
      <c r="R226">
        <f ca="1">((Tabla2[[#This Row],[Fantasma Comunicación]]+1)/(Tabla2[[#This Row],[Fantasma Comunicación]]+RANDBETWEEN(0,5)+2))-0.5</f>
        <v>4.5454545454545414E-2</v>
      </c>
      <c r="S226" s="51">
        <f ca="1">1+MAX(0,Tabla2[[#This Row],[Deuda actual]]/Tabla2[[#This Row],[Liquidez]]+Tabla2[[#This Row],[Liquidez]]/(Tabla2[[#This Row],[Activos]]+Tabla2[[#This Row],[Liquidez]])+Tabla2[[#This Row],[Comunicación]])</f>
        <v>3.5485649070625258</v>
      </c>
      <c r="T226">
        <f ca="1">Tabla2[[#This Row],[Deuda actual]]*EXP(Tabla2[[#This Row],[Ki]]*Tabla2[[#This Row],[diferencia de días]])*(1+Tabla2[[#This Row],[Hg]])</f>
        <v>4377.1372044929403</v>
      </c>
    </row>
    <row r="227" spans="1:20" ht="14.5" x14ac:dyDescent="0.35">
      <c r="A227" t="e">
        <f t="shared" si="33"/>
        <v>#VALUE!</v>
      </c>
      <c r="B227" s="21">
        <f t="shared" ca="1" si="34"/>
        <v>46087</v>
      </c>
      <c r="C227" s="21">
        <f t="shared" ca="1" si="35"/>
        <v>46157</v>
      </c>
      <c r="D227">
        <f t="shared" ca="1" si="36"/>
        <v>13</v>
      </c>
      <c r="E227">
        <f t="shared" ca="1" si="37"/>
        <v>7.6716707681965368E-2</v>
      </c>
      <c r="F227" s="47">
        <f t="shared" ca="1" si="38"/>
        <v>794.51</v>
      </c>
      <c r="G227" s="32" t="str">
        <f t="shared" ca="1" si="39"/>
        <v>personal</v>
      </c>
      <c r="H22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27" t="str">
        <f t="shared" ca="1" si="40"/>
        <v>Sí</v>
      </c>
      <c r="J22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27" s="32">
        <f ca="1">IF(Tabla2[[#This Row],[¿cliente deuda abierta?]]="Sí", Tabla2[[#This Row],[Deuda actual]]*Tabla2[[#This Row],[diferencia de días]], "0")</f>
        <v>10328.629999999999</v>
      </c>
      <c r="L22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2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2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27">
        <f t="shared" ca="1" si="41"/>
        <v>2237.38</v>
      </c>
      <c r="P227">
        <f t="shared" ca="1" si="42"/>
        <v>162416.6</v>
      </c>
      <c r="Q227">
        <f t="shared" ca="1" si="43"/>
        <v>1</v>
      </c>
      <c r="R227">
        <f ca="1">((Tabla2[[#This Row],[Fantasma Comunicación]]+1)/(Tabla2[[#This Row],[Fantasma Comunicación]]+RANDBETWEEN(0,5)+2))-0.5</f>
        <v>-9.9999999999999978E-2</v>
      </c>
      <c r="S227" s="51">
        <f ca="1">1+MAX(0,Tabla2[[#This Row],[Deuda actual]]/Tabla2[[#This Row],[Liquidez]]+Tabla2[[#This Row],[Liquidez]]/(Tabla2[[#This Row],[Activos]]+Tabla2[[#This Row],[Liquidez]])+Tabla2[[#This Row],[Comunicación]])</f>
        <v>1.2686956878631408</v>
      </c>
      <c r="T227">
        <f ca="1">Tabla2[[#This Row],[Deuda actual]]*EXP(Tabla2[[#This Row],[Ki]]*Tabla2[[#This Row],[diferencia de días]])*(1+Tabla2[[#This Row],[Hg]])</f>
        <v>836.40733446133322</v>
      </c>
    </row>
    <row r="228" spans="1:20" ht="14.5" x14ac:dyDescent="0.35">
      <c r="A228" t="e">
        <f t="shared" si="33"/>
        <v>#VALUE!</v>
      </c>
      <c r="B228" s="21">
        <f t="shared" ca="1" si="34"/>
        <v>46134</v>
      </c>
      <c r="C228" s="21">
        <f t="shared" ca="1" si="35"/>
        <v>46157</v>
      </c>
      <c r="D228">
        <f t="shared" ca="1" si="36"/>
        <v>18</v>
      </c>
      <c r="E228">
        <f t="shared" ca="1" si="37"/>
        <v>0.25240600782199862</v>
      </c>
      <c r="F228" s="47">
        <f t="shared" ca="1" si="38"/>
        <v>1476.26</v>
      </c>
      <c r="G228" s="32" t="str">
        <f t="shared" ca="1" si="39"/>
        <v>personal</v>
      </c>
      <c r="H22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228" t="str">
        <f t="shared" ca="1" si="40"/>
        <v>Sí</v>
      </c>
      <c r="J22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28" s="32">
        <f ca="1">IF(Tabla2[[#This Row],[¿cliente deuda abierta?]]="Sí", Tabla2[[#This Row],[Deuda actual]]*Tabla2[[#This Row],[diferencia de días]], "0")</f>
        <v>26572.68</v>
      </c>
      <c r="L22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2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2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28">
        <f t="shared" ca="1" si="41"/>
        <v>1964.86</v>
      </c>
      <c r="P228">
        <f t="shared" ca="1" si="42"/>
        <v>229240.61</v>
      </c>
      <c r="Q228">
        <f t="shared" ca="1" si="43"/>
        <v>0</v>
      </c>
      <c r="R228">
        <f ca="1">((Tabla2[[#This Row],[Fantasma Comunicación]]+1)/(Tabla2[[#This Row],[Fantasma Comunicación]]+RANDBETWEEN(0,5)+2))-0.5</f>
        <v>-0.3</v>
      </c>
      <c r="S228" s="51">
        <f ca="1">1+MAX(0,Tabla2[[#This Row],[Deuda actual]]/Tabla2[[#This Row],[Liquidez]]+Tabla2[[#This Row],[Liquidez]]/(Tabla2[[#This Row],[Activos]]+Tabla2[[#This Row],[Liquidez]])+Tabla2[[#This Row],[Comunicación]])</f>
        <v>1.45982921197367</v>
      </c>
      <c r="T228">
        <f ca="1">Tabla2[[#This Row],[Deuda actual]]*EXP(Tabla2[[#This Row],[Ki]]*Tabla2[[#This Row],[diferencia de días]])*(1+Tabla2[[#This Row],[Hg]])</f>
        <v>1561.2738000929201</v>
      </c>
    </row>
    <row r="229" spans="1:20" ht="14.5" x14ac:dyDescent="0.35">
      <c r="A229" t="e">
        <f t="shared" si="33"/>
        <v>#VALUE!</v>
      </c>
      <c r="B229" s="21">
        <f t="shared" ca="1" si="34"/>
        <v>46121</v>
      </c>
      <c r="C229" s="21">
        <f t="shared" ca="1" si="35"/>
        <v>46157</v>
      </c>
      <c r="D229">
        <f t="shared" ca="1" si="36"/>
        <v>29</v>
      </c>
      <c r="E229">
        <f t="shared" ca="1" si="37"/>
        <v>0.3933953340239954</v>
      </c>
      <c r="F229" s="47">
        <f t="shared" ca="1" si="38"/>
        <v>211.58</v>
      </c>
      <c r="G229" s="32" t="str">
        <f t="shared" ca="1" si="39"/>
        <v>personal</v>
      </c>
      <c r="H22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229" t="str">
        <f t="shared" ca="1" si="40"/>
        <v>Sí</v>
      </c>
      <c r="J22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29" s="32">
        <f ca="1">IF(Tabla2[[#This Row],[¿cliente deuda abierta?]]="Sí", Tabla2[[#This Row],[Deuda actual]]*Tabla2[[#This Row],[diferencia de días]], "0")</f>
        <v>6135.8200000000006</v>
      </c>
      <c r="L22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2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2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29">
        <f t="shared" ca="1" si="41"/>
        <v>1773.97</v>
      </c>
      <c r="P229">
        <f t="shared" ca="1" si="42"/>
        <v>77875.179999999993</v>
      </c>
      <c r="Q229">
        <f t="shared" ca="1" si="43"/>
        <v>0</v>
      </c>
      <c r="R229">
        <f ca="1">((Tabla2[[#This Row],[Fantasma Comunicación]]+1)/(Tabla2[[#This Row],[Fantasma Comunicación]]+RANDBETWEEN(0,5)+2))-0.5</f>
        <v>0</v>
      </c>
      <c r="S229" s="51">
        <f ca="1">1+MAX(0,Tabla2[[#This Row],[Deuda actual]]/Tabla2[[#This Row],[Liquidez]]+Tabla2[[#This Row],[Liquidez]]/(Tabla2[[#This Row],[Activos]]+Tabla2[[#This Row],[Liquidez]])+Tabla2[[#This Row],[Comunicación]])</f>
        <v>1.1415415127073161</v>
      </c>
      <c r="T229">
        <f ca="1">Tabla2[[#This Row],[Deuda actual]]*EXP(Tabla2[[#This Row],[Ki]]*Tabla2[[#This Row],[diferencia de días]])*(1+Tabla2[[#This Row],[Hg]])</f>
        <v>224.75104922002944</v>
      </c>
    </row>
    <row r="230" spans="1:20" ht="14.5" x14ac:dyDescent="0.35">
      <c r="A230" t="e">
        <f t="shared" si="33"/>
        <v>#VALUE!</v>
      </c>
      <c r="B230" s="21">
        <f t="shared" ca="1" si="34"/>
        <v>46131</v>
      </c>
      <c r="C230" s="21">
        <f t="shared" ca="1" si="35"/>
        <v>46157</v>
      </c>
      <c r="D230">
        <f t="shared" ca="1" si="36"/>
        <v>39</v>
      </c>
      <c r="E230">
        <f t="shared" ca="1" si="37"/>
        <v>0.22979239036073407</v>
      </c>
      <c r="F230" s="47">
        <f t="shared" ca="1" si="38"/>
        <v>151.1</v>
      </c>
      <c r="G230" s="32" t="str">
        <f t="shared" ca="1" si="39"/>
        <v>hipotecario</v>
      </c>
      <c r="H23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230" t="str">
        <f t="shared" ca="1" si="40"/>
        <v>Sí</v>
      </c>
      <c r="J23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30" s="32">
        <f ca="1">IF(Tabla2[[#This Row],[¿cliente deuda abierta?]]="Sí", Tabla2[[#This Row],[Deuda actual]]*Tabla2[[#This Row],[diferencia de días]], "0")</f>
        <v>5892.9</v>
      </c>
      <c r="L23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3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3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30">
        <f t="shared" ca="1" si="41"/>
        <v>1409.37</v>
      </c>
      <c r="P230">
        <f t="shared" ca="1" si="42"/>
        <v>157865.60999999999</v>
      </c>
      <c r="Q230">
        <f t="shared" ca="1" si="43"/>
        <v>1</v>
      </c>
      <c r="R230">
        <f ca="1">((Tabla2[[#This Row],[Fantasma Comunicación]]+1)/(Tabla2[[#This Row],[Fantasma Comunicación]]+RANDBETWEEN(0,5)+2))-0.5</f>
        <v>-0.25</v>
      </c>
      <c r="S230" s="51">
        <f ca="1">1+MAX(0,Tabla2[[#This Row],[Deuda actual]]/Tabla2[[#This Row],[Liquidez]]+Tabla2[[#This Row],[Liquidez]]/(Tabla2[[#This Row],[Activos]]+Tabla2[[#This Row],[Liquidez]])+Tabla2[[#This Row],[Comunicación]])</f>
        <v>1</v>
      </c>
      <c r="T230">
        <f ca="1">Tabla2[[#This Row],[Deuda actual]]*EXP(Tabla2[[#This Row],[Ki]]*Tabla2[[#This Row],[diferencia de días]])*(1+Tabla2[[#This Row],[Hg]])</f>
        <v>164.96478608351578</v>
      </c>
    </row>
    <row r="231" spans="1:20" ht="14.5" x14ac:dyDescent="0.35">
      <c r="A231" t="e">
        <f t="shared" si="33"/>
        <v>#VALUE!</v>
      </c>
      <c r="B231" s="21">
        <f t="shared" ca="1" si="34"/>
        <v>46109</v>
      </c>
      <c r="C231" s="21">
        <f t="shared" ca="1" si="35"/>
        <v>46157</v>
      </c>
      <c r="D231">
        <f t="shared" ca="1" si="36"/>
        <v>0</v>
      </c>
      <c r="E231">
        <f t="shared" ca="1" si="37"/>
        <v>0.61696480116579189</v>
      </c>
      <c r="F231" s="47">
        <f t="shared" ca="1" si="38"/>
        <v>2011.71</v>
      </c>
      <c r="G231" s="32" t="str">
        <f t="shared" ca="1" si="39"/>
        <v>hipotecario</v>
      </c>
      <c r="H23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31" t="str">
        <f t="shared" ca="1" si="40"/>
        <v>Sí</v>
      </c>
      <c r="J23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31" s="32">
        <f ca="1">IF(Tabla2[[#This Row],[¿cliente deuda abierta?]]="Sí", Tabla2[[#This Row],[Deuda actual]]*Tabla2[[#This Row],[diferencia de días]], "0")</f>
        <v>0</v>
      </c>
      <c r="L23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3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31" s="32">
        <f ca="1">MAX(Tabla2[[#This Row],[VALORES DE Hg para actuales deudores]:[Valores de HG para deudores cerrados]])*IF(Tabla2[[#This Row],[VALORES DE Hg para actuales deudores]]&gt;Tabla2[[#This Row],[Valores de HG para deudores cerrados]],-1,1)</f>
        <v>0</v>
      </c>
      <c r="O231">
        <f t="shared" ca="1" si="41"/>
        <v>1681.88</v>
      </c>
      <c r="P231">
        <f t="shared" ca="1" si="42"/>
        <v>151482.07999999999</v>
      </c>
      <c r="Q231">
        <f t="shared" ca="1" si="43"/>
        <v>0</v>
      </c>
      <c r="R231">
        <f ca="1">((Tabla2[[#This Row],[Fantasma Comunicación]]+1)/(Tabla2[[#This Row],[Fantasma Comunicación]]+RANDBETWEEN(0,5)+2))-0.5</f>
        <v>-0.25</v>
      </c>
      <c r="S231" s="51">
        <f ca="1">1+MAX(0,Tabla2[[#This Row],[Deuda actual]]/Tabla2[[#This Row],[Liquidez]]+Tabla2[[#This Row],[Liquidez]]/(Tabla2[[#This Row],[Activos]]+Tabla2[[#This Row],[Liquidez]])+Tabla2[[#This Row],[Comunicación]])</f>
        <v>1.9570888390635899</v>
      </c>
      <c r="T231">
        <f ca="1">Tabla2[[#This Row],[Deuda actual]]*EXP(Tabla2[[#This Row],[Ki]]*Tabla2[[#This Row],[diferencia de días]])*(1+Tabla2[[#This Row],[Hg]])</f>
        <v>2011.71</v>
      </c>
    </row>
    <row r="232" spans="1:20" ht="14.5" x14ac:dyDescent="0.35">
      <c r="A232" t="e">
        <f t="shared" si="33"/>
        <v>#VALUE!</v>
      </c>
      <c r="B232" s="21">
        <f t="shared" ca="1" si="34"/>
        <v>46123</v>
      </c>
      <c r="C232" s="21">
        <f t="shared" ca="1" si="35"/>
        <v>46157</v>
      </c>
      <c r="D232">
        <f t="shared" ca="1" si="36"/>
        <v>2</v>
      </c>
      <c r="E232">
        <f t="shared" ca="1" si="37"/>
        <v>0.93565394183929307</v>
      </c>
      <c r="F232" s="47">
        <f t="shared" ca="1" si="38"/>
        <v>1784.48</v>
      </c>
      <c r="G232" s="32" t="str">
        <f t="shared" ca="1" si="39"/>
        <v>hipotecario</v>
      </c>
      <c r="H23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32" t="str">
        <f t="shared" ca="1" si="40"/>
        <v>No</v>
      </c>
      <c r="J23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164999.95774722283</v>
      </c>
      <c r="K232" s="32" t="str">
        <f ca="1">IF(Tabla2[[#This Row],[¿cliente deuda abierta?]]="Sí", Tabla2[[#This Row],[Deuda actual]]*Tabla2[[#This Row],[diferencia de días]], "0")</f>
        <v>0</v>
      </c>
      <c r="L23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3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23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232">
        <f t="shared" ca="1" si="41"/>
        <v>1452.08</v>
      </c>
      <c r="P232">
        <f t="shared" ca="1" si="42"/>
        <v>188402.32</v>
      </c>
      <c r="Q232">
        <f t="shared" ca="1" si="43"/>
        <v>3</v>
      </c>
      <c r="R232">
        <f ca="1">((Tabla2[[#This Row],[Fantasma Comunicación]]+1)/(Tabla2[[#This Row],[Fantasma Comunicación]]+RANDBETWEEN(0,5)+2))-0.5</f>
        <v>7.1428571428571397E-2</v>
      </c>
      <c r="S232" s="51">
        <f ca="1">1+MAX(0,Tabla2[[#This Row],[Deuda actual]]/Tabla2[[#This Row],[Liquidez]]+Tabla2[[#This Row],[Liquidez]]/(Tabla2[[#This Row],[Activos]]+Tabla2[[#This Row],[Liquidez]])+Tabla2[[#This Row],[Comunicación]])</f>
        <v>2.3079899663721797</v>
      </c>
      <c r="T232">
        <f ca="1">Tabla2[[#This Row],[Deuda actual]]*EXP(Tabla2[[#This Row],[Ki]]*Tabla2[[#This Row],[diferencia de días]])*(1+Tabla2[[#This Row],[Hg]])</f>
        <v>1428.1551478219492</v>
      </c>
    </row>
    <row r="233" spans="1:20" ht="14.5" x14ac:dyDescent="0.35">
      <c r="A233" t="e">
        <f t="shared" si="33"/>
        <v>#VALUE!</v>
      </c>
      <c r="B233" s="21">
        <f t="shared" ca="1" si="34"/>
        <v>46117</v>
      </c>
      <c r="C233" s="21">
        <f t="shared" ca="1" si="35"/>
        <v>46157</v>
      </c>
      <c r="D233">
        <f t="shared" ca="1" si="36"/>
        <v>3</v>
      </c>
      <c r="E233">
        <f t="shared" ca="1" si="37"/>
        <v>0.20786905845887327</v>
      </c>
      <c r="F233" s="47">
        <f t="shared" ca="1" si="38"/>
        <v>836.22</v>
      </c>
      <c r="G233" s="32" t="str">
        <f t="shared" ca="1" si="39"/>
        <v>personal</v>
      </c>
      <c r="H23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33" t="str">
        <f t="shared" ca="1" si="40"/>
        <v>No</v>
      </c>
      <c r="J23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11998.999800302547</v>
      </c>
      <c r="K233" s="32" t="str">
        <f ca="1">IF(Tabla2[[#This Row],[¿cliente deuda abierta?]]="Sí", Tabla2[[#This Row],[Deuda actual]]*Tabla2[[#This Row],[diferencia de días]], "0")</f>
        <v>0</v>
      </c>
      <c r="L23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3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23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233">
        <f t="shared" ca="1" si="41"/>
        <v>1380.6</v>
      </c>
      <c r="P233">
        <f t="shared" ca="1" si="42"/>
        <v>134189.42000000001</v>
      </c>
      <c r="Q233">
        <f t="shared" ca="1" si="43"/>
        <v>4</v>
      </c>
      <c r="R233">
        <f ca="1">((Tabla2[[#This Row],[Fantasma Comunicación]]+1)/(Tabla2[[#This Row],[Fantasma Comunicación]]+RANDBETWEEN(0,5)+2))-0.5</f>
        <v>0.2142857142857143</v>
      </c>
      <c r="S233" s="51">
        <f ca="1">1+MAX(0,Tabla2[[#This Row],[Deuda actual]]/Tabla2[[#This Row],[Liquidez]]+Tabla2[[#This Row],[Liquidez]]/(Tabla2[[#This Row],[Activos]]+Tabla2[[#This Row],[Liquidez]])+Tabla2[[#This Row],[Comunicación]])</f>
        <v>1.830162558616292</v>
      </c>
      <c r="T233">
        <f ca="1">Tabla2[[#This Row],[Deuda actual]]*EXP(Tabla2[[#This Row],[Ki]]*Tabla2[[#This Row],[diferencia de días]])*(1+Tabla2[[#This Row],[Hg]])</f>
        <v>753.04969429473761</v>
      </c>
    </row>
    <row r="234" spans="1:20" ht="14.5" x14ac:dyDescent="0.35">
      <c r="A234" t="e">
        <f t="shared" si="33"/>
        <v>#VALUE!</v>
      </c>
      <c r="B234" s="21">
        <f t="shared" ca="1" si="34"/>
        <v>46089</v>
      </c>
      <c r="C234" s="21">
        <f t="shared" ca="1" si="35"/>
        <v>46157</v>
      </c>
      <c r="D234">
        <f t="shared" ca="1" si="36"/>
        <v>7</v>
      </c>
      <c r="E234">
        <f t="shared" ca="1" si="37"/>
        <v>0.57941929220585864</v>
      </c>
      <c r="F234" s="47">
        <f t="shared" ca="1" si="38"/>
        <v>756.66</v>
      </c>
      <c r="G234" s="32" t="str">
        <f t="shared" ca="1" si="39"/>
        <v>personal</v>
      </c>
      <c r="H23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34" t="str">
        <f t="shared" ca="1" si="40"/>
        <v>No</v>
      </c>
      <c r="J23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12000.742131966863</v>
      </c>
      <c r="K234" s="32" t="str">
        <f ca="1">IF(Tabla2[[#This Row],[¿cliente deuda abierta?]]="Sí", Tabla2[[#This Row],[Deuda actual]]*Tabla2[[#This Row],[diferencia de días]], "0")</f>
        <v>0</v>
      </c>
      <c r="L23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3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23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234">
        <f t="shared" ca="1" si="41"/>
        <v>1611.22</v>
      </c>
      <c r="P234">
        <f t="shared" ca="1" si="42"/>
        <v>65856.81</v>
      </c>
      <c r="Q234">
        <f t="shared" ca="1" si="43"/>
        <v>4</v>
      </c>
      <c r="R234">
        <f ca="1">((Tabla2[[#This Row],[Fantasma Comunicación]]+1)/(Tabla2[[#This Row],[Fantasma Comunicación]]+RANDBETWEEN(0,5)+2))-0.5</f>
        <v>0.2142857142857143</v>
      </c>
      <c r="S234" s="51">
        <f ca="1">1+MAX(0,Tabla2[[#This Row],[Deuda actual]]/Tabla2[[#This Row],[Liquidez]]+Tabla2[[#This Row],[Liquidez]]/(Tabla2[[#This Row],[Activos]]+Tabla2[[#This Row],[Liquidez]])+Tabla2[[#This Row],[Comunicación]])</f>
        <v>1.7077862457689195</v>
      </c>
      <c r="T234">
        <f ca="1">Tabla2[[#This Row],[Deuda actual]]*EXP(Tabla2[[#This Row],[Ki]]*Tabla2[[#This Row],[diferencia de días]])*(1+Tabla2[[#This Row],[Hg]])</f>
        <v>681.9480592856703</v>
      </c>
    </row>
    <row r="235" spans="1:20" ht="14.5" x14ac:dyDescent="0.35">
      <c r="A235" t="e">
        <f t="shared" si="33"/>
        <v>#VALUE!</v>
      </c>
      <c r="B235" s="21">
        <f t="shared" ca="1" si="34"/>
        <v>46134</v>
      </c>
      <c r="C235" s="21">
        <f t="shared" ca="1" si="35"/>
        <v>46157</v>
      </c>
      <c r="D235">
        <f t="shared" ca="1" si="36"/>
        <v>22</v>
      </c>
      <c r="E235">
        <f t="shared" ca="1" si="37"/>
        <v>0.74505116893600309</v>
      </c>
      <c r="F235" s="47">
        <f t="shared" ca="1" si="38"/>
        <v>628.62</v>
      </c>
      <c r="G235" s="32" t="str">
        <f t="shared" ca="1" si="39"/>
        <v>hipotecario</v>
      </c>
      <c r="H23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235" t="str">
        <f t="shared" ca="1" si="40"/>
        <v>No</v>
      </c>
      <c r="J23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164999.17509135918</v>
      </c>
      <c r="K235" s="32" t="str">
        <f ca="1">IF(Tabla2[[#This Row],[¿cliente deuda abierta?]]="Sí", Tabla2[[#This Row],[Deuda actual]]*Tabla2[[#This Row],[diferencia de días]], "0")</f>
        <v>0</v>
      </c>
      <c r="L23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3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23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235">
        <f t="shared" ca="1" si="41"/>
        <v>1983</v>
      </c>
      <c r="P235">
        <f t="shared" ca="1" si="42"/>
        <v>74545.63</v>
      </c>
      <c r="Q235">
        <f t="shared" ca="1" si="43"/>
        <v>5</v>
      </c>
      <c r="R235">
        <f ca="1">((Tabla2[[#This Row],[Fantasma Comunicación]]+1)/(Tabla2[[#This Row],[Fantasma Comunicación]]+RANDBETWEEN(0,5)+2))-0.5</f>
        <v>0.25</v>
      </c>
      <c r="S235" s="51">
        <f ca="1">1+MAX(0,Tabla2[[#This Row],[Deuda actual]]/Tabla2[[#This Row],[Liquidez]]+Tabla2[[#This Row],[Liquidez]]/(Tabla2[[#This Row],[Activos]]+Tabla2[[#This Row],[Liquidez]])+Tabla2[[#This Row],[Comunicación]])</f>
        <v>1.5929164097299242</v>
      </c>
      <c r="T235">
        <f ca="1">Tabla2[[#This Row],[Deuda actual]]*EXP(Tabla2[[#This Row],[Ki]]*Tabla2[[#This Row],[diferencia de días]])*(1+Tabla2[[#This Row],[Hg]])</f>
        <v>507.3410141772589</v>
      </c>
    </row>
    <row r="236" spans="1:20" ht="14.5" x14ac:dyDescent="0.35">
      <c r="A236" t="e">
        <f t="shared" si="33"/>
        <v>#VALUE!</v>
      </c>
      <c r="B236" s="21">
        <f t="shared" ca="1" si="34"/>
        <v>46139</v>
      </c>
      <c r="C236" s="21">
        <f t="shared" ca="1" si="35"/>
        <v>46157</v>
      </c>
      <c r="D236">
        <f t="shared" ca="1" si="36"/>
        <v>0</v>
      </c>
      <c r="E236">
        <f t="shared" ca="1" si="37"/>
        <v>0.40159523557078547</v>
      </c>
      <c r="F236" s="47">
        <f t="shared" ca="1" si="38"/>
        <v>3662.98</v>
      </c>
      <c r="G236" s="32" t="str">
        <f t="shared" ca="1" si="39"/>
        <v>hipotecario</v>
      </c>
      <c r="H23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36" t="str">
        <f t="shared" ca="1" si="40"/>
        <v>Sí</v>
      </c>
      <c r="J23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36" s="32">
        <f ca="1">IF(Tabla2[[#This Row],[¿cliente deuda abierta?]]="Sí", Tabla2[[#This Row],[Deuda actual]]*Tabla2[[#This Row],[diferencia de días]], "0")</f>
        <v>0</v>
      </c>
      <c r="L23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3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36" s="32">
        <f ca="1">MAX(Tabla2[[#This Row],[VALORES DE Hg para actuales deudores]:[Valores de HG para deudores cerrados]])*IF(Tabla2[[#This Row],[VALORES DE Hg para actuales deudores]]&gt;Tabla2[[#This Row],[Valores de HG para deudores cerrados]],-1,1)</f>
        <v>0</v>
      </c>
      <c r="O236">
        <f t="shared" ca="1" si="41"/>
        <v>1859.68</v>
      </c>
      <c r="P236">
        <f t="shared" ca="1" si="42"/>
        <v>65928.570000000007</v>
      </c>
      <c r="Q236">
        <f t="shared" ca="1" si="43"/>
        <v>4</v>
      </c>
      <c r="R236">
        <f ca="1">((Tabla2[[#This Row],[Fantasma Comunicación]]+1)/(Tabla2[[#This Row],[Fantasma Comunicación]]+RANDBETWEEN(0,5)+2))-0.5</f>
        <v>0.2142857142857143</v>
      </c>
      <c r="S236" s="51">
        <f ca="1">1+MAX(0,Tabla2[[#This Row],[Deuda actual]]/Tabla2[[#This Row],[Liquidez]]+Tabla2[[#This Row],[Liquidez]]/(Tabla2[[#This Row],[Activos]]+Tabla2[[#This Row],[Liquidez]])+Tabla2[[#This Row],[Comunicación]])</f>
        <v>3.211402333406792</v>
      </c>
      <c r="T236">
        <f ca="1">Tabla2[[#This Row],[Deuda actual]]*EXP(Tabla2[[#This Row],[Ki]]*Tabla2[[#This Row],[diferencia de días]])*(1+Tabla2[[#This Row],[Hg]])</f>
        <v>3662.98</v>
      </c>
    </row>
    <row r="237" spans="1:20" ht="14.5" x14ac:dyDescent="0.35">
      <c r="A237" t="e">
        <f t="shared" si="33"/>
        <v>#VALUE!</v>
      </c>
      <c r="B237" s="21">
        <f t="shared" ca="1" si="34"/>
        <v>46131</v>
      </c>
      <c r="C237" s="21">
        <f t="shared" ca="1" si="35"/>
        <v>46157</v>
      </c>
      <c r="D237">
        <f t="shared" ca="1" si="36"/>
        <v>5</v>
      </c>
      <c r="E237">
        <f t="shared" ca="1" si="37"/>
        <v>0.47215041525953194</v>
      </c>
      <c r="F237" s="47">
        <f t="shared" ca="1" si="38"/>
        <v>311.82</v>
      </c>
      <c r="G237" s="32" t="str">
        <f t="shared" ca="1" si="39"/>
        <v>personal</v>
      </c>
      <c r="H23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37" t="str">
        <f t="shared" ca="1" si="40"/>
        <v>No</v>
      </c>
      <c r="J23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11999.284000505017</v>
      </c>
      <c r="K237" s="32" t="str">
        <f ca="1">IF(Tabla2[[#This Row],[¿cliente deuda abierta?]]="Sí", Tabla2[[#This Row],[Deuda actual]]*Tabla2[[#This Row],[diferencia de días]], "0")</f>
        <v>0</v>
      </c>
      <c r="L23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3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23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237">
        <f t="shared" ca="1" si="41"/>
        <v>1892.49</v>
      </c>
      <c r="P237">
        <f t="shared" ca="1" si="42"/>
        <v>74069.7</v>
      </c>
      <c r="Q237">
        <f t="shared" ca="1" si="43"/>
        <v>4</v>
      </c>
      <c r="R237">
        <f ca="1">((Tabla2[[#This Row],[Fantasma Comunicación]]+1)/(Tabla2[[#This Row],[Fantasma Comunicación]]+RANDBETWEEN(0,5)+2))-0.5</f>
        <v>0.125</v>
      </c>
      <c r="S237" s="51">
        <f ca="1">1+MAX(0,Tabla2[[#This Row],[Deuda actual]]/Tabla2[[#This Row],[Liquidez]]+Tabla2[[#This Row],[Liquidez]]/(Tabla2[[#This Row],[Activos]]+Tabla2[[#This Row],[Liquidez]])+Tabla2[[#This Row],[Comunicación]])</f>
        <v>1.3146806316462039</v>
      </c>
      <c r="T237">
        <f ca="1">Tabla2[[#This Row],[Deuda actual]]*EXP(Tabla2[[#This Row],[Ki]]*Tabla2[[#This Row],[diferencia de días]])*(1+Tabla2[[#This Row],[Hg]])</f>
        <v>280.9187783657847</v>
      </c>
    </row>
    <row r="238" spans="1:20" ht="14.5" x14ac:dyDescent="0.35">
      <c r="A238" t="e">
        <f t="shared" si="33"/>
        <v>#VALUE!</v>
      </c>
      <c r="B238" s="21">
        <f t="shared" ca="1" si="34"/>
        <v>46139</v>
      </c>
      <c r="C238" s="21">
        <f t="shared" ca="1" si="35"/>
        <v>46157</v>
      </c>
      <c r="D238">
        <f t="shared" ca="1" si="36"/>
        <v>17</v>
      </c>
      <c r="E238">
        <f t="shared" ca="1" si="37"/>
        <v>0.96095731692299202</v>
      </c>
      <c r="F238" s="47">
        <f t="shared" ca="1" si="38"/>
        <v>852.77</v>
      </c>
      <c r="G238" s="32" t="str">
        <f t="shared" ca="1" si="39"/>
        <v>hipotecario</v>
      </c>
      <c r="H23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238" t="str">
        <f t="shared" ca="1" si="40"/>
        <v>Sí</v>
      </c>
      <c r="J23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38" s="32">
        <f ca="1">IF(Tabla2[[#This Row],[¿cliente deuda abierta?]]="Sí", Tabla2[[#This Row],[Deuda actual]]*Tabla2[[#This Row],[diferencia de días]], "0")</f>
        <v>14497.09</v>
      </c>
      <c r="L23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3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3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38">
        <f t="shared" ca="1" si="41"/>
        <v>1526.33</v>
      </c>
      <c r="P238">
        <f t="shared" ca="1" si="42"/>
        <v>106713</v>
      </c>
      <c r="Q238">
        <f t="shared" ca="1" si="43"/>
        <v>4</v>
      </c>
      <c r="R238">
        <f ca="1">((Tabla2[[#This Row],[Fantasma Comunicación]]+1)/(Tabla2[[#This Row],[Fantasma Comunicación]]+RANDBETWEEN(0,5)+2))-0.5</f>
        <v>0</v>
      </c>
      <c r="S238" s="51">
        <f ca="1">1+MAX(0,Tabla2[[#This Row],[Deuda actual]]/Tabla2[[#This Row],[Liquidez]]+Tabla2[[#This Row],[Liquidez]]/(Tabla2[[#This Row],[Activos]]+Tabla2[[#This Row],[Liquidez]])+Tabla2[[#This Row],[Comunicación]])</f>
        <v>1.5728076137047322</v>
      </c>
      <c r="T238">
        <f ca="1">Tabla2[[#This Row],[Deuda actual]]*EXP(Tabla2[[#This Row],[Ki]]*Tabla2[[#This Row],[diferencia de días]])*(1+Tabla2[[#This Row],[Hg]])</f>
        <v>901.51802664858064</v>
      </c>
    </row>
    <row r="239" spans="1:20" ht="14.5" x14ac:dyDescent="0.35">
      <c r="A239" t="e">
        <f t="shared" si="33"/>
        <v>#VALUE!</v>
      </c>
      <c r="B239" s="21">
        <f t="shared" ca="1" si="34"/>
        <v>46135</v>
      </c>
      <c r="C239" s="21">
        <f t="shared" ca="1" si="35"/>
        <v>46157</v>
      </c>
      <c r="D239">
        <f t="shared" ca="1" si="36"/>
        <v>16</v>
      </c>
      <c r="E239">
        <f t="shared" ca="1" si="37"/>
        <v>0.77748948598694778</v>
      </c>
      <c r="F239" s="47">
        <f t="shared" ca="1" si="38"/>
        <v>1172.43</v>
      </c>
      <c r="G239" s="32" t="str">
        <f t="shared" ca="1" si="39"/>
        <v>personal</v>
      </c>
      <c r="H23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239" t="str">
        <f t="shared" ca="1" si="40"/>
        <v>Sí</v>
      </c>
      <c r="J23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39" s="32">
        <f ca="1">IF(Tabla2[[#This Row],[¿cliente deuda abierta?]]="Sí", Tabla2[[#This Row],[Deuda actual]]*Tabla2[[#This Row],[diferencia de días]], "0")</f>
        <v>18758.88</v>
      </c>
      <c r="L23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3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3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39">
        <f t="shared" ca="1" si="41"/>
        <v>1798.62</v>
      </c>
      <c r="P239">
        <f t="shared" ca="1" si="42"/>
        <v>225078.19</v>
      </c>
      <c r="Q239">
        <f t="shared" ca="1" si="43"/>
        <v>2</v>
      </c>
      <c r="R239">
        <f ca="1">((Tabla2[[#This Row],[Fantasma Comunicación]]+1)/(Tabla2[[#This Row],[Fantasma Comunicación]]+RANDBETWEEN(0,5)+2))-0.5</f>
        <v>-0.16666666666666669</v>
      </c>
      <c r="S239" s="51">
        <f ca="1">1+MAX(0,Tabla2[[#This Row],[Deuda actual]]/Tabla2[[#This Row],[Liquidez]]+Tabla2[[#This Row],[Liquidez]]/(Tabla2[[#This Row],[Activos]]+Tabla2[[#This Row],[Liquidez]])+Tabla2[[#This Row],[Comunicación]])</f>
        <v>1.4931108232151664</v>
      </c>
      <c r="T239">
        <f ca="1">Tabla2[[#This Row],[Deuda actual]]*EXP(Tabla2[[#This Row],[Ki]]*Tabla2[[#This Row],[diferencia de días]])*(1+Tabla2[[#This Row],[Hg]])</f>
        <v>1238.9554954063478</v>
      </c>
    </row>
    <row r="240" spans="1:20" ht="14.5" x14ac:dyDescent="0.35">
      <c r="A240" t="e">
        <f t="shared" si="33"/>
        <v>#VALUE!</v>
      </c>
      <c r="B240" s="21">
        <f t="shared" ca="1" si="34"/>
        <v>46134</v>
      </c>
      <c r="C240" s="21">
        <f t="shared" ca="1" si="35"/>
        <v>46157</v>
      </c>
      <c r="D240">
        <f t="shared" ca="1" si="36"/>
        <v>54</v>
      </c>
      <c r="E240">
        <f t="shared" ca="1" si="37"/>
        <v>0.48711824339059007</v>
      </c>
      <c r="F240" s="47">
        <f t="shared" ca="1" si="38"/>
        <v>3032.59</v>
      </c>
      <c r="G240" s="32" t="str">
        <f t="shared" ca="1" si="39"/>
        <v>personal</v>
      </c>
      <c r="H24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1.5E-3</v>
      </c>
      <c r="I240" t="str">
        <f t="shared" ca="1" si="40"/>
        <v>No</v>
      </c>
      <c r="J24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12000.795726258417</v>
      </c>
      <c r="K240" s="32" t="str">
        <f ca="1">IF(Tabla2[[#This Row],[¿cliente deuda abierta?]]="Sí", Tabla2[[#This Row],[Deuda actual]]*Tabla2[[#This Row],[diferencia de días]], "0")</f>
        <v>0</v>
      </c>
      <c r="L24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4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24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240">
        <f t="shared" ca="1" si="41"/>
        <v>1591.64</v>
      </c>
      <c r="P240">
        <f t="shared" ca="1" si="42"/>
        <v>211711.59</v>
      </c>
      <c r="Q240">
        <f t="shared" ca="1" si="43"/>
        <v>2</v>
      </c>
      <c r="R240">
        <f ca="1">((Tabla2[[#This Row],[Fantasma Comunicación]]+1)/(Tabla2[[#This Row],[Fantasma Comunicación]]+RANDBETWEEN(0,5)+2))-0.5</f>
        <v>-0.125</v>
      </c>
      <c r="S240" s="51">
        <f ca="1">1+MAX(0,Tabla2[[#This Row],[Deuda actual]]/Tabla2[[#This Row],[Liquidez]]+Tabla2[[#This Row],[Liquidez]]/(Tabla2[[#This Row],[Activos]]+Tabla2[[#This Row],[Liquidez]])+Tabla2[[#This Row],[Comunicación]])</f>
        <v>2.7877859336958095</v>
      </c>
      <c r="T240">
        <f ca="1">Tabla2[[#This Row],[Deuda actual]]*EXP(Tabla2[[#This Row],[Ki]]*Tabla2[[#This Row],[diferencia de días]])*(1+Tabla2[[#This Row],[Hg]])</f>
        <v>2959.607103497453</v>
      </c>
    </row>
    <row r="241" spans="1:20" ht="14.5" x14ac:dyDescent="0.35">
      <c r="A241" t="e">
        <f t="shared" si="33"/>
        <v>#VALUE!</v>
      </c>
      <c r="B241" s="21">
        <f t="shared" ca="1" si="34"/>
        <v>46135</v>
      </c>
      <c r="C241" s="21">
        <f t="shared" ca="1" si="35"/>
        <v>46157</v>
      </c>
      <c r="D241">
        <f t="shared" ca="1" si="36"/>
        <v>19</v>
      </c>
      <c r="E241">
        <f t="shared" ca="1" si="37"/>
        <v>0.13044209521851902</v>
      </c>
      <c r="F241" s="47">
        <f t="shared" ca="1" si="38"/>
        <v>1660.34</v>
      </c>
      <c r="G241" s="32" t="str">
        <f t="shared" ca="1" si="39"/>
        <v>hipotecario</v>
      </c>
      <c r="H24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241" t="str">
        <f t="shared" ca="1" si="40"/>
        <v>Sí</v>
      </c>
      <c r="J24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41" s="32">
        <f ca="1">IF(Tabla2[[#This Row],[¿cliente deuda abierta?]]="Sí", Tabla2[[#This Row],[Deuda actual]]*Tabla2[[#This Row],[diferencia de días]], "0")</f>
        <v>31546.46</v>
      </c>
      <c r="L24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24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41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241">
        <f t="shared" ca="1" si="41"/>
        <v>939.15</v>
      </c>
      <c r="P241">
        <f t="shared" ca="1" si="42"/>
        <v>148847.76999999999</v>
      </c>
      <c r="Q241">
        <f t="shared" ca="1" si="43"/>
        <v>5</v>
      </c>
      <c r="R241">
        <f ca="1">((Tabla2[[#This Row],[Fantasma Comunicación]]+1)/(Tabla2[[#This Row],[Fantasma Comunicación]]+RANDBETWEEN(0,5)+2))-0.5</f>
        <v>0.3571428571428571</v>
      </c>
      <c r="S241" s="51">
        <f ca="1">1+MAX(0,Tabla2[[#This Row],[Deuda actual]]/Tabla2[[#This Row],[Liquidez]]+Tabla2[[#This Row],[Liquidez]]/(Tabla2[[#This Row],[Activos]]+Tabla2[[#This Row],[Liquidez]])+Tabla2[[#This Row],[Comunicación]])</f>
        <v>3.1313305617630331</v>
      </c>
      <c r="T241">
        <f ca="1">Tabla2[[#This Row],[Deuda actual]]*EXP(Tabla2[[#This Row],[Ki]]*Tabla2[[#This Row],[diferencia de días]])*(1+Tabla2[[#This Row],[Hg]])</f>
        <v>1840.3073219577814</v>
      </c>
    </row>
    <row r="242" spans="1:20" ht="14.5" x14ac:dyDescent="0.35">
      <c r="A242" t="e">
        <f t="shared" si="33"/>
        <v>#VALUE!</v>
      </c>
      <c r="B242" s="21">
        <f t="shared" ca="1" si="34"/>
        <v>46114</v>
      </c>
      <c r="C242" s="21">
        <f t="shared" ca="1" si="35"/>
        <v>46157</v>
      </c>
      <c r="D242">
        <f t="shared" ca="1" si="36"/>
        <v>6</v>
      </c>
      <c r="E242">
        <f t="shared" ca="1" si="37"/>
        <v>0.50843020289230956</v>
      </c>
      <c r="F242" s="47">
        <f t="shared" ca="1" si="38"/>
        <v>213.28</v>
      </c>
      <c r="G242" s="32" t="str">
        <f t="shared" ca="1" si="39"/>
        <v>hipotecario</v>
      </c>
      <c r="H24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42" t="str">
        <f t="shared" ca="1" si="40"/>
        <v>No</v>
      </c>
      <c r="J24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165000.64690707935</v>
      </c>
      <c r="K242" s="32" t="str">
        <f ca="1">IF(Tabla2[[#This Row],[¿cliente deuda abierta?]]="Sí", Tabla2[[#This Row],[Deuda actual]]*Tabla2[[#This Row],[diferencia de días]], "0")</f>
        <v>0</v>
      </c>
      <c r="L24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4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24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242">
        <f t="shared" ca="1" si="41"/>
        <v>2507.71</v>
      </c>
      <c r="P242">
        <f t="shared" ca="1" si="42"/>
        <v>461815.3</v>
      </c>
      <c r="Q242">
        <f t="shared" ca="1" si="43"/>
        <v>0</v>
      </c>
      <c r="R242">
        <f ca="1">((Tabla2[[#This Row],[Fantasma Comunicación]]+1)/(Tabla2[[#This Row],[Fantasma Comunicación]]+RANDBETWEEN(0,5)+2))-0.5</f>
        <v>-0.33333333333333337</v>
      </c>
      <c r="S242" s="51">
        <f ca="1">1+MAX(0,Tabla2[[#This Row],[Deuda actual]]/Tabla2[[#This Row],[Liquidez]]+Tabla2[[#This Row],[Liquidez]]/(Tabla2[[#This Row],[Activos]]+Tabla2[[#This Row],[Liquidez]])+Tabla2[[#This Row],[Comunicación]])</f>
        <v>1</v>
      </c>
      <c r="T242">
        <f ca="1">Tabla2[[#This Row],[Deuda actual]]*EXP(Tabla2[[#This Row],[Ki]]*Tabla2[[#This Row],[diferencia de días]])*(1+Tabla2[[#This Row],[Hg]])</f>
        <v>170.82887169843445</v>
      </c>
    </row>
    <row r="243" spans="1:20" ht="14.5" x14ac:dyDescent="0.35">
      <c r="A243" t="e">
        <f t="shared" si="33"/>
        <v>#VALUE!</v>
      </c>
      <c r="B243" s="21">
        <f t="shared" ca="1" si="34"/>
        <v>46137</v>
      </c>
      <c r="C243" s="21">
        <f t="shared" ca="1" si="35"/>
        <v>46157</v>
      </c>
      <c r="D243">
        <f t="shared" ca="1" si="36"/>
        <v>59</v>
      </c>
      <c r="E243">
        <f t="shared" ca="1" si="37"/>
        <v>0.52704030106685817</v>
      </c>
      <c r="F243" s="47">
        <f t="shared" ca="1" si="38"/>
        <v>1215.79</v>
      </c>
      <c r="G243" s="32" t="str">
        <f t="shared" ca="1" si="39"/>
        <v>personal</v>
      </c>
      <c r="H24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1.5E-3</v>
      </c>
      <c r="I243" t="str">
        <f t="shared" ca="1" si="40"/>
        <v>Sí</v>
      </c>
      <c r="J24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43" s="32">
        <f ca="1">IF(Tabla2[[#This Row],[¿cliente deuda abierta?]]="Sí", Tabla2[[#This Row],[Deuda actual]]*Tabla2[[#This Row],[diferencia de días]], "0")</f>
        <v>71731.61</v>
      </c>
      <c r="L24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24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43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243">
        <f t="shared" ca="1" si="41"/>
        <v>1281.77</v>
      </c>
      <c r="P243">
        <f t="shared" ca="1" si="42"/>
        <v>44886.87</v>
      </c>
      <c r="Q243">
        <f t="shared" ca="1" si="43"/>
        <v>5</v>
      </c>
      <c r="R243">
        <f ca="1">((Tabla2[[#This Row],[Fantasma Comunicación]]+1)/(Tabla2[[#This Row],[Fantasma Comunicación]]+RANDBETWEEN(0,5)+2))-0.5</f>
        <v>0.16666666666666663</v>
      </c>
      <c r="S243" s="51">
        <f ca="1">1+MAX(0,Tabla2[[#This Row],[Deuda actual]]/Tabla2[[#This Row],[Liquidez]]+Tabla2[[#This Row],[Liquidez]]/(Tabla2[[#This Row],[Activos]]+Tabla2[[#This Row],[Liquidez]])+Tabla2[[#This Row],[Comunicación]])</f>
        <v>2.1429537573349497</v>
      </c>
      <c r="T243">
        <f ca="1">Tabla2[[#This Row],[Deuda actual]]*EXP(Tabla2[[#This Row],[Ki]]*Tabla2[[#This Row],[diferencia de días]])*(1+Tabla2[[#This Row],[Hg]])</f>
        <v>1527.5360518284886</v>
      </c>
    </row>
    <row r="244" spans="1:20" ht="14.5" x14ac:dyDescent="0.35">
      <c r="A244" t="e">
        <f t="shared" si="33"/>
        <v>#VALUE!</v>
      </c>
      <c r="B244" s="21">
        <f t="shared" ca="1" si="34"/>
        <v>46096</v>
      </c>
      <c r="C244" s="21">
        <f t="shared" ca="1" si="35"/>
        <v>46157</v>
      </c>
      <c r="D244">
        <f t="shared" ca="1" si="36"/>
        <v>26</v>
      </c>
      <c r="E244">
        <f t="shared" ca="1" si="37"/>
        <v>0.4884744131025901</v>
      </c>
      <c r="F244" s="47">
        <f t="shared" ca="1" si="38"/>
        <v>472.65</v>
      </c>
      <c r="G244" s="32" t="str">
        <f t="shared" ca="1" si="39"/>
        <v>hipotecario</v>
      </c>
      <c r="H24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244" t="str">
        <f t="shared" ca="1" si="40"/>
        <v>Sí</v>
      </c>
      <c r="J24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44" s="32">
        <f ca="1">IF(Tabla2[[#This Row],[¿cliente deuda abierta?]]="Sí", Tabla2[[#This Row],[Deuda actual]]*Tabla2[[#This Row],[diferencia de días]], "0")</f>
        <v>12288.9</v>
      </c>
      <c r="L24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4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4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44">
        <f t="shared" ca="1" si="41"/>
        <v>1620.73</v>
      </c>
      <c r="P244">
        <f t="shared" ca="1" si="42"/>
        <v>159115.85</v>
      </c>
      <c r="Q244">
        <f t="shared" ca="1" si="43"/>
        <v>4</v>
      </c>
      <c r="R244">
        <f ca="1">((Tabla2[[#This Row],[Fantasma Comunicación]]+1)/(Tabla2[[#This Row],[Fantasma Comunicación]]+RANDBETWEEN(0,5)+2))-0.5</f>
        <v>5.555555555555558E-2</v>
      </c>
      <c r="S244" s="51">
        <f ca="1">1+MAX(0,Tabla2[[#This Row],[Deuda actual]]/Tabla2[[#This Row],[Liquidez]]+Tabla2[[#This Row],[Liquidez]]/(Tabla2[[#This Row],[Activos]]+Tabla2[[#This Row],[Liquidez]])+Tabla2[[#This Row],[Comunicación]])</f>
        <v>1.3572665457551629</v>
      </c>
      <c r="T244">
        <f ca="1">Tabla2[[#This Row],[Deuda actual]]*EXP(Tabla2[[#This Row],[Ki]]*Tabla2[[#This Row],[diferencia de días]])*(1+Tabla2[[#This Row],[Hg]])</f>
        <v>501.47077024173217</v>
      </c>
    </row>
    <row r="245" spans="1:20" ht="14.5" x14ac:dyDescent="0.35">
      <c r="A245" t="e">
        <f t="shared" si="33"/>
        <v>#VALUE!</v>
      </c>
      <c r="B245" s="21">
        <f t="shared" ca="1" si="34"/>
        <v>46135</v>
      </c>
      <c r="C245" s="21">
        <f t="shared" ca="1" si="35"/>
        <v>46157</v>
      </c>
      <c r="D245">
        <f t="shared" ca="1" si="36"/>
        <v>2</v>
      </c>
      <c r="E245">
        <f t="shared" ca="1" si="37"/>
        <v>0.98706976856667128</v>
      </c>
      <c r="F245" s="47">
        <f t="shared" ca="1" si="38"/>
        <v>708.56</v>
      </c>
      <c r="G245" s="32" t="str">
        <f t="shared" ca="1" si="39"/>
        <v>personal</v>
      </c>
      <c r="H24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45" t="str">
        <f t="shared" ca="1" si="40"/>
        <v>Sí</v>
      </c>
      <c r="J24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45" s="32">
        <f ca="1">IF(Tabla2[[#This Row],[¿cliente deuda abierta?]]="Sí", Tabla2[[#This Row],[Deuda actual]]*Tabla2[[#This Row],[diferencia de días]], "0")</f>
        <v>1417.12</v>
      </c>
      <c r="L24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4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4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45">
        <f t="shared" ca="1" si="41"/>
        <v>2031.23</v>
      </c>
      <c r="P245">
        <f t="shared" ca="1" si="42"/>
        <v>158232.22</v>
      </c>
      <c r="Q245">
        <f t="shared" ca="1" si="43"/>
        <v>3</v>
      </c>
      <c r="R245">
        <f ca="1">((Tabla2[[#This Row],[Fantasma Comunicación]]+1)/(Tabla2[[#This Row],[Fantasma Comunicación]]+RANDBETWEEN(0,5)+2))-0.5</f>
        <v>0.30000000000000004</v>
      </c>
      <c r="S245" s="51">
        <f ca="1">1+MAX(0,Tabla2[[#This Row],[Deuda actual]]/Tabla2[[#This Row],[Liquidez]]+Tabla2[[#This Row],[Liquidez]]/(Tabla2[[#This Row],[Activos]]+Tabla2[[#This Row],[Liquidez]])+Tabla2[[#This Row],[Comunicación]])</f>
        <v>1.661507291567198</v>
      </c>
      <c r="T245">
        <f ca="1">Tabla2[[#This Row],[Deuda actual]]*EXP(Tabla2[[#This Row],[Ki]]*Tabla2[[#This Row],[diferencia de días]])*(1+Tabla2[[#This Row],[Hg]])</f>
        <v>744.28565472697676</v>
      </c>
    </row>
    <row r="246" spans="1:20" ht="14.5" x14ac:dyDescent="0.35">
      <c r="A246" t="e">
        <f t="shared" si="33"/>
        <v>#VALUE!</v>
      </c>
      <c r="B246" s="21">
        <f t="shared" ca="1" si="34"/>
        <v>46099</v>
      </c>
      <c r="C246" s="21">
        <f t="shared" ca="1" si="35"/>
        <v>46157</v>
      </c>
      <c r="D246">
        <f t="shared" ca="1" si="36"/>
        <v>2</v>
      </c>
      <c r="E246">
        <f t="shared" ca="1" si="37"/>
        <v>0.13334638249306197</v>
      </c>
      <c r="F246" s="47">
        <f t="shared" ca="1" si="38"/>
        <v>4832.92</v>
      </c>
      <c r="G246" s="32" t="str">
        <f t="shared" ca="1" si="39"/>
        <v>personal</v>
      </c>
      <c r="H24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46" t="str">
        <f t="shared" ca="1" si="40"/>
        <v>No</v>
      </c>
      <c r="J24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11999.740018964278</v>
      </c>
      <c r="K246" s="32" t="str">
        <f ca="1">IF(Tabla2[[#This Row],[¿cliente deuda abierta?]]="Sí", Tabla2[[#This Row],[Deuda actual]]*Tabla2[[#This Row],[diferencia de días]], "0")</f>
        <v>0</v>
      </c>
      <c r="L24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4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24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246">
        <f t="shared" ca="1" si="41"/>
        <v>1942.74</v>
      </c>
      <c r="P246">
        <f t="shared" ca="1" si="42"/>
        <v>311980.77</v>
      </c>
      <c r="Q246">
        <f t="shared" ca="1" si="43"/>
        <v>4</v>
      </c>
      <c r="R246">
        <f ca="1">((Tabla2[[#This Row],[Fantasma Comunicación]]+1)/(Tabla2[[#This Row],[Fantasma Comunicación]]+RANDBETWEEN(0,5)+2))-0.5</f>
        <v>0.33333333333333337</v>
      </c>
      <c r="S246" s="51">
        <f ca="1">1+MAX(0,Tabla2[[#This Row],[Deuda actual]]/Tabla2[[#This Row],[Liquidez]]+Tabla2[[#This Row],[Liquidez]]/(Tabla2[[#This Row],[Activos]]+Tabla2[[#This Row],[Liquidez]])+Tabla2[[#This Row],[Comunicación]])</f>
        <v>3.8272042564798339</v>
      </c>
      <c r="T246">
        <f ca="1">Tabla2[[#This Row],[Deuda actual]]*EXP(Tabla2[[#This Row],[Ki]]*Tabla2[[#This Row],[diferencia de días]])*(1+Tabla2[[#This Row],[Hg]])</f>
        <v>4351.3681992166412</v>
      </c>
    </row>
    <row r="247" spans="1:20" ht="14.5" x14ac:dyDescent="0.35">
      <c r="A247" t="e">
        <f t="shared" si="33"/>
        <v>#VALUE!</v>
      </c>
      <c r="B247" s="21">
        <f t="shared" ca="1" si="34"/>
        <v>46132</v>
      </c>
      <c r="C247" s="21">
        <f t="shared" ca="1" si="35"/>
        <v>46157</v>
      </c>
      <c r="D247">
        <f t="shared" ca="1" si="36"/>
        <v>3</v>
      </c>
      <c r="E247">
        <f t="shared" ca="1" si="37"/>
        <v>0.53093088306944569</v>
      </c>
      <c r="F247" s="47">
        <f t="shared" ca="1" si="38"/>
        <v>5584.94</v>
      </c>
      <c r="G247" s="32" t="str">
        <f t="shared" ca="1" si="39"/>
        <v>hipotecario</v>
      </c>
      <c r="H24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47" t="str">
        <f t="shared" ca="1" si="40"/>
        <v>Sí</v>
      </c>
      <c r="J24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47" s="32">
        <f ca="1">IF(Tabla2[[#This Row],[¿cliente deuda abierta?]]="Sí", Tabla2[[#This Row],[Deuda actual]]*Tabla2[[#This Row],[diferencia de días]], "0")</f>
        <v>16754.82</v>
      </c>
      <c r="L24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4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4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47">
        <f t="shared" ca="1" si="41"/>
        <v>1956.29</v>
      </c>
      <c r="P247">
        <f t="shared" ca="1" si="42"/>
        <v>81815.5</v>
      </c>
      <c r="Q247">
        <f t="shared" ca="1" si="43"/>
        <v>2</v>
      </c>
      <c r="R247">
        <f ca="1">((Tabla2[[#This Row],[Fantasma Comunicación]]+1)/(Tabla2[[#This Row],[Fantasma Comunicación]]+RANDBETWEEN(0,5)+2))-0.5</f>
        <v>-7.1428571428571452E-2</v>
      </c>
      <c r="S247" s="51">
        <f ca="1">1+MAX(0,Tabla2[[#This Row],[Deuda actual]]/Tabla2[[#This Row],[Liquidez]]+Tabla2[[#This Row],[Liquidez]]/(Tabla2[[#This Row],[Activos]]+Tabla2[[#This Row],[Liquidez]])+Tabla2[[#This Row],[Comunicación]])</f>
        <v>3.8067870708318785</v>
      </c>
      <c r="T247">
        <f ca="1">Tabla2[[#This Row],[Deuda actual]]*EXP(Tabla2[[#This Row],[Ki]]*Tabla2[[#This Row],[diferencia de días]])*(1+Tabla2[[#This Row],[Hg]])</f>
        <v>5867.7065679648022</v>
      </c>
    </row>
    <row r="248" spans="1:20" ht="14.5" x14ac:dyDescent="0.35">
      <c r="A248" t="e">
        <f t="shared" si="33"/>
        <v>#VALUE!</v>
      </c>
      <c r="B248" s="21">
        <f t="shared" ca="1" si="34"/>
        <v>46139</v>
      </c>
      <c r="C248" s="21">
        <f t="shared" ca="1" si="35"/>
        <v>46157</v>
      </c>
      <c r="D248">
        <f t="shared" ca="1" si="36"/>
        <v>11</v>
      </c>
      <c r="E248">
        <f t="shared" ca="1" si="37"/>
        <v>0.77264650454106532</v>
      </c>
      <c r="F248" s="47">
        <f t="shared" ca="1" si="38"/>
        <v>118.57</v>
      </c>
      <c r="G248" s="32" t="str">
        <f t="shared" ca="1" si="39"/>
        <v>personal</v>
      </c>
      <c r="H24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48" t="str">
        <f t="shared" ca="1" si="40"/>
        <v>No</v>
      </c>
      <c r="J24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12000.645254640953</v>
      </c>
      <c r="K248" s="32" t="str">
        <f ca="1">IF(Tabla2[[#This Row],[¿cliente deuda abierta?]]="Sí", Tabla2[[#This Row],[Deuda actual]]*Tabla2[[#This Row],[diferencia de días]], "0")</f>
        <v>0</v>
      </c>
      <c r="L24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4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24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248">
        <f t="shared" ca="1" si="41"/>
        <v>2043.24</v>
      </c>
      <c r="P248">
        <f t="shared" ca="1" si="42"/>
        <v>119023.39</v>
      </c>
      <c r="Q248">
        <f t="shared" ca="1" si="43"/>
        <v>2</v>
      </c>
      <c r="R248">
        <f ca="1">((Tabla2[[#This Row],[Fantasma Comunicación]]+1)/(Tabla2[[#This Row],[Fantasma Comunicación]]+RANDBETWEEN(0,5)+2))-0.5</f>
        <v>0.25</v>
      </c>
      <c r="S248" s="51">
        <f ca="1">1+MAX(0,Tabla2[[#This Row],[Deuda actual]]/Tabla2[[#This Row],[Liquidez]]+Tabla2[[#This Row],[Liquidez]]/(Tabla2[[#This Row],[Activos]]+Tabla2[[#This Row],[Liquidez]])+Tabla2[[#This Row],[Comunicación]])</f>
        <v>1.3249073706072871</v>
      </c>
      <c r="T248">
        <f ca="1">Tabla2[[#This Row],[Deuda actual]]*EXP(Tabla2[[#This Row],[Ki]]*Tabla2[[#This Row],[diferencia de días]])*(1+Tabla2[[#This Row],[Hg]])</f>
        <v>106.94802703494419</v>
      </c>
    </row>
    <row r="249" spans="1:20" ht="14.5" x14ac:dyDescent="0.35">
      <c r="A249" t="e">
        <f t="shared" si="33"/>
        <v>#VALUE!</v>
      </c>
      <c r="B249" s="21">
        <f t="shared" ca="1" si="34"/>
        <v>46099</v>
      </c>
      <c r="C249" s="21">
        <f t="shared" ca="1" si="35"/>
        <v>46157</v>
      </c>
      <c r="D249">
        <f t="shared" ca="1" si="36"/>
        <v>6</v>
      </c>
      <c r="E249">
        <f t="shared" ca="1" si="37"/>
        <v>0.89060735969570026</v>
      </c>
      <c r="F249" s="47">
        <f t="shared" ca="1" si="38"/>
        <v>1351.06</v>
      </c>
      <c r="G249" s="32" t="str">
        <f t="shared" ca="1" si="39"/>
        <v>personal</v>
      </c>
      <c r="H24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49" t="str">
        <f t="shared" ca="1" si="40"/>
        <v>No</v>
      </c>
      <c r="J24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11999.868521431481</v>
      </c>
      <c r="K249" s="32" t="str">
        <f ca="1">IF(Tabla2[[#This Row],[¿cliente deuda abierta?]]="Sí", Tabla2[[#This Row],[Deuda actual]]*Tabla2[[#This Row],[diferencia de días]], "0")</f>
        <v>0</v>
      </c>
      <c r="L24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4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24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249">
        <f t="shared" ca="1" si="41"/>
        <v>1534.38</v>
      </c>
      <c r="P249">
        <f t="shared" ca="1" si="42"/>
        <v>148303.01999999999</v>
      </c>
      <c r="Q249">
        <f t="shared" ca="1" si="43"/>
        <v>3</v>
      </c>
      <c r="R249">
        <f ca="1">((Tabla2[[#This Row],[Fantasma Comunicación]]+1)/(Tabla2[[#This Row],[Fantasma Comunicación]]+RANDBETWEEN(0,5)+2))-0.5</f>
        <v>0.16666666666666663</v>
      </c>
      <c r="S249" s="51">
        <f ca="1">1+MAX(0,Tabla2[[#This Row],[Deuda actual]]/Tabla2[[#This Row],[Liquidez]]+Tabla2[[#This Row],[Liquidez]]/(Tabla2[[#This Row],[Activos]]+Tabla2[[#This Row],[Liquidez]])+Tabla2[[#This Row],[Comunicación]])</f>
        <v>2.0574320000647095</v>
      </c>
      <c r="T249">
        <f ca="1">Tabla2[[#This Row],[Deuda actual]]*EXP(Tabla2[[#This Row],[Ki]]*Tabla2[[#This Row],[diferencia de días]])*(1+Tabla2[[#This Row],[Hg]])</f>
        <v>1217.4140206371799</v>
      </c>
    </row>
    <row r="250" spans="1:20" ht="14.5" x14ac:dyDescent="0.35">
      <c r="A250" t="e">
        <f t="shared" si="33"/>
        <v>#VALUE!</v>
      </c>
      <c r="B250" s="21">
        <f t="shared" ca="1" si="34"/>
        <v>46115</v>
      </c>
      <c r="C250" s="21">
        <f t="shared" ca="1" si="35"/>
        <v>46157</v>
      </c>
      <c r="D250">
        <f t="shared" ca="1" si="36"/>
        <v>19</v>
      </c>
      <c r="E250">
        <f t="shared" ca="1" si="37"/>
        <v>0.70696725469732946</v>
      </c>
      <c r="F250" s="47">
        <f t="shared" ca="1" si="38"/>
        <v>885.16</v>
      </c>
      <c r="G250" s="32" t="str">
        <f t="shared" ca="1" si="39"/>
        <v>personal</v>
      </c>
      <c r="H25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250" t="str">
        <f t="shared" ca="1" si="40"/>
        <v>Sí</v>
      </c>
      <c r="J25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50" s="32">
        <f ca="1">IF(Tabla2[[#This Row],[¿cliente deuda abierta?]]="Sí", Tabla2[[#This Row],[Deuda actual]]*Tabla2[[#This Row],[diferencia de días]], "0")</f>
        <v>16818.04</v>
      </c>
      <c r="L25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5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5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50">
        <f t="shared" ca="1" si="41"/>
        <v>2380.6999999999998</v>
      </c>
      <c r="P250">
        <f t="shared" ca="1" si="42"/>
        <v>92074.36</v>
      </c>
      <c r="Q250">
        <f t="shared" ca="1" si="43"/>
        <v>3</v>
      </c>
      <c r="R250">
        <f ca="1">((Tabla2[[#This Row],[Fantasma Comunicación]]+1)/(Tabla2[[#This Row],[Fantasma Comunicación]]+RANDBETWEEN(0,5)+2))-0.5</f>
        <v>0.30000000000000004</v>
      </c>
      <c r="S250" s="51">
        <f ca="1">1+MAX(0,Tabla2[[#This Row],[Deuda actual]]/Tabla2[[#This Row],[Liquidez]]+Tabla2[[#This Row],[Liquidez]]/(Tabla2[[#This Row],[Activos]]+Tabla2[[#This Row],[Liquidez]])+Tabla2[[#This Row],[Comunicación]])</f>
        <v>1.6970111902708713</v>
      </c>
      <c r="T250">
        <f ca="1">Tabla2[[#This Row],[Deuda actual]]*EXP(Tabla2[[#This Row],[Ki]]*Tabla2[[#This Row],[diferencia de días]])*(1+Tabla2[[#This Row],[Hg]])</f>
        <v>936.50848651993363</v>
      </c>
    </row>
    <row r="251" spans="1:20" ht="14.5" x14ac:dyDescent="0.35">
      <c r="A251" t="e">
        <f t="shared" si="33"/>
        <v>#VALUE!</v>
      </c>
      <c r="B251" s="21">
        <f t="shared" ca="1" si="34"/>
        <v>46087</v>
      </c>
      <c r="C251" s="21">
        <f t="shared" ca="1" si="35"/>
        <v>46157</v>
      </c>
      <c r="D251">
        <f t="shared" ca="1" si="36"/>
        <v>8</v>
      </c>
      <c r="E251">
        <f t="shared" ca="1" si="37"/>
        <v>0.10575428365600092</v>
      </c>
      <c r="F251" s="47">
        <f t="shared" ca="1" si="38"/>
        <v>1604.17</v>
      </c>
      <c r="G251" s="32" t="str">
        <f t="shared" ca="1" si="39"/>
        <v>hipotecario</v>
      </c>
      <c r="H25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51" t="str">
        <f t="shared" ca="1" si="40"/>
        <v>No</v>
      </c>
      <c r="J25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164999.69700107275</v>
      </c>
      <c r="K251" s="32" t="str">
        <f ca="1">IF(Tabla2[[#This Row],[¿cliente deuda abierta?]]="Sí", Tabla2[[#This Row],[Deuda actual]]*Tabla2[[#This Row],[diferencia de días]], "0")</f>
        <v>0</v>
      </c>
      <c r="L25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5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25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251">
        <f t="shared" ca="1" si="41"/>
        <v>2525.83</v>
      </c>
      <c r="P251">
        <f t="shared" ca="1" si="42"/>
        <v>45812.97</v>
      </c>
      <c r="Q251">
        <f t="shared" ca="1" si="43"/>
        <v>5</v>
      </c>
      <c r="R251">
        <f ca="1">((Tabla2[[#This Row],[Fantasma Comunicación]]+1)/(Tabla2[[#This Row],[Fantasma Comunicación]]+RANDBETWEEN(0,5)+2))-0.5</f>
        <v>0</v>
      </c>
      <c r="S251" s="51">
        <f ca="1">1+MAX(0,Tabla2[[#This Row],[Deuda actual]]/Tabla2[[#This Row],[Liquidez]]+Tabla2[[#This Row],[Liquidez]]/(Tabla2[[#This Row],[Activos]]+Tabla2[[#This Row],[Liquidez]])+Tabla2[[#This Row],[Comunicación]])</f>
        <v>1.6873587257108966</v>
      </c>
      <c r="T251">
        <f ca="1">Tabla2[[#This Row],[Deuda actual]]*EXP(Tabla2[[#This Row],[Ki]]*Tabla2[[#This Row],[diferencia de días]])*(1+Tabla2[[#This Row],[Hg]])</f>
        <v>1285.3909811465212</v>
      </c>
    </row>
    <row r="252" spans="1:20" ht="14.5" x14ac:dyDescent="0.35">
      <c r="A252" t="e">
        <f t="shared" si="33"/>
        <v>#VALUE!</v>
      </c>
      <c r="B252" s="21">
        <f t="shared" ca="1" si="34"/>
        <v>46125</v>
      </c>
      <c r="C252" s="21">
        <f t="shared" ca="1" si="35"/>
        <v>46157</v>
      </c>
      <c r="D252">
        <f t="shared" ca="1" si="36"/>
        <v>13</v>
      </c>
      <c r="E252">
        <f t="shared" ca="1" si="37"/>
        <v>0.77156401691516874</v>
      </c>
      <c r="F252" s="47">
        <f t="shared" ca="1" si="38"/>
        <v>2628.3</v>
      </c>
      <c r="G252" s="32" t="str">
        <f t="shared" ca="1" si="39"/>
        <v>personal</v>
      </c>
      <c r="H25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52" t="str">
        <f t="shared" ca="1" si="40"/>
        <v>Sí</v>
      </c>
      <c r="J25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52" s="32">
        <f ca="1">IF(Tabla2[[#This Row],[¿cliente deuda abierta?]]="Sí", Tabla2[[#This Row],[Deuda actual]]*Tabla2[[#This Row],[diferencia de días]], "0")</f>
        <v>34167.9</v>
      </c>
      <c r="L25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25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52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252">
        <f t="shared" ca="1" si="41"/>
        <v>2164.71</v>
      </c>
      <c r="P252">
        <f t="shared" ca="1" si="42"/>
        <v>139007.57</v>
      </c>
      <c r="Q252">
        <f t="shared" ca="1" si="43"/>
        <v>4</v>
      </c>
      <c r="R252">
        <f ca="1">((Tabla2[[#This Row],[Fantasma Comunicación]]+1)/(Tabla2[[#This Row],[Fantasma Comunicación]]+RANDBETWEEN(0,5)+2))-0.5</f>
        <v>0.33333333333333337</v>
      </c>
      <c r="S252" s="51">
        <f ca="1">1+MAX(0,Tabla2[[#This Row],[Deuda actual]]/Tabla2[[#This Row],[Liquidez]]+Tabla2[[#This Row],[Liquidez]]/(Tabla2[[#This Row],[Activos]]+Tabla2[[#This Row],[Liquidez]])+Tabla2[[#This Row],[Comunicación]])</f>
        <v>2.5628251675394056</v>
      </c>
      <c r="T252">
        <f ca="1">Tabla2[[#This Row],[Deuda actual]]*EXP(Tabla2[[#This Row],[Ki]]*Tabla2[[#This Row],[diferencia de días]])*(1+Tabla2[[#This Row],[Hg]])</f>
        <v>2898.6567184939918</v>
      </c>
    </row>
    <row r="253" spans="1:20" ht="14.5" x14ac:dyDescent="0.35">
      <c r="A253" t="e">
        <f t="shared" si="33"/>
        <v>#VALUE!</v>
      </c>
      <c r="B253" s="21">
        <f t="shared" ca="1" si="34"/>
        <v>46088</v>
      </c>
      <c r="C253" s="21">
        <f t="shared" ca="1" si="35"/>
        <v>46157</v>
      </c>
      <c r="D253">
        <f t="shared" ca="1" si="36"/>
        <v>6</v>
      </c>
      <c r="E253">
        <f t="shared" ca="1" si="37"/>
        <v>0.60196908916581826</v>
      </c>
      <c r="F253" s="47">
        <f t="shared" ca="1" si="38"/>
        <v>1023.4</v>
      </c>
      <c r="G253" s="32" t="str">
        <f t="shared" ca="1" si="39"/>
        <v>personal</v>
      </c>
      <c r="H25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53" t="str">
        <f t="shared" ca="1" si="40"/>
        <v>Sí</v>
      </c>
      <c r="J25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53" s="32">
        <f ca="1">IF(Tabla2[[#This Row],[¿cliente deuda abierta?]]="Sí", Tabla2[[#This Row],[Deuda actual]]*Tabla2[[#This Row],[diferencia de días]], "0")</f>
        <v>6140.4</v>
      </c>
      <c r="L25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5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5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53">
        <f t="shared" ca="1" si="41"/>
        <v>1486.24</v>
      </c>
      <c r="P253">
        <f t="shared" ca="1" si="42"/>
        <v>101351.48</v>
      </c>
      <c r="Q253">
        <f t="shared" ca="1" si="43"/>
        <v>5</v>
      </c>
      <c r="R253">
        <f ca="1">((Tabla2[[#This Row],[Fantasma Comunicación]]+1)/(Tabla2[[#This Row],[Fantasma Comunicación]]+RANDBETWEEN(0,5)+2))-0.5</f>
        <v>0.25</v>
      </c>
      <c r="S253" s="51">
        <f ca="1">1+MAX(0,Tabla2[[#This Row],[Deuda actual]]/Tabla2[[#This Row],[Liquidez]]+Tabla2[[#This Row],[Liquidez]]/(Tabla2[[#This Row],[Activos]]+Tabla2[[#This Row],[Liquidez]])+Tabla2[[#This Row],[Comunicación]])</f>
        <v>1.9530355551636776</v>
      </c>
      <c r="T253">
        <f ca="1">Tabla2[[#This Row],[Deuda actual]]*EXP(Tabla2[[#This Row],[Ki]]*Tabla2[[#This Row],[diferencia de días]])*(1+Tabla2[[#This Row],[Hg]])</f>
        <v>1075.860257999969</v>
      </c>
    </row>
    <row r="254" spans="1:20" ht="14.5" x14ac:dyDescent="0.35">
      <c r="A254" t="e">
        <f t="shared" si="33"/>
        <v>#VALUE!</v>
      </c>
      <c r="B254" s="21">
        <f t="shared" ca="1" si="34"/>
        <v>46125</v>
      </c>
      <c r="C254" s="21">
        <f t="shared" ca="1" si="35"/>
        <v>46157</v>
      </c>
      <c r="D254">
        <f t="shared" ca="1" si="36"/>
        <v>1</v>
      </c>
      <c r="E254">
        <f t="shared" ca="1" si="37"/>
        <v>0.5969971092969647</v>
      </c>
      <c r="F254" s="47">
        <f t="shared" ca="1" si="38"/>
        <v>205.03</v>
      </c>
      <c r="G254" s="32" t="str">
        <f t="shared" ca="1" si="39"/>
        <v>hipotecario</v>
      </c>
      <c r="H25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54" t="str">
        <f t="shared" ca="1" si="40"/>
        <v>No</v>
      </c>
      <c r="J25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164999.74110240943</v>
      </c>
      <c r="K254" s="32" t="str">
        <f ca="1">IF(Tabla2[[#This Row],[¿cliente deuda abierta?]]="Sí", Tabla2[[#This Row],[Deuda actual]]*Tabla2[[#This Row],[diferencia de días]], "0")</f>
        <v>0</v>
      </c>
      <c r="L25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5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25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254">
        <f t="shared" ca="1" si="41"/>
        <v>1759.68</v>
      </c>
      <c r="P254">
        <f t="shared" ca="1" si="42"/>
        <v>250894.5</v>
      </c>
      <c r="Q254">
        <f t="shared" ca="1" si="43"/>
        <v>2</v>
      </c>
      <c r="R254">
        <f ca="1">((Tabla2[[#This Row],[Fantasma Comunicación]]+1)/(Tabla2[[#This Row],[Fantasma Comunicación]]+RANDBETWEEN(0,5)+2))-0.5</f>
        <v>0.25</v>
      </c>
      <c r="S254" s="51">
        <f ca="1">1+MAX(0,Tabla2[[#This Row],[Deuda actual]]/Tabla2[[#This Row],[Liquidez]]+Tabla2[[#This Row],[Liquidez]]/(Tabla2[[#This Row],[Activos]]+Tabla2[[#This Row],[Liquidez]])+Tabla2[[#This Row],[Comunicación]])</f>
        <v>1.3734802797323398</v>
      </c>
      <c r="T254">
        <f ca="1">Tabla2[[#This Row],[Deuda actual]]*EXP(Tabla2[[#This Row],[Ki]]*Tabla2[[#This Row],[diferencia de días]])*(1+Tabla2[[#This Row],[Hg]])</f>
        <v>164.05680808069872</v>
      </c>
    </row>
    <row r="255" spans="1:20" ht="14.5" x14ac:dyDescent="0.35">
      <c r="A255" t="e">
        <f t="shared" si="33"/>
        <v>#VALUE!</v>
      </c>
      <c r="B255" s="21">
        <f t="shared" ca="1" si="34"/>
        <v>46142</v>
      </c>
      <c r="C255" s="21">
        <f t="shared" ca="1" si="35"/>
        <v>46157</v>
      </c>
      <c r="D255">
        <f t="shared" ca="1" si="36"/>
        <v>13</v>
      </c>
      <c r="E255">
        <f t="shared" ca="1" si="37"/>
        <v>0.91291206857805574</v>
      </c>
      <c r="F255" s="47">
        <f t="shared" ca="1" si="38"/>
        <v>188.08</v>
      </c>
      <c r="G255" s="32" t="str">
        <f t="shared" ca="1" si="39"/>
        <v>hipotecario</v>
      </c>
      <c r="H25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55" t="str">
        <f t="shared" ca="1" si="40"/>
        <v>Sí</v>
      </c>
      <c r="J25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55" s="32">
        <f ca="1">IF(Tabla2[[#This Row],[¿cliente deuda abierta?]]="Sí", Tabla2[[#This Row],[Deuda actual]]*Tabla2[[#This Row],[diferencia de días]], "0")</f>
        <v>2445.04</v>
      </c>
      <c r="L25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5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5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55">
        <f t="shared" ca="1" si="41"/>
        <v>1785.22</v>
      </c>
      <c r="P255">
        <f t="shared" ca="1" si="42"/>
        <v>367128.7</v>
      </c>
      <c r="Q255">
        <f t="shared" ca="1" si="43"/>
        <v>2</v>
      </c>
      <c r="R255">
        <f ca="1">((Tabla2[[#This Row],[Fantasma Comunicación]]+1)/(Tabla2[[#This Row],[Fantasma Comunicación]]+RANDBETWEEN(0,5)+2))-0.5</f>
        <v>-7.1428571428571452E-2</v>
      </c>
      <c r="S255" s="51">
        <f ca="1">1+MAX(0,Tabla2[[#This Row],[Deuda actual]]/Tabla2[[#This Row],[Liquidez]]+Tabla2[[#This Row],[Liquidez]]/(Tabla2[[#This Row],[Activos]]+Tabla2[[#This Row],[Liquidez]])+Tabla2[[#This Row],[Comunicación]])</f>
        <v>1.0387645139945705</v>
      </c>
      <c r="T255">
        <f ca="1">Tabla2[[#This Row],[Deuda actual]]*EXP(Tabla2[[#This Row],[Ki]]*Tabla2[[#This Row],[diferencia de días]])*(1+Tabla2[[#This Row],[Hg]])</f>
        <v>197.99812647479271</v>
      </c>
    </row>
    <row r="256" spans="1:20" ht="14.5" x14ac:dyDescent="0.35">
      <c r="A256" t="e">
        <f t="shared" si="33"/>
        <v>#VALUE!</v>
      </c>
      <c r="B256" s="21">
        <f t="shared" ca="1" si="34"/>
        <v>46131</v>
      </c>
      <c r="C256" s="21">
        <f t="shared" ca="1" si="35"/>
        <v>46157</v>
      </c>
      <c r="D256">
        <f t="shared" ca="1" si="36"/>
        <v>0</v>
      </c>
      <c r="E256">
        <f t="shared" ca="1" si="37"/>
        <v>0.90043491616052229</v>
      </c>
      <c r="F256" s="47">
        <f t="shared" ca="1" si="38"/>
        <v>1240.3</v>
      </c>
      <c r="G256" s="32" t="str">
        <f t="shared" ca="1" si="39"/>
        <v>personal</v>
      </c>
      <c r="H25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56" t="str">
        <f t="shared" ca="1" si="40"/>
        <v>Sí</v>
      </c>
      <c r="J25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56" s="32">
        <f ca="1">IF(Tabla2[[#This Row],[¿cliente deuda abierta?]]="Sí", Tabla2[[#This Row],[Deuda actual]]*Tabla2[[#This Row],[diferencia de días]], "0")</f>
        <v>0</v>
      </c>
      <c r="L25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5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56" s="32">
        <f ca="1">MAX(Tabla2[[#This Row],[VALORES DE Hg para actuales deudores]:[Valores de HG para deudores cerrados]])*IF(Tabla2[[#This Row],[VALORES DE Hg para actuales deudores]]&gt;Tabla2[[#This Row],[Valores de HG para deudores cerrados]],-1,1)</f>
        <v>0</v>
      </c>
      <c r="O256">
        <f t="shared" ca="1" si="41"/>
        <v>1696.72</v>
      </c>
      <c r="P256">
        <f t="shared" ca="1" si="42"/>
        <v>51036.6</v>
      </c>
      <c r="Q256">
        <f t="shared" ca="1" si="43"/>
        <v>0</v>
      </c>
      <c r="R256">
        <f ca="1">((Tabla2[[#This Row],[Fantasma Comunicación]]+1)/(Tabla2[[#This Row],[Fantasma Comunicación]]+RANDBETWEEN(0,5)+2))-0.5</f>
        <v>0</v>
      </c>
      <c r="S256" s="51">
        <f ca="1">1+MAX(0,Tabla2[[#This Row],[Deuda actual]]/Tabla2[[#This Row],[Liquidez]]+Tabla2[[#This Row],[Liquidez]]/(Tabla2[[#This Row],[Activos]]+Tabla2[[#This Row],[Liquidez]])+Tabla2[[#This Row],[Comunicación]])</f>
        <v>1.7631741148747802</v>
      </c>
      <c r="T256">
        <f ca="1">Tabla2[[#This Row],[Deuda actual]]*EXP(Tabla2[[#This Row],[Ki]]*Tabla2[[#This Row],[diferencia de días]])*(1+Tabla2[[#This Row],[Hg]])</f>
        <v>1240.3</v>
      </c>
    </row>
    <row r="257" spans="1:20" ht="14.5" x14ac:dyDescent="0.35">
      <c r="A257" t="e">
        <f t="shared" si="33"/>
        <v>#VALUE!</v>
      </c>
      <c r="B257" s="21">
        <f t="shared" ca="1" si="34"/>
        <v>46132</v>
      </c>
      <c r="C257" s="21">
        <f t="shared" ca="1" si="35"/>
        <v>46157</v>
      </c>
      <c r="D257">
        <f t="shared" ca="1" si="36"/>
        <v>6</v>
      </c>
      <c r="E257">
        <f t="shared" ca="1" si="37"/>
        <v>7.8125488867798798E-2</v>
      </c>
      <c r="F257" s="47">
        <f t="shared" ca="1" si="38"/>
        <v>285.76</v>
      </c>
      <c r="G257" s="32" t="str">
        <f t="shared" ca="1" si="39"/>
        <v>hipotecario</v>
      </c>
      <c r="H25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57" t="str">
        <f t="shared" ca="1" si="40"/>
        <v>Sí</v>
      </c>
      <c r="J25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57" s="32">
        <f ca="1">IF(Tabla2[[#This Row],[¿cliente deuda abierta?]]="Sí", Tabla2[[#This Row],[Deuda actual]]*Tabla2[[#This Row],[diferencia de días]], "0")</f>
        <v>1714.56</v>
      </c>
      <c r="L25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5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5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57">
        <f t="shared" ca="1" si="41"/>
        <v>1765.24</v>
      </c>
      <c r="P257">
        <f t="shared" ca="1" si="42"/>
        <v>96581.32</v>
      </c>
      <c r="Q257">
        <f t="shared" ca="1" si="43"/>
        <v>0</v>
      </c>
      <c r="R257">
        <f ca="1">((Tabla2[[#This Row],[Fantasma Comunicación]]+1)/(Tabla2[[#This Row],[Fantasma Comunicación]]+RANDBETWEEN(0,5)+2))-0.5</f>
        <v>-0.33333333333333337</v>
      </c>
      <c r="S257" s="51">
        <f ca="1">1+MAX(0,Tabla2[[#This Row],[Deuda actual]]/Tabla2[[#This Row],[Liquidez]]+Tabla2[[#This Row],[Liquidez]]/(Tabla2[[#This Row],[Activos]]+Tabla2[[#This Row],[Liquidez]])+Tabla2[[#This Row],[Comunicación]])</f>
        <v>1</v>
      </c>
      <c r="T257">
        <f ca="1">Tabla2[[#This Row],[Deuda actual]]*EXP(Tabla2[[#This Row],[Ki]]*Tabla2[[#This Row],[diferencia de días]])*(1+Tabla2[[#This Row],[Hg]])</f>
        <v>300.40827372099977</v>
      </c>
    </row>
    <row r="258" spans="1:20" ht="14.5" x14ac:dyDescent="0.35">
      <c r="A258" t="e">
        <f t="shared" ref="A258:A321" si="44">A257+1</f>
        <v>#VALUE!</v>
      </c>
      <c r="B258" s="21">
        <f t="shared" ref="B258:B321" ca="1" si="45">RANDBETWEEN(DATE(2026,3,1), DATE(2026,5,1))</f>
        <v>46142</v>
      </c>
      <c r="C258" s="21">
        <f t="shared" ref="C258:C321" ca="1" si="46">TODAY()</f>
        <v>46157</v>
      </c>
      <c r="D258">
        <f t="shared" ref="D258:D321" ca="1" si="47">ROUND((-(15) * LN(RAND())),0)</f>
        <v>4</v>
      </c>
      <c r="E258">
        <f t="shared" ref="E258:E321" ca="1" si="48">RAND()</f>
        <v>0.46924657006532233</v>
      </c>
      <c r="F258" s="47">
        <f t="shared" ref="F258:F321" ca="1" si="49">ROUND(MIN(10000, _xlfn.LOGNORM.INV(RAND(), 69/10, 13/10)),2)</f>
        <v>18.559999999999999</v>
      </c>
      <c r="G258" s="32" t="str">
        <f t="shared" ref="G258:G321" ca="1" si="50">IF(RAND()&lt;=0.5,"personal","hipotecario")</f>
        <v>personal</v>
      </c>
      <c r="H25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58" t="str">
        <f t="shared" ref="I258:I321" ca="1" si="51">IF(RAND()&lt;=0.65, "Sí", "No")</f>
        <v>Sí</v>
      </c>
      <c r="J25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58" s="32">
        <f ca="1">IF(Tabla2[[#This Row],[¿cliente deuda abierta?]]="Sí", Tabla2[[#This Row],[Deuda actual]]*Tabla2[[#This Row],[diferencia de días]], "0")</f>
        <v>74.239999999999995</v>
      </c>
      <c r="L25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5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5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58">
        <f t="shared" ref="O258:O321" ca="1" si="52">ROUND(1000*(_xlfn.LOGNORM.INV(RAND(), 0.5, 0.2)),2)</f>
        <v>1583.58</v>
      </c>
      <c r="P258">
        <f t="shared" ref="P258:P321" ca="1" si="53">ROUND(50000*(_xlfn.LOGNORM.INV(RAND(), 1, 0.75)),2)</f>
        <v>97883.97</v>
      </c>
      <c r="Q258">
        <f t="shared" ref="Q258:Q321" ca="1" si="54">RANDBETWEEN(0,5)</f>
        <v>3</v>
      </c>
      <c r="R258">
        <f ca="1">((Tabla2[[#This Row],[Fantasma Comunicación]]+1)/(Tabla2[[#This Row],[Fantasma Comunicación]]+RANDBETWEEN(0,5)+2))-0.5</f>
        <v>-9.9999999999999978E-2</v>
      </c>
      <c r="S258" s="51">
        <f ca="1">1+MAX(0,Tabla2[[#This Row],[Deuda actual]]/Tabla2[[#This Row],[Liquidez]]+Tabla2[[#This Row],[Liquidez]]/(Tabla2[[#This Row],[Activos]]+Tabla2[[#This Row],[Liquidez]])+Tabla2[[#This Row],[Comunicación]])</f>
        <v>1</v>
      </c>
      <c r="T258">
        <f ca="1">Tabla2[[#This Row],[Deuda actual]]*EXP(Tabla2[[#This Row],[Ki]]*Tabla2[[#This Row],[diferencia de días]])*(1+Tabla2[[#This Row],[Hg]])</f>
        <v>19.503596637823307</v>
      </c>
    </row>
    <row r="259" spans="1:20" ht="14.5" x14ac:dyDescent="0.35">
      <c r="A259" t="e">
        <f t="shared" si="44"/>
        <v>#VALUE!</v>
      </c>
      <c r="B259" s="21">
        <f t="shared" ca="1" si="45"/>
        <v>46090</v>
      </c>
      <c r="C259" s="21">
        <f t="shared" ca="1" si="46"/>
        <v>46157</v>
      </c>
      <c r="D259">
        <f t="shared" ca="1" si="47"/>
        <v>2</v>
      </c>
      <c r="E259">
        <f t="shared" ca="1" si="48"/>
        <v>0.32642095355245504</v>
      </c>
      <c r="F259" s="47">
        <f t="shared" ca="1" si="49"/>
        <v>1971.04</v>
      </c>
      <c r="G259" s="32" t="str">
        <f t="shared" ca="1" si="50"/>
        <v>hipotecario</v>
      </c>
      <c r="H25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59" t="str">
        <f t="shared" ca="1" si="51"/>
        <v>Sí</v>
      </c>
      <c r="J25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59" s="32">
        <f ca="1">IF(Tabla2[[#This Row],[¿cliente deuda abierta?]]="Sí", Tabla2[[#This Row],[Deuda actual]]*Tabla2[[#This Row],[diferencia de días]], "0")</f>
        <v>3942.08</v>
      </c>
      <c r="L25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5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5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59">
        <f t="shared" ca="1" si="52"/>
        <v>1746.55</v>
      </c>
      <c r="P259">
        <f t="shared" ca="1" si="53"/>
        <v>352843.5</v>
      </c>
      <c r="Q259">
        <f t="shared" ca="1" si="54"/>
        <v>1</v>
      </c>
      <c r="R259">
        <f ca="1">((Tabla2[[#This Row],[Fantasma Comunicación]]+1)/(Tabla2[[#This Row],[Fantasma Comunicación]]+RANDBETWEEN(0,5)+2))-0.5</f>
        <v>0.16666666666666663</v>
      </c>
      <c r="S259" s="51">
        <f ca="1">1+MAX(0,Tabla2[[#This Row],[Deuda actual]]/Tabla2[[#This Row],[Liquidez]]+Tabla2[[#This Row],[Liquidez]]/(Tabla2[[#This Row],[Activos]]+Tabla2[[#This Row],[Liquidez]])+Tabla2[[#This Row],[Comunicación]])</f>
        <v>2.3001256081940276</v>
      </c>
      <c r="T259">
        <f ca="1">Tabla2[[#This Row],[Deuda actual]]*EXP(Tabla2[[#This Row],[Ki]]*Tabla2[[#This Row],[diferencia de días]])*(1+Tabla2[[#This Row],[Hg]])</f>
        <v>2070.4200023894382</v>
      </c>
    </row>
    <row r="260" spans="1:20" ht="14.5" x14ac:dyDescent="0.35">
      <c r="A260" t="e">
        <f t="shared" si="44"/>
        <v>#VALUE!</v>
      </c>
      <c r="B260" s="21">
        <f t="shared" ca="1" si="45"/>
        <v>46125</v>
      </c>
      <c r="C260" s="21">
        <f t="shared" ca="1" si="46"/>
        <v>46157</v>
      </c>
      <c r="D260">
        <f t="shared" ca="1" si="47"/>
        <v>3</v>
      </c>
      <c r="E260">
        <f t="shared" ca="1" si="48"/>
        <v>7.8729947267873412E-2</v>
      </c>
      <c r="F260" s="47">
        <f t="shared" ca="1" si="49"/>
        <v>267.55</v>
      </c>
      <c r="G260" s="32" t="str">
        <f t="shared" ca="1" si="50"/>
        <v>hipotecario</v>
      </c>
      <c r="H26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60" t="str">
        <f t="shared" ca="1" si="51"/>
        <v>Sí</v>
      </c>
      <c r="J26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60" s="32">
        <f ca="1">IF(Tabla2[[#This Row],[¿cliente deuda abierta?]]="Sí", Tabla2[[#This Row],[Deuda actual]]*Tabla2[[#This Row],[diferencia de días]], "0")</f>
        <v>802.65000000000009</v>
      </c>
      <c r="L26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6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6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60">
        <f t="shared" ca="1" si="52"/>
        <v>1382.95</v>
      </c>
      <c r="P260">
        <f t="shared" ca="1" si="53"/>
        <v>77649.23</v>
      </c>
      <c r="Q260">
        <f t="shared" ca="1" si="54"/>
        <v>4</v>
      </c>
      <c r="R260">
        <f ca="1">((Tabla2[[#This Row],[Fantasma Comunicación]]+1)/(Tabla2[[#This Row],[Fantasma Comunicación]]+RANDBETWEEN(0,5)+2))-0.5</f>
        <v>0.2142857142857143</v>
      </c>
      <c r="S260" s="51">
        <f ca="1">1+MAX(0,Tabla2[[#This Row],[Deuda actual]]/Tabla2[[#This Row],[Liquidez]]+Tabla2[[#This Row],[Liquidez]]/(Tabla2[[#This Row],[Activos]]+Tabla2[[#This Row],[Liquidez]])+Tabla2[[#This Row],[Comunicación]])</f>
        <v>1.4252475314425141</v>
      </c>
      <c r="T260">
        <f ca="1">Tabla2[[#This Row],[Deuda actual]]*EXP(Tabla2[[#This Row],[Ki]]*Tabla2[[#This Row],[diferencia de días]])*(1+Tabla2[[#This Row],[Hg]])</f>
        <v>281.09610707706497</v>
      </c>
    </row>
    <row r="261" spans="1:20" ht="14.5" x14ac:dyDescent="0.35">
      <c r="A261" t="e">
        <f t="shared" si="44"/>
        <v>#VALUE!</v>
      </c>
      <c r="B261" s="21">
        <f t="shared" ca="1" si="45"/>
        <v>46099</v>
      </c>
      <c r="C261" s="21">
        <f t="shared" ca="1" si="46"/>
        <v>46157</v>
      </c>
      <c r="D261">
        <f t="shared" ca="1" si="47"/>
        <v>8</v>
      </c>
      <c r="E261">
        <f t="shared" ca="1" si="48"/>
        <v>0.12727945321496104</v>
      </c>
      <c r="F261" s="47">
        <f t="shared" ca="1" si="49"/>
        <v>10000</v>
      </c>
      <c r="G261" s="32" t="str">
        <f t="shared" ca="1" si="50"/>
        <v>personal</v>
      </c>
      <c r="H26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61" t="str">
        <f t="shared" ca="1" si="51"/>
        <v>Sí</v>
      </c>
      <c r="J26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61" s="32">
        <f ca="1">IF(Tabla2[[#This Row],[¿cliente deuda abierta?]]="Sí", Tabla2[[#This Row],[Deuda actual]]*Tabla2[[#This Row],[diferencia de días]], "0")</f>
        <v>80000</v>
      </c>
      <c r="L26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26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61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261">
        <f t="shared" ca="1" si="52"/>
        <v>1407.68</v>
      </c>
      <c r="P261">
        <f t="shared" ca="1" si="53"/>
        <v>379848.04</v>
      </c>
      <c r="Q261">
        <f t="shared" ca="1" si="54"/>
        <v>2</v>
      </c>
      <c r="R261">
        <f ca="1">((Tabla2[[#This Row],[Fantasma Comunicación]]+1)/(Tabla2[[#This Row],[Fantasma Comunicación]]+RANDBETWEEN(0,5)+2))-0.5</f>
        <v>0</v>
      </c>
      <c r="S261" s="51">
        <f ca="1">1+MAX(0,Tabla2[[#This Row],[Deuda actual]]/Tabla2[[#This Row],[Liquidez]]+Tabla2[[#This Row],[Liquidez]]/(Tabla2[[#This Row],[Activos]]+Tabla2[[#This Row],[Liquidez]])+Tabla2[[#This Row],[Comunicación]])</f>
        <v>8.107579467116043</v>
      </c>
      <c r="T261">
        <f ca="1">Tabla2[[#This Row],[Deuda actual]]*EXP(Tabla2[[#This Row],[Ki]]*Tabla2[[#This Row],[diferencia de días]])*(1+Tabla2[[#This Row],[Hg]])</f>
        <v>11518.414727853808</v>
      </c>
    </row>
    <row r="262" spans="1:20" ht="14.5" x14ac:dyDescent="0.35">
      <c r="A262" t="e">
        <f t="shared" si="44"/>
        <v>#VALUE!</v>
      </c>
      <c r="B262" s="21">
        <f t="shared" ca="1" si="45"/>
        <v>46136</v>
      </c>
      <c r="C262" s="21">
        <f t="shared" ca="1" si="46"/>
        <v>46157</v>
      </c>
      <c r="D262">
        <f t="shared" ca="1" si="47"/>
        <v>41</v>
      </c>
      <c r="E262">
        <f t="shared" ca="1" si="48"/>
        <v>0.42377680516312954</v>
      </c>
      <c r="F262" s="47">
        <f t="shared" ca="1" si="49"/>
        <v>794.95</v>
      </c>
      <c r="G262" s="32" t="str">
        <f t="shared" ca="1" si="50"/>
        <v>personal</v>
      </c>
      <c r="H26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262" t="str">
        <f t="shared" ca="1" si="51"/>
        <v>Sí</v>
      </c>
      <c r="J26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62" s="32">
        <f ca="1">IF(Tabla2[[#This Row],[¿cliente deuda abierta?]]="Sí", Tabla2[[#This Row],[Deuda actual]]*Tabla2[[#This Row],[diferencia de días]], "0")</f>
        <v>32592.95</v>
      </c>
      <c r="L26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26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62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262">
        <f t="shared" ca="1" si="52"/>
        <v>1262.26</v>
      </c>
      <c r="P262">
        <f t="shared" ca="1" si="53"/>
        <v>81633.08</v>
      </c>
      <c r="Q262">
        <f t="shared" ca="1" si="54"/>
        <v>2</v>
      </c>
      <c r="R262">
        <f ca="1">((Tabla2[[#This Row],[Fantasma Comunicación]]+1)/(Tabla2[[#This Row],[Fantasma Comunicación]]+RANDBETWEEN(0,5)+2))-0.5</f>
        <v>-0.125</v>
      </c>
      <c r="S262" s="51">
        <f ca="1">1+MAX(0,Tabla2[[#This Row],[Deuda actual]]/Tabla2[[#This Row],[Liquidez]]+Tabla2[[#This Row],[Liquidez]]/(Tabla2[[#This Row],[Activos]]+Tabla2[[#This Row],[Liquidez]])+Tabla2[[#This Row],[Comunicación]])</f>
        <v>1.5200102401744158</v>
      </c>
      <c r="T262">
        <f ca="1">Tabla2[[#This Row],[Deuda actual]]*EXP(Tabla2[[#This Row],[Ki]]*Tabla2[[#This Row],[diferencia de días]])*(1+Tabla2[[#This Row],[Hg]])</f>
        <v>911.04236443371701</v>
      </c>
    </row>
    <row r="263" spans="1:20" ht="14.5" x14ac:dyDescent="0.35">
      <c r="A263" t="e">
        <f t="shared" si="44"/>
        <v>#VALUE!</v>
      </c>
      <c r="B263" s="21">
        <f t="shared" ca="1" si="45"/>
        <v>46101</v>
      </c>
      <c r="C263" s="21">
        <f t="shared" ca="1" si="46"/>
        <v>46157</v>
      </c>
      <c r="D263">
        <f t="shared" ca="1" si="47"/>
        <v>2</v>
      </c>
      <c r="E263">
        <f t="shared" ca="1" si="48"/>
        <v>0.87245114752490138</v>
      </c>
      <c r="F263" s="47">
        <f t="shared" ca="1" si="49"/>
        <v>817.86</v>
      </c>
      <c r="G263" s="32" t="str">
        <f t="shared" ca="1" si="50"/>
        <v>personal</v>
      </c>
      <c r="H26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63" t="str">
        <f t="shared" ca="1" si="51"/>
        <v>No</v>
      </c>
      <c r="J26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12000.25662261107</v>
      </c>
      <c r="K263" s="32" t="str">
        <f ca="1">IF(Tabla2[[#This Row],[¿cliente deuda abierta?]]="Sí", Tabla2[[#This Row],[Deuda actual]]*Tabla2[[#This Row],[diferencia de días]], "0")</f>
        <v>0</v>
      </c>
      <c r="L26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6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26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263">
        <f t="shared" ca="1" si="52"/>
        <v>1598.59</v>
      </c>
      <c r="P263">
        <f t="shared" ca="1" si="53"/>
        <v>722926.14</v>
      </c>
      <c r="Q263">
        <f t="shared" ca="1" si="54"/>
        <v>5</v>
      </c>
      <c r="R263">
        <f ca="1">((Tabla2[[#This Row],[Fantasma Comunicación]]+1)/(Tabla2[[#This Row],[Fantasma Comunicación]]+RANDBETWEEN(0,5)+2))-0.5</f>
        <v>9.9999999999999978E-2</v>
      </c>
      <c r="S263" s="51">
        <f ca="1">1+MAX(0,Tabla2[[#This Row],[Deuda actual]]/Tabla2[[#This Row],[Liquidez]]+Tabla2[[#This Row],[Liquidez]]/(Tabla2[[#This Row],[Activos]]+Tabla2[[#This Row],[Liquidez]])+Tabla2[[#This Row],[Comunicación]])</f>
        <v>1.6138197573898703</v>
      </c>
      <c r="T263">
        <f ca="1">Tabla2[[#This Row],[Deuda actual]]*EXP(Tabla2[[#This Row],[Ki]]*Tabla2[[#This Row],[diferencia de días]])*(1+Tabla2[[#This Row],[Hg]])</f>
        <v>736.36848849377225</v>
      </c>
    </row>
    <row r="264" spans="1:20" ht="14.5" x14ac:dyDescent="0.35">
      <c r="A264" t="e">
        <f t="shared" si="44"/>
        <v>#VALUE!</v>
      </c>
      <c r="B264" s="21">
        <f t="shared" ca="1" si="45"/>
        <v>46136</v>
      </c>
      <c r="C264" s="21">
        <f t="shared" ca="1" si="46"/>
        <v>46157</v>
      </c>
      <c r="D264">
        <f t="shared" ca="1" si="47"/>
        <v>7</v>
      </c>
      <c r="E264">
        <f t="shared" ca="1" si="48"/>
        <v>0.68625706319967694</v>
      </c>
      <c r="F264" s="47">
        <f t="shared" ca="1" si="49"/>
        <v>10000</v>
      </c>
      <c r="G264" s="32" t="str">
        <f t="shared" ca="1" si="50"/>
        <v>personal</v>
      </c>
      <c r="H26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64" t="str">
        <f t="shared" ca="1" si="51"/>
        <v>Sí</v>
      </c>
      <c r="J26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64" s="32">
        <f ca="1">IF(Tabla2[[#This Row],[¿cliente deuda abierta?]]="Sí", Tabla2[[#This Row],[Deuda actual]]*Tabla2[[#This Row],[diferencia de días]], "0")</f>
        <v>70000</v>
      </c>
      <c r="L26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26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64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264">
        <f t="shared" ca="1" si="52"/>
        <v>1506.45</v>
      </c>
      <c r="P264">
        <f t="shared" ca="1" si="53"/>
        <v>74432.69</v>
      </c>
      <c r="Q264">
        <f t="shared" ca="1" si="54"/>
        <v>0</v>
      </c>
      <c r="R264">
        <f ca="1">((Tabla2[[#This Row],[Fantasma Comunicación]]+1)/(Tabla2[[#This Row],[Fantasma Comunicación]]+RANDBETWEEN(0,5)+2))-0.5</f>
        <v>-0.33333333333333337</v>
      </c>
      <c r="S264" s="51">
        <f ca="1">1+MAX(0,Tabla2[[#This Row],[Deuda actual]]/Tabla2[[#This Row],[Liquidez]]+Tabla2[[#This Row],[Liquidez]]/(Tabla2[[#This Row],[Activos]]+Tabla2[[#This Row],[Liquidez]])+Tabla2[[#This Row],[Comunicación]])</f>
        <v>7.3246270018206969</v>
      </c>
      <c r="T264">
        <f ca="1">Tabla2[[#This Row],[Deuda actual]]*EXP(Tabla2[[#This Row],[Ki]]*Tabla2[[#This Row],[diferencia de días]])*(1+Tabla2[[#This Row],[Hg]])</f>
        <v>11516.111275261173</v>
      </c>
    </row>
    <row r="265" spans="1:20" ht="14.5" x14ac:dyDescent="0.35">
      <c r="A265" t="e">
        <f t="shared" si="44"/>
        <v>#VALUE!</v>
      </c>
      <c r="B265" s="21">
        <f t="shared" ca="1" si="45"/>
        <v>46121</v>
      </c>
      <c r="C265" s="21">
        <f t="shared" ca="1" si="46"/>
        <v>46157</v>
      </c>
      <c r="D265">
        <f t="shared" ca="1" si="47"/>
        <v>3</v>
      </c>
      <c r="E265">
        <f t="shared" ca="1" si="48"/>
        <v>0.6159168403018016</v>
      </c>
      <c r="F265" s="47">
        <f t="shared" ca="1" si="49"/>
        <v>124.07</v>
      </c>
      <c r="G265" s="32" t="str">
        <f t="shared" ca="1" si="50"/>
        <v>personal</v>
      </c>
      <c r="H26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65" t="str">
        <f t="shared" ca="1" si="51"/>
        <v>Sí</v>
      </c>
      <c r="J26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65" s="32">
        <f ca="1">IF(Tabla2[[#This Row],[¿cliente deuda abierta?]]="Sí", Tabla2[[#This Row],[Deuda actual]]*Tabla2[[#This Row],[diferencia de días]], "0")</f>
        <v>372.21</v>
      </c>
      <c r="L26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6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6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65">
        <f t="shared" ca="1" si="52"/>
        <v>1103.18</v>
      </c>
      <c r="P265">
        <f t="shared" ca="1" si="53"/>
        <v>285675.34000000003</v>
      </c>
      <c r="Q265">
        <f t="shared" ca="1" si="54"/>
        <v>5</v>
      </c>
      <c r="R265">
        <f ca="1">((Tabla2[[#This Row],[Fantasma Comunicación]]+1)/(Tabla2[[#This Row],[Fantasma Comunicación]]+RANDBETWEEN(0,5)+2))-0.5</f>
        <v>4.5454545454545414E-2</v>
      </c>
      <c r="S265" s="51">
        <f ca="1">1+MAX(0,Tabla2[[#This Row],[Deuda actual]]/Tabla2[[#This Row],[Liquidez]]+Tabla2[[#This Row],[Liquidez]]/(Tabla2[[#This Row],[Activos]]+Tabla2[[#This Row],[Liquidez]])+Tabla2[[#This Row],[Comunicación]])</f>
        <v>1.1617671275548567</v>
      </c>
      <c r="T265">
        <f ca="1">Tabla2[[#This Row],[Deuda actual]]*EXP(Tabla2[[#This Row],[Ki]]*Tabla2[[#This Row],[diferencia de días]])*(1+Tabla2[[#This Row],[Hg]])</f>
        <v>130.35168755392053</v>
      </c>
    </row>
    <row r="266" spans="1:20" ht="14.5" x14ac:dyDescent="0.35">
      <c r="A266" t="e">
        <f t="shared" si="44"/>
        <v>#VALUE!</v>
      </c>
      <c r="B266" s="21">
        <f t="shared" ca="1" si="45"/>
        <v>46143</v>
      </c>
      <c r="C266" s="21">
        <f t="shared" ca="1" si="46"/>
        <v>46157</v>
      </c>
      <c r="D266">
        <f t="shared" ca="1" si="47"/>
        <v>3</v>
      </c>
      <c r="E266">
        <f t="shared" ca="1" si="48"/>
        <v>0.93942973360519866</v>
      </c>
      <c r="F266" s="47">
        <f t="shared" ca="1" si="49"/>
        <v>1165.77</v>
      </c>
      <c r="G266" s="32" t="str">
        <f t="shared" ca="1" si="50"/>
        <v>hipotecario</v>
      </c>
      <c r="H26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66" t="str">
        <f t="shared" ca="1" si="51"/>
        <v>No</v>
      </c>
      <c r="J26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164998.50673946473</v>
      </c>
      <c r="K266" s="32" t="str">
        <f ca="1">IF(Tabla2[[#This Row],[¿cliente deuda abierta?]]="Sí", Tabla2[[#This Row],[Deuda actual]]*Tabla2[[#This Row],[diferencia de días]], "0")</f>
        <v>0</v>
      </c>
      <c r="L26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6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26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266">
        <f t="shared" ca="1" si="52"/>
        <v>2254.44</v>
      </c>
      <c r="P266">
        <f t="shared" ca="1" si="53"/>
        <v>160909.10999999999</v>
      </c>
      <c r="Q266">
        <f t="shared" ca="1" si="54"/>
        <v>0</v>
      </c>
      <c r="R266">
        <f ca="1">((Tabla2[[#This Row],[Fantasma Comunicación]]+1)/(Tabla2[[#This Row],[Fantasma Comunicación]]+RANDBETWEEN(0,5)+2))-0.5</f>
        <v>-0.16666666666666669</v>
      </c>
      <c r="S266" s="51">
        <f ca="1">1+MAX(0,Tabla2[[#This Row],[Deuda actual]]/Tabla2[[#This Row],[Liquidez]]+Tabla2[[#This Row],[Liquidez]]/(Tabla2[[#This Row],[Activos]]+Tabla2[[#This Row],[Liquidez]])+Tabla2[[#This Row],[Comunicación]])</f>
        <v>1.3642499800423147</v>
      </c>
      <c r="T266">
        <f ca="1">Tabla2[[#This Row],[Deuda actual]]*EXP(Tabla2[[#This Row],[Ki]]*Tabla2[[#This Row],[diferencia de días]])*(1+Tabla2[[#This Row],[Hg]])</f>
        <v>933.17573750445922</v>
      </c>
    </row>
    <row r="267" spans="1:20" ht="14.5" x14ac:dyDescent="0.35">
      <c r="A267" t="e">
        <f t="shared" si="44"/>
        <v>#VALUE!</v>
      </c>
      <c r="B267" s="21">
        <f t="shared" ca="1" si="45"/>
        <v>46104</v>
      </c>
      <c r="C267" s="21">
        <f t="shared" ca="1" si="46"/>
        <v>46157</v>
      </c>
      <c r="D267">
        <f t="shared" ca="1" si="47"/>
        <v>51</v>
      </c>
      <c r="E267">
        <f t="shared" ca="1" si="48"/>
        <v>0.79032276246123256</v>
      </c>
      <c r="F267" s="47">
        <f t="shared" ca="1" si="49"/>
        <v>234.3</v>
      </c>
      <c r="G267" s="32" t="str">
        <f t="shared" ca="1" si="50"/>
        <v>personal</v>
      </c>
      <c r="H26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1.5E-3</v>
      </c>
      <c r="I267" t="str">
        <f t="shared" ca="1" si="51"/>
        <v>Sí</v>
      </c>
      <c r="J26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67" s="32">
        <f ca="1">IF(Tabla2[[#This Row],[¿cliente deuda abierta?]]="Sí", Tabla2[[#This Row],[Deuda actual]]*Tabla2[[#This Row],[diferencia de días]], "0")</f>
        <v>11949.300000000001</v>
      </c>
      <c r="L26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6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6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67">
        <f t="shared" ca="1" si="52"/>
        <v>1776.33</v>
      </c>
      <c r="P267">
        <f t="shared" ca="1" si="53"/>
        <v>118333.92</v>
      </c>
      <c r="Q267">
        <f t="shared" ca="1" si="54"/>
        <v>4</v>
      </c>
      <c r="R267">
        <f ca="1">((Tabla2[[#This Row],[Fantasma Comunicación]]+1)/(Tabla2[[#This Row],[Fantasma Comunicación]]+RANDBETWEEN(0,5)+2))-0.5</f>
        <v>0.2142857142857143</v>
      </c>
      <c r="S267" s="51">
        <f ca="1">1+MAX(0,Tabla2[[#This Row],[Deuda actual]]/Tabla2[[#This Row],[Liquidez]]+Tabla2[[#This Row],[Liquidez]]/(Tabla2[[#This Row],[Activos]]+Tabla2[[#This Row],[Liquidez]])+Tabla2[[#This Row],[Comunicación]])</f>
        <v>1.3609760437555931</v>
      </c>
      <c r="T267">
        <f ca="1">Tabla2[[#This Row],[Deuda actual]]*EXP(Tabla2[[#This Row],[Ki]]*Tabla2[[#This Row],[diferencia de días]])*(1+Tabla2[[#This Row],[Hg]])</f>
        <v>265.5737313557978</v>
      </c>
    </row>
    <row r="268" spans="1:20" ht="14.5" x14ac:dyDescent="0.35">
      <c r="A268" t="e">
        <f t="shared" si="44"/>
        <v>#VALUE!</v>
      </c>
      <c r="B268" s="21">
        <f t="shared" ca="1" si="45"/>
        <v>46097</v>
      </c>
      <c r="C268" s="21">
        <f t="shared" ca="1" si="46"/>
        <v>46157</v>
      </c>
      <c r="D268">
        <f t="shared" ca="1" si="47"/>
        <v>9</v>
      </c>
      <c r="E268">
        <f t="shared" ca="1" si="48"/>
        <v>0.46737454191245498</v>
      </c>
      <c r="F268" s="47">
        <f t="shared" ca="1" si="49"/>
        <v>3051.63</v>
      </c>
      <c r="G268" s="32" t="str">
        <f t="shared" ca="1" si="50"/>
        <v>personal</v>
      </c>
      <c r="H26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68" t="str">
        <f t="shared" ca="1" si="51"/>
        <v>Sí</v>
      </c>
      <c r="J26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68" s="32">
        <f ca="1">IF(Tabla2[[#This Row],[¿cliente deuda abierta?]]="Sí", Tabla2[[#This Row],[Deuda actual]]*Tabla2[[#This Row],[diferencia de días]], "0")</f>
        <v>27464.670000000002</v>
      </c>
      <c r="L26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6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6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68">
        <f t="shared" ca="1" si="52"/>
        <v>1298.68</v>
      </c>
      <c r="P268">
        <f t="shared" ca="1" si="53"/>
        <v>128334.29</v>
      </c>
      <c r="Q268">
        <f t="shared" ca="1" si="54"/>
        <v>2</v>
      </c>
      <c r="R268">
        <f ca="1">((Tabla2[[#This Row],[Fantasma Comunicación]]+1)/(Tabla2[[#This Row],[Fantasma Comunicación]]+RANDBETWEEN(0,5)+2))-0.5</f>
        <v>0.25</v>
      </c>
      <c r="S268" s="51">
        <f ca="1">1+MAX(0,Tabla2[[#This Row],[Deuda actual]]/Tabla2[[#This Row],[Liquidez]]+Tabla2[[#This Row],[Liquidez]]/(Tabla2[[#This Row],[Activos]]+Tabla2[[#This Row],[Liquidez]])+Tabla2[[#This Row],[Comunicación]])</f>
        <v>3.6098117670341598</v>
      </c>
      <c r="T268">
        <f ca="1">Tabla2[[#This Row],[Deuda actual]]*EXP(Tabla2[[#This Row],[Ki]]*Tabla2[[#This Row],[diferencia de días]])*(1+Tabla2[[#This Row],[Hg]])</f>
        <v>3209.9842746385261</v>
      </c>
    </row>
    <row r="269" spans="1:20" ht="14.5" x14ac:dyDescent="0.35">
      <c r="A269" t="e">
        <f t="shared" si="44"/>
        <v>#VALUE!</v>
      </c>
      <c r="B269" s="21">
        <f t="shared" ca="1" si="45"/>
        <v>46087</v>
      </c>
      <c r="C269" s="21">
        <f t="shared" ca="1" si="46"/>
        <v>46157</v>
      </c>
      <c r="D269">
        <f t="shared" ca="1" si="47"/>
        <v>15</v>
      </c>
      <c r="E269">
        <f t="shared" ca="1" si="48"/>
        <v>0.15503669617455618</v>
      </c>
      <c r="F269" s="47">
        <f t="shared" ca="1" si="49"/>
        <v>3007.68</v>
      </c>
      <c r="G269" s="32" t="str">
        <f t="shared" ca="1" si="50"/>
        <v>personal</v>
      </c>
      <c r="H26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269" t="str">
        <f t="shared" ca="1" si="51"/>
        <v>Sí</v>
      </c>
      <c r="J26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69" s="32">
        <f ca="1">IF(Tabla2[[#This Row],[¿cliente deuda abierta?]]="Sí", Tabla2[[#This Row],[Deuda actual]]*Tabla2[[#This Row],[diferencia de días]], "0")</f>
        <v>45115.199999999997</v>
      </c>
      <c r="L26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26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69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269">
        <f t="shared" ca="1" si="52"/>
        <v>1686.83</v>
      </c>
      <c r="P269">
        <f t="shared" ca="1" si="53"/>
        <v>140534.95000000001</v>
      </c>
      <c r="Q269">
        <f t="shared" ca="1" si="54"/>
        <v>4</v>
      </c>
      <c r="R269">
        <f ca="1">((Tabla2[[#This Row],[Fantasma Comunicación]]+1)/(Tabla2[[#This Row],[Fantasma Comunicación]]+RANDBETWEEN(0,5)+2))-0.5</f>
        <v>0.33333333333333337</v>
      </c>
      <c r="S269" s="51">
        <f ca="1">1+MAX(0,Tabla2[[#This Row],[Deuda actual]]/Tabla2[[#This Row],[Liquidez]]+Tabla2[[#This Row],[Liquidez]]/(Tabla2[[#This Row],[Activos]]+Tabla2[[#This Row],[Liquidez]])+Tabla2[[#This Row],[Comunicación]])</f>
        <v>3.1282307141948089</v>
      </c>
      <c r="T269">
        <f ca="1">Tabla2[[#This Row],[Deuda actual]]*EXP(Tabla2[[#This Row],[Ki]]*Tabla2[[#This Row],[diferencia de días]])*(1+Tabla2[[#This Row],[Hg]])</f>
        <v>3328.3583593469989</v>
      </c>
    </row>
    <row r="270" spans="1:20" ht="14.5" x14ac:dyDescent="0.35">
      <c r="A270" t="e">
        <f t="shared" si="44"/>
        <v>#VALUE!</v>
      </c>
      <c r="B270" s="21">
        <f t="shared" ca="1" si="45"/>
        <v>46143</v>
      </c>
      <c r="C270" s="21">
        <f t="shared" ca="1" si="46"/>
        <v>46157</v>
      </c>
      <c r="D270">
        <f t="shared" ca="1" si="47"/>
        <v>4</v>
      </c>
      <c r="E270">
        <f t="shared" ca="1" si="48"/>
        <v>0.26583802524528777</v>
      </c>
      <c r="F270" s="47">
        <f t="shared" ca="1" si="49"/>
        <v>371.21</v>
      </c>
      <c r="G270" s="32" t="str">
        <f t="shared" ca="1" si="50"/>
        <v>personal</v>
      </c>
      <c r="H27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70" t="str">
        <f t="shared" ca="1" si="51"/>
        <v>Sí</v>
      </c>
      <c r="J27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70" s="32">
        <f ca="1">IF(Tabla2[[#This Row],[¿cliente deuda abierta?]]="Sí", Tabla2[[#This Row],[Deuda actual]]*Tabla2[[#This Row],[diferencia de días]], "0")</f>
        <v>1484.84</v>
      </c>
      <c r="L27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7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7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70">
        <f t="shared" ca="1" si="52"/>
        <v>1734.32</v>
      </c>
      <c r="P270">
        <f t="shared" ca="1" si="53"/>
        <v>216548.97</v>
      </c>
      <c r="Q270">
        <f t="shared" ca="1" si="54"/>
        <v>4</v>
      </c>
      <c r="R270">
        <f ca="1">((Tabla2[[#This Row],[Fantasma Comunicación]]+1)/(Tabla2[[#This Row],[Fantasma Comunicación]]+RANDBETWEEN(0,5)+2))-0.5</f>
        <v>-4.545454545454547E-2</v>
      </c>
      <c r="S270" s="51">
        <f ca="1">1+MAX(0,Tabla2[[#This Row],[Deuda actual]]/Tabla2[[#This Row],[Liquidez]]+Tabla2[[#This Row],[Liquidez]]/(Tabla2[[#This Row],[Activos]]+Tabla2[[#This Row],[Liquidez]])+Tabla2[[#This Row],[Comunicación]])</f>
        <v>1.1765285045271974</v>
      </c>
      <c r="T270">
        <f ca="1">Tabla2[[#This Row],[Deuda actual]]*EXP(Tabla2[[#This Row],[Ki]]*Tabla2[[#This Row],[diferencia de días]])*(1+Tabla2[[#This Row],[Hg]])</f>
        <v>390.08244115982706</v>
      </c>
    </row>
    <row r="271" spans="1:20" ht="14.5" x14ac:dyDescent="0.35">
      <c r="A271" t="e">
        <f t="shared" si="44"/>
        <v>#VALUE!</v>
      </c>
      <c r="B271" s="21">
        <f t="shared" ca="1" si="45"/>
        <v>46083</v>
      </c>
      <c r="C271" s="21">
        <f t="shared" ca="1" si="46"/>
        <v>46157</v>
      </c>
      <c r="D271">
        <f t="shared" ca="1" si="47"/>
        <v>6</v>
      </c>
      <c r="E271">
        <f t="shared" ca="1" si="48"/>
        <v>0.30974159149337421</v>
      </c>
      <c r="F271" s="47">
        <f t="shared" ca="1" si="49"/>
        <v>1509.23</v>
      </c>
      <c r="G271" s="32" t="str">
        <f t="shared" ca="1" si="50"/>
        <v>personal</v>
      </c>
      <c r="H27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71" t="str">
        <f t="shared" ca="1" si="51"/>
        <v>Sí</v>
      </c>
      <c r="J27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71" s="32">
        <f ca="1">IF(Tabla2[[#This Row],[¿cliente deuda abierta?]]="Sí", Tabla2[[#This Row],[Deuda actual]]*Tabla2[[#This Row],[diferencia de días]], "0")</f>
        <v>9055.380000000001</v>
      </c>
      <c r="L27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7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7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71">
        <f t="shared" ca="1" si="52"/>
        <v>1409.4</v>
      </c>
      <c r="P271">
        <f t="shared" ca="1" si="53"/>
        <v>41122.32</v>
      </c>
      <c r="Q271">
        <f t="shared" ca="1" si="54"/>
        <v>0</v>
      </c>
      <c r="R271">
        <f ca="1">((Tabla2[[#This Row],[Fantasma Comunicación]]+1)/(Tabla2[[#This Row],[Fantasma Comunicación]]+RANDBETWEEN(0,5)+2))-0.5</f>
        <v>-0.25</v>
      </c>
      <c r="S271" s="51">
        <f ca="1">1+MAX(0,Tabla2[[#This Row],[Deuda actual]]/Tabla2[[#This Row],[Liquidez]]+Tabla2[[#This Row],[Liquidez]]/(Tabla2[[#This Row],[Activos]]+Tabla2[[#This Row],[Liquidez]])+Tabla2[[#This Row],[Comunicación]])</f>
        <v>1.8539691801094702</v>
      </c>
      <c r="T271">
        <f ca="1">Tabla2[[#This Row],[Deuda actual]]*EXP(Tabla2[[#This Row],[Ki]]*Tabla2[[#This Row],[diferencia de días]])*(1+Tabla2[[#This Row],[Hg]])</f>
        <v>1586.5942712344083</v>
      </c>
    </row>
    <row r="272" spans="1:20" ht="14.5" x14ac:dyDescent="0.35">
      <c r="A272" t="e">
        <f t="shared" si="44"/>
        <v>#VALUE!</v>
      </c>
      <c r="B272" s="21">
        <f t="shared" ca="1" si="45"/>
        <v>46133</v>
      </c>
      <c r="C272" s="21">
        <f t="shared" ca="1" si="46"/>
        <v>46157</v>
      </c>
      <c r="D272">
        <f t="shared" ca="1" si="47"/>
        <v>34</v>
      </c>
      <c r="E272">
        <f t="shared" ca="1" si="48"/>
        <v>0.88839328201044543</v>
      </c>
      <c r="F272" s="47">
        <f t="shared" ca="1" si="49"/>
        <v>569.75</v>
      </c>
      <c r="G272" s="32" t="str">
        <f t="shared" ca="1" si="50"/>
        <v>personal</v>
      </c>
      <c r="H27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272" t="str">
        <f t="shared" ca="1" si="51"/>
        <v>No</v>
      </c>
      <c r="J27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11999.624039473305</v>
      </c>
      <c r="K272" s="32" t="str">
        <f ca="1">IF(Tabla2[[#This Row],[¿cliente deuda abierta?]]="Sí", Tabla2[[#This Row],[Deuda actual]]*Tabla2[[#This Row],[diferencia de días]], "0")</f>
        <v>0</v>
      </c>
      <c r="L27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7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27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272">
        <f t="shared" ca="1" si="52"/>
        <v>1285.5899999999999</v>
      </c>
      <c r="P272">
        <f t="shared" ca="1" si="53"/>
        <v>119155.15</v>
      </c>
      <c r="Q272">
        <f t="shared" ca="1" si="54"/>
        <v>4</v>
      </c>
      <c r="R272">
        <f ca="1">((Tabla2[[#This Row],[Fantasma Comunicación]]+1)/(Tabla2[[#This Row],[Fantasma Comunicación]]+RANDBETWEEN(0,5)+2))-0.5</f>
        <v>0.2142857142857143</v>
      </c>
      <c r="S272" s="51">
        <f ca="1">1+MAX(0,Tabla2[[#This Row],[Deuda actual]]/Tabla2[[#This Row],[Liquidez]]+Tabla2[[#This Row],[Liquidez]]/(Tabla2[[#This Row],[Activos]]+Tabla2[[#This Row],[Liquidez]])+Tabla2[[#This Row],[Comunicación]])</f>
        <v>1.6681414900831697</v>
      </c>
      <c r="T272">
        <f ca="1">Tabla2[[#This Row],[Deuda actual]]*EXP(Tabla2[[#This Row],[Ki]]*Tabla2[[#This Row],[diferencia de días]])*(1+Tabla2[[#This Row],[Hg]])</f>
        <v>530.50912171501068</v>
      </c>
    </row>
    <row r="273" spans="1:20" ht="14.5" x14ac:dyDescent="0.35">
      <c r="A273" t="e">
        <f t="shared" si="44"/>
        <v>#VALUE!</v>
      </c>
      <c r="B273" s="21">
        <f t="shared" ca="1" si="45"/>
        <v>46093</v>
      </c>
      <c r="C273" s="21">
        <f t="shared" ca="1" si="46"/>
        <v>46157</v>
      </c>
      <c r="D273">
        <f t="shared" ca="1" si="47"/>
        <v>11</v>
      </c>
      <c r="E273">
        <f t="shared" ca="1" si="48"/>
        <v>0.48513861924568913</v>
      </c>
      <c r="F273" s="47">
        <f t="shared" ca="1" si="49"/>
        <v>2095.11</v>
      </c>
      <c r="G273" s="32" t="str">
        <f t="shared" ca="1" si="50"/>
        <v>hipotecario</v>
      </c>
      <c r="H27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73" t="str">
        <f t="shared" ca="1" si="51"/>
        <v>No</v>
      </c>
      <c r="J27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165001.16325731625</v>
      </c>
      <c r="K273" s="32" t="str">
        <f ca="1">IF(Tabla2[[#This Row],[¿cliente deuda abierta?]]="Sí", Tabla2[[#This Row],[Deuda actual]]*Tabla2[[#This Row],[diferencia de días]], "0")</f>
        <v>0</v>
      </c>
      <c r="L27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7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27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273">
        <f t="shared" ca="1" si="52"/>
        <v>1909.61</v>
      </c>
      <c r="P273">
        <f t="shared" ca="1" si="53"/>
        <v>487457.32</v>
      </c>
      <c r="Q273">
        <f t="shared" ca="1" si="54"/>
        <v>3</v>
      </c>
      <c r="R273">
        <f ca="1">((Tabla2[[#This Row],[Fantasma Comunicación]]+1)/(Tabla2[[#This Row],[Fantasma Comunicación]]+RANDBETWEEN(0,5)+2))-0.5</f>
        <v>-5.555555555555558E-2</v>
      </c>
      <c r="S273" s="51">
        <f ca="1">1+MAX(0,Tabla2[[#This Row],[Deuda actual]]/Tabla2[[#This Row],[Liquidez]]+Tabla2[[#This Row],[Liquidez]]/(Tabla2[[#This Row],[Activos]]+Tabla2[[#This Row],[Liquidez]])+Tabla2[[#This Row],[Comunicación]])</f>
        <v>2.0454869030478537</v>
      </c>
      <c r="T273">
        <f ca="1">Tabla2[[#This Row],[Deuda actual]]*EXP(Tabla2[[#This Row],[Ki]]*Tabla2[[#This Row],[diferencia de días]])*(1+Tabla2[[#This Row],[Hg]])</f>
        <v>1679.7794527090941</v>
      </c>
    </row>
    <row r="274" spans="1:20" ht="14.5" x14ac:dyDescent="0.35">
      <c r="A274" t="e">
        <f t="shared" si="44"/>
        <v>#VALUE!</v>
      </c>
      <c r="B274" s="21">
        <f t="shared" ca="1" si="45"/>
        <v>46116</v>
      </c>
      <c r="C274" s="21">
        <f t="shared" ca="1" si="46"/>
        <v>46157</v>
      </c>
      <c r="D274">
        <f t="shared" ca="1" si="47"/>
        <v>1</v>
      </c>
      <c r="E274">
        <f t="shared" ca="1" si="48"/>
        <v>0.46496379092172591</v>
      </c>
      <c r="F274" s="47">
        <f t="shared" ca="1" si="49"/>
        <v>10000</v>
      </c>
      <c r="G274" s="32" t="str">
        <f t="shared" ca="1" si="50"/>
        <v>personal</v>
      </c>
      <c r="H27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74" t="str">
        <f t="shared" ca="1" si="51"/>
        <v>No</v>
      </c>
      <c r="J27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12000.0655084993</v>
      </c>
      <c r="K274" s="32" t="str">
        <f ca="1">IF(Tabla2[[#This Row],[¿cliente deuda abierta?]]="Sí", Tabla2[[#This Row],[Deuda actual]]*Tabla2[[#This Row],[diferencia de días]], "0")</f>
        <v>0</v>
      </c>
      <c r="L27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7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27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274">
        <f t="shared" ca="1" si="52"/>
        <v>1844.34</v>
      </c>
      <c r="P274">
        <f t="shared" ca="1" si="53"/>
        <v>241294.8</v>
      </c>
      <c r="Q274">
        <f t="shared" ca="1" si="54"/>
        <v>3</v>
      </c>
      <c r="R274">
        <f ca="1">((Tabla2[[#This Row],[Fantasma Comunicación]]+1)/(Tabla2[[#This Row],[Fantasma Comunicación]]+RANDBETWEEN(0,5)+2))-0.5</f>
        <v>7.1428571428571397E-2</v>
      </c>
      <c r="S274" s="51">
        <f ca="1">1+MAX(0,Tabla2[[#This Row],[Deuda actual]]/Tabla2[[#This Row],[Liquidez]]+Tabla2[[#This Row],[Liquidez]]/(Tabla2[[#This Row],[Activos]]+Tabla2[[#This Row],[Liquidez]])+Tabla2[[#This Row],[Comunicación]])</f>
        <v>6.5010078801028497</v>
      </c>
      <c r="T274">
        <f ca="1">Tabla2[[#This Row],[Deuda actual]]*EXP(Tabla2[[#This Row],[Ki]]*Tabla2[[#This Row],[diferencia de días]])*(1+Tabla2[[#This Row],[Hg]])</f>
        <v>9001.8001800120019</v>
      </c>
    </row>
    <row r="275" spans="1:20" ht="14.5" x14ac:dyDescent="0.35">
      <c r="A275" t="e">
        <f t="shared" si="44"/>
        <v>#VALUE!</v>
      </c>
      <c r="B275" s="21">
        <f t="shared" ca="1" si="45"/>
        <v>46138</v>
      </c>
      <c r="C275" s="21">
        <f t="shared" ca="1" si="46"/>
        <v>46157</v>
      </c>
      <c r="D275">
        <f t="shared" ca="1" si="47"/>
        <v>6</v>
      </c>
      <c r="E275">
        <f t="shared" ca="1" si="48"/>
        <v>0.17299663868009385</v>
      </c>
      <c r="F275" s="47">
        <f t="shared" ca="1" si="49"/>
        <v>5832.13</v>
      </c>
      <c r="G275" s="32" t="str">
        <f t="shared" ca="1" si="50"/>
        <v>hipotecario</v>
      </c>
      <c r="H27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75" t="str">
        <f t="shared" ca="1" si="51"/>
        <v>Sí</v>
      </c>
      <c r="J27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75" s="32">
        <f ca="1">IF(Tabla2[[#This Row],[¿cliente deuda abierta?]]="Sí", Tabla2[[#This Row],[Deuda actual]]*Tabla2[[#This Row],[diferencia de días]], "0")</f>
        <v>34992.78</v>
      </c>
      <c r="L27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27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75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275">
        <f t="shared" ca="1" si="52"/>
        <v>1510.13</v>
      </c>
      <c r="P275">
        <f t="shared" ca="1" si="53"/>
        <v>146908.89000000001</v>
      </c>
      <c r="Q275">
        <f t="shared" ca="1" si="54"/>
        <v>1</v>
      </c>
      <c r="R275">
        <f ca="1">((Tabla2[[#This Row],[Fantasma Comunicación]]+1)/(Tabla2[[#This Row],[Fantasma Comunicación]]+RANDBETWEEN(0,5)+2))-0.5</f>
        <v>-9.9999999999999978E-2</v>
      </c>
      <c r="S275" s="51">
        <f ca="1">1+MAX(0,Tabla2[[#This Row],[Deuda actual]]/Tabla2[[#This Row],[Liquidez]]+Tabla2[[#This Row],[Liquidez]]/(Tabla2[[#This Row],[Activos]]+Tabla2[[#This Row],[Liquidez]])+Tabla2[[#This Row],[Comunicación]])</f>
        <v>4.7721800319211498</v>
      </c>
      <c r="T275">
        <f ca="1">Tabla2[[#This Row],[Deuda actual]]*EXP(Tabla2[[#This Row],[Ki]]*Tabla2[[#This Row],[diferencia de días]])*(1+Tabla2[[#This Row],[Hg]])</f>
        <v>6423.0460324951337</v>
      </c>
    </row>
    <row r="276" spans="1:20" ht="14.5" x14ac:dyDescent="0.35">
      <c r="A276" t="e">
        <f t="shared" si="44"/>
        <v>#VALUE!</v>
      </c>
      <c r="B276" s="21">
        <f t="shared" ca="1" si="45"/>
        <v>46100</v>
      </c>
      <c r="C276" s="21">
        <f t="shared" ca="1" si="46"/>
        <v>46157</v>
      </c>
      <c r="D276">
        <f t="shared" ca="1" si="47"/>
        <v>12</v>
      </c>
      <c r="E276">
        <f t="shared" ca="1" si="48"/>
        <v>0.89863959985349617</v>
      </c>
      <c r="F276" s="47">
        <f t="shared" ca="1" si="49"/>
        <v>6440.92</v>
      </c>
      <c r="G276" s="32" t="str">
        <f t="shared" ca="1" si="50"/>
        <v>hipotecario</v>
      </c>
      <c r="H27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76" t="str">
        <f t="shared" ca="1" si="51"/>
        <v>Sí</v>
      </c>
      <c r="J27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76" s="32">
        <f ca="1">IF(Tabla2[[#This Row],[¿cliente deuda abierta?]]="Sí", Tabla2[[#This Row],[Deuda actual]]*Tabla2[[#This Row],[diferencia de días]], "0")</f>
        <v>77291.040000000008</v>
      </c>
      <c r="L27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27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76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276">
        <f t="shared" ca="1" si="52"/>
        <v>1491.16</v>
      </c>
      <c r="P276">
        <f t="shared" ca="1" si="53"/>
        <v>64502.19</v>
      </c>
      <c r="Q276">
        <f t="shared" ca="1" si="54"/>
        <v>0</v>
      </c>
      <c r="R276">
        <f ca="1">((Tabla2[[#This Row],[Fantasma Comunicación]]+1)/(Tabla2[[#This Row],[Fantasma Comunicación]]+RANDBETWEEN(0,5)+2))-0.5</f>
        <v>-0.25</v>
      </c>
      <c r="S276" s="51">
        <f ca="1">1+MAX(0,Tabla2[[#This Row],[Deuda actual]]/Tabla2[[#This Row],[Liquidez]]+Tabla2[[#This Row],[Liquidez]]/(Tabla2[[#This Row],[Activos]]+Tabla2[[#This Row],[Liquidez]])+Tabla2[[#This Row],[Comunicación]])</f>
        <v>5.0919979544957101</v>
      </c>
      <c r="T276">
        <f ca="1">Tabla2[[#This Row],[Deuda actual]]*EXP(Tabla2[[#This Row],[Ki]]*Tabla2[[#This Row],[diferencia de días]])*(1+Tabla2[[#This Row],[Hg]])</f>
        <v>7424.856288603145</v>
      </c>
    </row>
    <row r="277" spans="1:20" ht="14.5" x14ac:dyDescent="0.35">
      <c r="A277" t="e">
        <f t="shared" si="44"/>
        <v>#VALUE!</v>
      </c>
      <c r="B277" s="21">
        <f t="shared" ca="1" si="45"/>
        <v>46121</v>
      </c>
      <c r="C277" s="21">
        <f t="shared" ca="1" si="46"/>
        <v>46157</v>
      </c>
      <c r="D277">
        <f t="shared" ca="1" si="47"/>
        <v>10</v>
      </c>
      <c r="E277">
        <f t="shared" ca="1" si="48"/>
        <v>0.59075285586230597</v>
      </c>
      <c r="F277" s="47">
        <f t="shared" ca="1" si="49"/>
        <v>172.36</v>
      </c>
      <c r="G277" s="32" t="str">
        <f t="shared" ca="1" si="50"/>
        <v>hipotecario</v>
      </c>
      <c r="H27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77" t="str">
        <f t="shared" ca="1" si="51"/>
        <v>Sí</v>
      </c>
      <c r="J27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77" s="32">
        <f ca="1">IF(Tabla2[[#This Row],[¿cliente deuda abierta?]]="Sí", Tabla2[[#This Row],[Deuda actual]]*Tabla2[[#This Row],[diferencia de días]], "0")</f>
        <v>1723.6000000000001</v>
      </c>
      <c r="L27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7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7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77">
        <f t="shared" ca="1" si="52"/>
        <v>1738.14</v>
      </c>
      <c r="P277">
        <f t="shared" ca="1" si="53"/>
        <v>361977.2</v>
      </c>
      <c r="Q277">
        <f t="shared" ca="1" si="54"/>
        <v>5</v>
      </c>
      <c r="R277">
        <f ca="1">((Tabla2[[#This Row],[Fantasma Comunicación]]+1)/(Tabla2[[#This Row],[Fantasma Comunicación]]+RANDBETWEEN(0,5)+2))-0.5</f>
        <v>0.25</v>
      </c>
      <c r="S277" s="51">
        <f ca="1">1+MAX(0,Tabla2[[#This Row],[Deuda actual]]/Tabla2[[#This Row],[Liquidez]]+Tabla2[[#This Row],[Liquidez]]/(Tabla2[[#This Row],[Activos]]+Tabla2[[#This Row],[Liquidez]])+Tabla2[[#This Row],[Comunicación]])</f>
        <v>1.3539423207043053</v>
      </c>
      <c r="T277">
        <f ca="1">Tabla2[[#This Row],[Deuda actual]]*EXP(Tabla2[[#This Row],[Ki]]*Tabla2[[#This Row],[diferencia de días]])*(1+Tabla2[[#This Row],[Hg]])</f>
        <v>181.34031819742472</v>
      </c>
    </row>
    <row r="278" spans="1:20" ht="14.5" x14ac:dyDescent="0.35">
      <c r="A278" t="e">
        <f t="shared" si="44"/>
        <v>#VALUE!</v>
      </c>
      <c r="B278" s="21">
        <f t="shared" ca="1" si="45"/>
        <v>46087</v>
      </c>
      <c r="C278" s="21">
        <f t="shared" ca="1" si="46"/>
        <v>46157</v>
      </c>
      <c r="D278">
        <f t="shared" ca="1" si="47"/>
        <v>22</v>
      </c>
      <c r="E278">
        <f t="shared" ca="1" si="48"/>
        <v>0.92561944580622757</v>
      </c>
      <c r="F278" s="47">
        <f t="shared" ca="1" si="49"/>
        <v>122.12</v>
      </c>
      <c r="G278" s="32" t="str">
        <f t="shared" ca="1" si="50"/>
        <v>personal</v>
      </c>
      <c r="H27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278" t="str">
        <f t="shared" ca="1" si="51"/>
        <v>Sí</v>
      </c>
      <c r="J27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78" s="32">
        <f ca="1">IF(Tabla2[[#This Row],[¿cliente deuda abierta?]]="Sí", Tabla2[[#This Row],[Deuda actual]]*Tabla2[[#This Row],[diferencia de días]], "0")</f>
        <v>2686.6400000000003</v>
      </c>
      <c r="L27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7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7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78">
        <f t="shared" ca="1" si="52"/>
        <v>1112.49</v>
      </c>
      <c r="P278">
        <f t="shared" ca="1" si="53"/>
        <v>167136.09</v>
      </c>
      <c r="Q278">
        <f t="shared" ca="1" si="54"/>
        <v>4</v>
      </c>
      <c r="R278">
        <f ca="1">((Tabla2[[#This Row],[Fantasma Comunicación]]+1)/(Tabla2[[#This Row],[Fantasma Comunicación]]+RANDBETWEEN(0,5)+2))-0.5</f>
        <v>0.33333333333333337</v>
      </c>
      <c r="S278" s="51">
        <f ca="1">1+MAX(0,Tabla2[[#This Row],[Deuda actual]]/Tabla2[[#This Row],[Liquidez]]+Tabla2[[#This Row],[Liquidez]]/(Tabla2[[#This Row],[Activos]]+Tabla2[[#This Row],[Liquidez]])+Tabla2[[#This Row],[Comunicación]])</f>
        <v>1.4497172871826456</v>
      </c>
      <c r="T278">
        <f ca="1">Tabla2[[#This Row],[Deuda actual]]*EXP(Tabla2[[#This Row],[Ki]]*Tabla2[[#This Row],[diferencia de días]])*(1+Tabla2[[#This Row],[Hg]])</f>
        <v>129.35936830655484</v>
      </c>
    </row>
    <row r="279" spans="1:20" ht="14.5" x14ac:dyDescent="0.35">
      <c r="A279" t="e">
        <f t="shared" si="44"/>
        <v>#VALUE!</v>
      </c>
      <c r="B279" s="21">
        <f t="shared" ca="1" si="45"/>
        <v>46140</v>
      </c>
      <c r="C279" s="21">
        <f t="shared" ca="1" si="46"/>
        <v>46157</v>
      </c>
      <c r="D279">
        <f t="shared" ca="1" si="47"/>
        <v>48</v>
      </c>
      <c r="E279">
        <f t="shared" ca="1" si="48"/>
        <v>0.74202396465698983</v>
      </c>
      <c r="F279" s="47">
        <f t="shared" ca="1" si="49"/>
        <v>1692.35</v>
      </c>
      <c r="G279" s="32" t="str">
        <f t="shared" ca="1" si="50"/>
        <v>hipotecario</v>
      </c>
      <c r="H27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279" t="str">
        <f t="shared" ca="1" si="51"/>
        <v>No</v>
      </c>
      <c r="J27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165000.48693119493</v>
      </c>
      <c r="K279" s="32" t="str">
        <f ca="1">IF(Tabla2[[#This Row],[¿cliente deuda abierta?]]="Sí", Tabla2[[#This Row],[Deuda actual]]*Tabla2[[#This Row],[diferencia de días]], "0")</f>
        <v>0</v>
      </c>
      <c r="L27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7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27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279">
        <f t="shared" ca="1" si="52"/>
        <v>2117.0700000000002</v>
      </c>
      <c r="P279">
        <f t="shared" ca="1" si="53"/>
        <v>314534.52</v>
      </c>
      <c r="Q279">
        <f t="shared" ca="1" si="54"/>
        <v>0</v>
      </c>
      <c r="R279">
        <f ca="1">((Tabla2[[#This Row],[Fantasma Comunicación]]+1)/(Tabla2[[#This Row],[Fantasma Comunicación]]+RANDBETWEEN(0,5)+2))-0.5</f>
        <v>-0.33333333333333337</v>
      </c>
      <c r="S279" s="51">
        <f ca="1">1+MAX(0,Tabla2[[#This Row],[Deuda actual]]/Tabla2[[#This Row],[Liquidez]]+Tabla2[[#This Row],[Liquidez]]/(Tabla2[[#This Row],[Activos]]+Tabla2[[#This Row],[Liquidez]])+Tabla2[[#This Row],[Comunicación]])</f>
        <v>1.4727355788669341</v>
      </c>
      <c r="T279">
        <f ca="1">Tabla2[[#This Row],[Deuda actual]]*EXP(Tabla2[[#This Row],[Ki]]*Tabla2[[#This Row],[diferencia de días]])*(1+Tabla2[[#This Row],[Hg]])</f>
        <v>1420.4511668306943</v>
      </c>
    </row>
    <row r="280" spans="1:20" ht="14.5" x14ac:dyDescent="0.35">
      <c r="A280" t="e">
        <f t="shared" si="44"/>
        <v>#VALUE!</v>
      </c>
      <c r="B280" s="21">
        <f t="shared" ca="1" si="45"/>
        <v>46097</v>
      </c>
      <c r="C280" s="21">
        <f t="shared" ca="1" si="46"/>
        <v>46157</v>
      </c>
      <c r="D280">
        <f t="shared" ca="1" si="47"/>
        <v>1</v>
      </c>
      <c r="E280">
        <f t="shared" ca="1" si="48"/>
        <v>0.43275097461793799</v>
      </c>
      <c r="F280" s="47">
        <f t="shared" ca="1" si="49"/>
        <v>201.69</v>
      </c>
      <c r="G280" s="32" t="str">
        <f t="shared" ca="1" si="50"/>
        <v>hipotecario</v>
      </c>
      <c r="H28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80" t="str">
        <f t="shared" ca="1" si="51"/>
        <v>Sí</v>
      </c>
      <c r="J28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80" s="32">
        <f ca="1">IF(Tabla2[[#This Row],[¿cliente deuda abierta?]]="Sí", Tabla2[[#This Row],[Deuda actual]]*Tabla2[[#This Row],[diferencia de días]], "0")</f>
        <v>201.69</v>
      </c>
      <c r="L28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8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8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80">
        <f t="shared" ca="1" si="52"/>
        <v>1569.22</v>
      </c>
      <c r="P280">
        <f t="shared" ca="1" si="53"/>
        <v>136621.21</v>
      </c>
      <c r="Q280">
        <f t="shared" ca="1" si="54"/>
        <v>2</v>
      </c>
      <c r="R280">
        <f ca="1">((Tabla2[[#This Row],[Fantasma Comunicación]]+1)/(Tabla2[[#This Row],[Fantasma Comunicación]]+RANDBETWEEN(0,5)+2))-0.5</f>
        <v>-0.16666666666666669</v>
      </c>
      <c r="S280" s="51">
        <f ca="1">1+MAX(0,Tabla2[[#This Row],[Deuda actual]]/Tabla2[[#This Row],[Liquidez]]+Tabla2[[#This Row],[Liquidez]]/(Tabla2[[#This Row],[Activos]]+Tabla2[[#This Row],[Liquidez]])+Tabla2[[#This Row],[Comunicación]])</f>
        <v>1</v>
      </c>
      <c r="T280">
        <f ca="1">Tabla2[[#This Row],[Deuda actual]]*EXP(Tabla2[[#This Row],[Ki]]*Tabla2[[#This Row],[diferencia de días]])*(1+Tabla2[[#This Row],[Hg]])</f>
        <v>211.8168591357724</v>
      </c>
    </row>
    <row r="281" spans="1:20" ht="14.5" x14ac:dyDescent="0.35">
      <c r="A281" t="e">
        <f t="shared" si="44"/>
        <v>#VALUE!</v>
      </c>
      <c r="B281" s="21">
        <f t="shared" ca="1" si="45"/>
        <v>46123</v>
      </c>
      <c r="C281" s="21">
        <f t="shared" ca="1" si="46"/>
        <v>46157</v>
      </c>
      <c r="D281">
        <f t="shared" ca="1" si="47"/>
        <v>10</v>
      </c>
      <c r="E281">
        <f t="shared" ca="1" si="48"/>
        <v>0.72610062386379215</v>
      </c>
      <c r="F281" s="47">
        <f t="shared" ca="1" si="49"/>
        <v>371.73</v>
      </c>
      <c r="G281" s="32" t="str">
        <f t="shared" ca="1" si="50"/>
        <v>personal</v>
      </c>
      <c r="H28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81" t="str">
        <f t="shared" ca="1" si="51"/>
        <v>No</v>
      </c>
      <c r="J28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12001.39484345904</v>
      </c>
      <c r="K281" s="32" t="str">
        <f ca="1">IF(Tabla2[[#This Row],[¿cliente deuda abierta?]]="Sí", Tabla2[[#This Row],[Deuda actual]]*Tabla2[[#This Row],[diferencia de días]], "0")</f>
        <v>0</v>
      </c>
      <c r="L28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8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28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281">
        <f t="shared" ca="1" si="52"/>
        <v>1680.08</v>
      </c>
      <c r="P281">
        <f t="shared" ca="1" si="53"/>
        <v>105151.66</v>
      </c>
      <c r="Q281">
        <f t="shared" ca="1" si="54"/>
        <v>0</v>
      </c>
      <c r="R281">
        <f ca="1">((Tabla2[[#This Row],[Fantasma Comunicación]]+1)/(Tabla2[[#This Row],[Fantasma Comunicación]]+RANDBETWEEN(0,5)+2))-0.5</f>
        <v>-0.35714285714285715</v>
      </c>
      <c r="S281" s="51">
        <f ca="1">1+MAX(0,Tabla2[[#This Row],[Deuda actual]]/Tabla2[[#This Row],[Liquidez]]+Tabla2[[#This Row],[Liquidez]]/(Tabla2[[#This Row],[Activos]]+Tabla2[[#This Row],[Liquidez]])+Tabla2[[#This Row],[Comunicación]])</f>
        <v>1</v>
      </c>
      <c r="T281">
        <f ca="1">Tabla2[[#This Row],[Deuda actual]]*EXP(Tabla2[[#This Row],[Ki]]*Tabla2[[#This Row],[diferencia de días]])*(1+Tabla2[[#This Row],[Hg]])</f>
        <v>335.22678356029917</v>
      </c>
    </row>
    <row r="282" spans="1:20" ht="14.5" x14ac:dyDescent="0.35">
      <c r="A282" t="e">
        <f t="shared" si="44"/>
        <v>#VALUE!</v>
      </c>
      <c r="B282" s="21">
        <f t="shared" ca="1" si="45"/>
        <v>46135</v>
      </c>
      <c r="C282" s="21">
        <f t="shared" ca="1" si="46"/>
        <v>46157</v>
      </c>
      <c r="D282">
        <f t="shared" ca="1" si="47"/>
        <v>2</v>
      </c>
      <c r="E282">
        <f t="shared" ca="1" si="48"/>
        <v>0.19600848144050942</v>
      </c>
      <c r="F282" s="47">
        <f t="shared" ca="1" si="49"/>
        <v>3119.82</v>
      </c>
      <c r="G282" s="32" t="str">
        <f t="shared" ca="1" si="50"/>
        <v>hipotecario</v>
      </c>
      <c r="H28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82" t="str">
        <f t="shared" ca="1" si="51"/>
        <v>No</v>
      </c>
      <c r="J28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165000.08206956377</v>
      </c>
      <c r="K282" s="32" t="str">
        <f ca="1">IF(Tabla2[[#This Row],[¿cliente deuda abierta?]]="Sí", Tabla2[[#This Row],[Deuda actual]]*Tabla2[[#This Row],[diferencia de días]], "0")</f>
        <v>0</v>
      </c>
      <c r="L28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8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28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282">
        <f t="shared" ca="1" si="52"/>
        <v>1431.01</v>
      </c>
      <c r="P282">
        <f t="shared" ca="1" si="53"/>
        <v>224323.53</v>
      </c>
      <c r="Q282">
        <f t="shared" ca="1" si="54"/>
        <v>0</v>
      </c>
      <c r="R282">
        <f ca="1">((Tabla2[[#This Row],[Fantasma Comunicación]]+1)/(Tabla2[[#This Row],[Fantasma Comunicación]]+RANDBETWEEN(0,5)+2))-0.5</f>
        <v>-0.25</v>
      </c>
      <c r="S282" s="51">
        <f ca="1">1+MAX(0,Tabla2[[#This Row],[Deuda actual]]/Tabla2[[#This Row],[Liquidez]]+Tabla2[[#This Row],[Liquidez]]/(Tabla2[[#This Row],[Activos]]+Tabla2[[#This Row],[Liquidez]])+Tabla2[[#This Row],[Comunicación]])</f>
        <v>2.9364912669680905</v>
      </c>
      <c r="T282">
        <f ca="1">Tabla2[[#This Row],[Deuda actual]]*EXP(Tabla2[[#This Row],[Ki]]*Tabla2[[#This Row],[diferencia de días]])*(1+Tabla2[[#This Row],[Hg]])</f>
        <v>2496.8545420951054</v>
      </c>
    </row>
    <row r="283" spans="1:20" ht="14.5" x14ac:dyDescent="0.35">
      <c r="A283" t="e">
        <f t="shared" si="44"/>
        <v>#VALUE!</v>
      </c>
      <c r="B283" s="21">
        <f t="shared" ca="1" si="45"/>
        <v>46110</v>
      </c>
      <c r="C283" s="21">
        <f t="shared" ca="1" si="46"/>
        <v>46157</v>
      </c>
      <c r="D283">
        <f t="shared" ca="1" si="47"/>
        <v>11</v>
      </c>
      <c r="E283">
        <f t="shared" ca="1" si="48"/>
        <v>5.1563358737305331E-2</v>
      </c>
      <c r="F283" s="47">
        <f t="shared" ca="1" si="49"/>
        <v>5226.22</v>
      </c>
      <c r="G283" s="32" t="str">
        <f t="shared" ca="1" si="50"/>
        <v>hipotecario</v>
      </c>
      <c r="H28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83" t="str">
        <f t="shared" ca="1" si="51"/>
        <v>Sí</v>
      </c>
      <c r="J28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83" s="32">
        <f ca="1">IF(Tabla2[[#This Row],[¿cliente deuda abierta?]]="Sí", Tabla2[[#This Row],[Deuda actual]]*Tabla2[[#This Row],[diferencia de días]], "0")</f>
        <v>57488.420000000006</v>
      </c>
      <c r="L28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28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83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283">
        <f t="shared" ca="1" si="52"/>
        <v>2205.33</v>
      </c>
      <c r="P283">
        <f t="shared" ca="1" si="53"/>
        <v>96551.63</v>
      </c>
      <c r="Q283">
        <f t="shared" ca="1" si="54"/>
        <v>5</v>
      </c>
      <c r="R283">
        <f ca="1">((Tabla2[[#This Row],[Fantasma Comunicación]]+1)/(Tabla2[[#This Row],[Fantasma Comunicación]]+RANDBETWEEN(0,5)+2))-0.5</f>
        <v>0</v>
      </c>
      <c r="S283" s="51">
        <f ca="1">1+MAX(0,Tabla2[[#This Row],[Deuda actual]]/Tabla2[[#This Row],[Liquidez]]+Tabla2[[#This Row],[Liquidez]]/(Tabla2[[#This Row],[Activos]]+Tabla2[[#This Row],[Liquidez]])+Tabla2[[#This Row],[Comunicación]])</f>
        <v>3.392144016335263</v>
      </c>
      <c r="T283">
        <f ca="1">Tabla2[[#This Row],[Deuda actual]]*EXP(Tabla2[[#This Row],[Ki]]*Tabla2[[#This Row],[diferencia de días]])*(1+Tabla2[[#This Row],[Hg]])</f>
        <v>5761.5033748055321</v>
      </c>
    </row>
    <row r="284" spans="1:20" ht="14.5" x14ac:dyDescent="0.35">
      <c r="A284" t="e">
        <f t="shared" si="44"/>
        <v>#VALUE!</v>
      </c>
      <c r="B284" s="21">
        <f t="shared" ca="1" si="45"/>
        <v>46099</v>
      </c>
      <c r="C284" s="21">
        <f t="shared" ca="1" si="46"/>
        <v>46157</v>
      </c>
      <c r="D284">
        <f t="shared" ca="1" si="47"/>
        <v>2</v>
      </c>
      <c r="E284">
        <f t="shared" ca="1" si="48"/>
        <v>0.43793915316878229</v>
      </c>
      <c r="F284" s="47">
        <f t="shared" ca="1" si="49"/>
        <v>2213.41</v>
      </c>
      <c r="G284" s="32" t="str">
        <f t="shared" ca="1" si="50"/>
        <v>hipotecario</v>
      </c>
      <c r="H28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84" t="str">
        <f t="shared" ca="1" si="51"/>
        <v>No</v>
      </c>
      <c r="J28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165000.46809135537</v>
      </c>
      <c r="K284" s="32" t="str">
        <f ca="1">IF(Tabla2[[#This Row],[¿cliente deuda abierta?]]="Sí", Tabla2[[#This Row],[Deuda actual]]*Tabla2[[#This Row],[diferencia de días]], "0")</f>
        <v>0</v>
      </c>
      <c r="L28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8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28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284">
        <f t="shared" ca="1" si="52"/>
        <v>1575.92</v>
      </c>
      <c r="P284">
        <f t="shared" ca="1" si="53"/>
        <v>91807.58</v>
      </c>
      <c r="Q284">
        <f t="shared" ca="1" si="54"/>
        <v>0</v>
      </c>
      <c r="R284">
        <f ca="1">((Tabla2[[#This Row],[Fantasma Comunicación]]+1)/(Tabla2[[#This Row],[Fantasma Comunicación]]+RANDBETWEEN(0,5)+2))-0.5</f>
        <v>-0.25</v>
      </c>
      <c r="S284" s="51">
        <f ca="1">1+MAX(0,Tabla2[[#This Row],[Deuda actual]]/Tabla2[[#This Row],[Liquidez]]+Tabla2[[#This Row],[Liquidez]]/(Tabla2[[#This Row],[Activos]]+Tabla2[[#This Row],[Liquidez]])+Tabla2[[#This Row],[Comunicación]])</f>
        <v>2.1713950513449696</v>
      </c>
      <c r="T284">
        <f ca="1">Tabla2[[#This Row],[Deuda actual]]*EXP(Tabla2[[#This Row],[Ki]]*Tabla2[[#This Row],[diferencia de días]])*(1+Tabla2[[#This Row],[Hg]])</f>
        <v>1771.4364328771298</v>
      </c>
    </row>
    <row r="285" spans="1:20" ht="14.5" x14ac:dyDescent="0.35">
      <c r="A285" t="e">
        <f t="shared" si="44"/>
        <v>#VALUE!</v>
      </c>
      <c r="B285" s="21">
        <f t="shared" ca="1" si="45"/>
        <v>46142</v>
      </c>
      <c r="C285" s="21">
        <f t="shared" ca="1" si="46"/>
        <v>46157</v>
      </c>
      <c r="D285">
        <f t="shared" ca="1" si="47"/>
        <v>37</v>
      </c>
      <c r="E285">
        <f t="shared" ca="1" si="48"/>
        <v>0.77493227706586132</v>
      </c>
      <c r="F285" s="47">
        <f t="shared" ca="1" si="49"/>
        <v>252.27</v>
      </c>
      <c r="G285" s="32" t="str">
        <f t="shared" ca="1" si="50"/>
        <v>hipotecario</v>
      </c>
      <c r="H28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285" t="str">
        <f t="shared" ca="1" si="51"/>
        <v>Sí</v>
      </c>
      <c r="J28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85" s="32">
        <f ca="1">IF(Tabla2[[#This Row],[¿cliente deuda abierta?]]="Sí", Tabla2[[#This Row],[Deuda actual]]*Tabla2[[#This Row],[diferencia de días]], "0")</f>
        <v>9333.99</v>
      </c>
      <c r="L28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8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8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85">
        <f t="shared" ca="1" si="52"/>
        <v>1228.47</v>
      </c>
      <c r="P285">
        <f t="shared" ca="1" si="53"/>
        <v>210416.65</v>
      </c>
      <c r="Q285">
        <f t="shared" ca="1" si="54"/>
        <v>5</v>
      </c>
      <c r="R285">
        <f ca="1">((Tabla2[[#This Row],[Fantasma Comunicación]]+1)/(Tabla2[[#This Row],[Fantasma Comunicación]]+RANDBETWEEN(0,5)+2))-0.5</f>
        <v>0.16666666666666663</v>
      </c>
      <c r="S285" s="51">
        <f ca="1">1+MAX(0,Tabla2[[#This Row],[Deuda actual]]/Tabla2[[#This Row],[Liquidez]]+Tabla2[[#This Row],[Liquidez]]/(Tabla2[[#This Row],[Activos]]+Tabla2[[#This Row],[Liquidez]])+Tabla2[[#This Row],[Comunicación]])</f>
        <v>1.3778240528746053</v>
      </c>
      <c r="T285">
        <f ca="1">Tabla2[[#This Row],[Deuda actual]]*EXP(Tabla2[[#This Row],[Ki]]*Tabla2[[#This Row],[diferencia de días]])*(1+Tabla2[[#This Row],[Hg]])</f>
        <v>274.86775928518404</v>
      </c>
    </row>
    <row r="286" spans="1:20" ht="14.5" x14ac:dyDescent="0.35">
      <c r="A286" t="e">
        <f t="shared" si="44"/>
        <v>#VALUE!</v>
      </c>
      <c r="B286" s="21">
        <f t="shared" ca="1" si="45"/>
        <v>46119</v>
      </c>
      <c r="C286" s="21">
        <f t="shared" ca="1" si="46"/>
        <v>46157</v>
      </c>
      <c r="D286">
        <f t="shared" ca="1" si="47"/>
        <v>6</v>
      </c>
      <c r="E286">
        <f t="shared" ca="1" si="48"/>
        <v>0.43162170178456294</v>
      </c>
      <c r="F286" s="47">
        <f t="shared" ca="1" si="49"/>
        <v>556.59</v>
      </c>
      <c r="G286" s="32" t="str">
        <f t="shared" ca="1" si="50"/>
        <v>personal</v>
      </c>
      <c r="H28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86" t="str">
        <f t="shared" ca="1" si="51"/>
        <v>No</v>
      </c>
      <c r="J28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12000.897319436546</v>
      </c>
      <c r="K286" s="32" t="str">
        <f ca="1">IF(Tabla2[[#This Row],[¿cliente deuda abierta?]]="Sí", Tabla2[[#This Row],[Deuda actual]]*Tabla2[[#This Row],[diferencia de días]], "0")</f>
        <v>0</v>
      </c>
      <c r="L28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8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28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286">
        <f t="shared" ca="1" si="52"/>
        <v>2446.9699999999998</v>
      </c>
      <c r="P286">
        <f t="shared" ca="1" si="53"/>
        <v>93227.15</v>
      </c>
      <c r="Q286">
        <f t="shared" ca="1" si="54"/>
        <v>4</v>
      </c>
      <c r="R286">
        <f ca="1">((Tabla2[[#This Row],[Fantasma Comunicación]]+1)/(Tabla2[[#This Row],[Fantasma Comunicación]]+RANDBETWEEN(0,5)+2))-0.5</f>
        <v>0</v>
      </c>
      <c r="S286" s="51">
        <f ca="1">1+MAX(0,Tabla2[[#This Row],[Deuda actual]]/Tabla2[[#This Row],[Liquidez]]+Tabla2[[#This Row],[Liquidez]]/(Tabla2[[#This Row],[Activos]]+Tabla2[[#This Row],[Liquidez]])+Tabla2[[#This Row],[Comunicación]])</f>
        <v>1.2530369916296298</v>
      </c>
      <c r="T286">
        <f ca="1">Tabla2[[#This Row],[Deuda actual]]*EXP(Tabla2[[#This Row],[Ki]]*Tabla2[[#This Row],[diferencia de días]])*(1+Tabla2[[#This Row],[Hg]])</f>
        <v>501.53247801463141</v>
      </c>
    </row>
    <row r="287" spans="1:20" ht="14.5" x14ac:dyDescent="0.35">
      <c r="A287" t="e">
        <f t="shared" si="44"/>
        <v>#VALUE!</v>
      </c>
      <c r="B287" s="21">
        <f t="shared" ca="1" si="45"/>
        <v>46102</v>
      </c>
      <c r="C287" s="21">
        <f t="shared" ca="1" si="46"/>
        <v>46157</v>
      </c>
      <c r="D287">
        <f t="shared" ca="1" si="47"/>
        <v>25</v>
      </c>
      <c r="E287">
        <f t="shared" ca="1" si="48"/>
        <v>0.68789015060162328</v>
      </c>
      <c r="F287" s="47">
        <f t="shared" ca="1" si="49"/>
        <v>123.55</v>
      </c>
      <c r="G287" s="32" t="str">
        <f t="shared" ca="1" si="50"/>
        <v>personal</v>
      </c>
      <c r="H28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287" t="str">
        <f t="shared" ca="1" si="51"/>
        <v>No</v>
      </c>
      <c r="J28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12001.05741371968</v>
      </c>
      <c r="K287" s="32" t="str">
        <f ca="1">IF(Tabla2[[#This Row],[¿cliente deuda abierta?]]="Sí", Tabla2[[#This Row],[Deuda actual]]*Tabla2[[#This Row],[diferencia de días]], "0")</f>
        <v>0</v>
      </c>
      <c r="L28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8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28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287">
        <f t="shared" ca="1" si="52"/>
        <v>1789.59</v>
      </c>
      <c r="P287">
        <f t="shared" ca="1" si="53"/>
        <v>173570.96</v>
      </c>
      <c r="Q287">
        <f t="shared" ca="1" si="54"/>
        <v>4</v>
      </c>
      <c r="R287">
        <f ca="1">((Tabla2[[#This Row],[Fantasma Comunicación]]+1)/(Tabla2[[#This Row],[Fantasma Comunicación]]+RANDBETWEEN(0,5)+2))-0.5</f>
        <v>0.125</v>
      </c>
      <c r="S287" s="51">
        <f ca="1">1+MAX(0,Tabla2[[#This Row],[Deuda actual]]/Tabla2[[#This Row],[Liquidez]]+Tabla2[[#This Row],[Liquidez]]/(Tabla2[[#This Row],[Activos]]+Tabla2[[#This Row],[Liquidez]])+Tabla2[[#This Row],[Comunicación]])</f>
        <v>1.2042433625160558</v>
      </c>
      <c r="T287">
        <f ca="1">Tabla2[[#This Row],[Deuda actual]]*EXP(Tabla2[[#This Row],[Ki]]*Tabla2[[#This Row],[diferencia de días]])*(1+Tabla2[[#This Row],[Hg]])</f>
        <v>112.31252832892406</v>
      </c>
    </row>
    <row r="288" spans="1:20" ht="14.5" x14ac:dyDescent="0.35">
      <c r="A288" t="e">
        <f t="shared" si="44"/>
        <v>#VALUE!</v>
      </c>
      <c r="B288" s="21">
        <f t="shared" ca="1" si="45"/>
        <v>46136</v>
      </c>
      <c r="C288" s="21">
        <f t="shared" ca="1" si="46"/>
        <v>46157</v>
      </c>
      <c r="D288">
        <f t="shared" ca="1" si="47"/>
        <v>15</v>
      </c>
      <c r="E288">
        <f t="shared" ca="1" si="48"/>
        <v>0.75106810618237463</v>
      </c>
      <c r="F288" s="47">
        <f t="shared" ca="1" si="49"/>
        <v>444.82</v>
      </c>
      <c r="G288" s="32" t="str">
        <f t="shared" ca="1" si="50"/>
        <v>hipotecario</v>
      </c>
      <c r="H28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288" t="str">
        <f t="shared" ca="1" si="51"/>
        <v>No</v>
      </c>
      <c r="J28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165000.29906491228</v>
      </c>
      <c r="K288" s="32" t="str">
        <f ca="1">IF(Tabla2[[#This Row],[¿cliente deuda abierta?]]="Sí", Tabla2[[#This Row],[Deuda actual]]*Tabla2[[#This Row],[diferencia de días]], "0")</f>
        <v>0</v>
      </c>
      <c r="L28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8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28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288">
        <f t="shared" ca="1" si="52"/>
        <v>1624.86</v>
      </c>
      <c r="P288">
        <f t="shared" ca="1" si="53"/>
        <v>114895.48</v>
      </c>
      <c r="Q288">
        <f t="shared" ca="1" si="54"/>
        <v>4</v>
      </c>
      <c r="R288">
        <f ca="1">((Tabla2[[#This Row],[Fantasma Comunicación]]+1)/(Tabla2[[#This Row],[Fantasma Comunicación]]+RANDBETWEEN(0,5)+2))-0.5</f>
        <v>0</v>
      </c>
      <c r="S288" s="51">
        <f ca="1">1+MAX(0,Tabla2[[#This Row],[Deuda actual]]/Tabla2[[#This Row],[Liquidez]]+Tabla2[[#This Row],[Liquidez]]/(Tabla2[[#This Row],[Activos]]+Tabla2[[#This Row],[Liquidez]])+Tabla2[[#This Row],[Comunicación]])</f>
        <v>1.287703831475824</v>
      </c>
      <c r="T288">
        <f ca="1">Tabla2[[#This Row],[Deuda actual]]*EXP(Tabla2[[#This Row],[Ki]]*Tabla2[[#This Row],[diferencia de días]])*(1+Tabla2[[#This Row],[Hg]])</f>
        <v>357.99755423805533</v>
      </c>
    </row>
    <row r="289" spans="1:20" ht="14.5" x14ac:dyDescent="0.35">
      <c r="A289" t="e">
        <f t="shared" si="44"/>
        <v>#VALUE!</v>
      </c>
      <c r="B289" s="21">
        <f t="shared" ca="1" si="45"/>
        <v>46143</v>
      </c>
      <c r="C289" s="21">
        <f t="shared" ca="1" si="46"/>
        <v>46157</v>
      </c>
      <c r="D289">
        <f t="shared" ca="1" si="47"/>
        <v>29</v>
      </c>
      <c r="E289">
        <f t="shared" ca="1" si="48"/>
        <v>0.29261470862498884</v>
      </c>
      <c r="F289" s="47">
        <f t="shared" ca="1" si="49"/>
        <v>4194.62</v>
      </c>
      <c r="G289" s="32" t="str">
        <f t="shared" ca="1" si="50"/>
        <v>personal</v>
      </c>
      <c r="H28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289" t="str">
        <f t="shared" ca="1" si="51"/>
        <v>Sí</v>
      </c>
      <c r="J28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89" s="32">
        <f ca="1">IF(Tabla2[[#This Row],[¿cliente deuda abierta?]]="Sí", Tabla2[[#This Row],[Deuda actual]]*Tabla2[[#This Row],[diferencia de días]], "0")</f>
        <v>121643.98</v>
      </c>
      <c r="L28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28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89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289">
        <f t="shared" ca="1" si="52"/>
        <v>1588.52</v>
      </c>
      <c r="P289">
        <f t="shared" ca="1" si="53"/>
        <v>390579.48</v>
      </c>
      <c r="Q289">
        <f t="shared" ca="1" si="54"/>
        <v>2</v>
      </c>
      <c r="R289">
        <f ca="1">((Tabla2[[#This Row],[Fantasma Comunicación]]+1)/(Tabla2[[#This Row],[Fantasma Comunicación]]+RANDBETWEEN(0,5)+2))-0.5</f>
        <v>-0.16666666666666669</v>
      </c>
      <c r="S289" s="51">
        <f ca="1">1+MAX(0,Tabla2[[#This Row],[Deuda actual]]/Tabla2[[#This Row],[Liquidez]]+Tabla2[[#This Row],[Liquidez]]/(Tabla2[[#This Row],[Activos]]+Tabla2[[#This Row],[Liquidez]])+Tabla2[[#This Row],[Comunicación]])</f>
        <v>3.4779676322571031</v>
      </c>
      <c r="T289">
        <f ca="1">Tabla2[[#This Row],[Deuda actual]]*EXP(Tabla2[[#This Row],[Ki]]*Tabla2[[#This Row],[diferencia de días]])*(1+Tabla2[[#This Row],[Hg]])</f>
        <v>4880.0950354980796</v>
      </c>
    </row>
    <row r="290" spans="1:20" ht="14.5" x14ac:dyDescent="0.35">
      <c r="A290" t="e">
        <f t="shared" si="44"/>
        <v>#VALUE!</v>
      </c>
      <c r="B290" s="21">
        <f t="shared" ca="1" si="45"/>
        <v>46131</v>
      </c>
      <c r="C290" s="21">
        <f t="shared" ca="1" si="46"/>
        <v>46157</v>
      </c>
      <c r="D290">
        <f t="shared" ca="1" si="47"/>
        <v>35</v>
      </c>
      <c r="E290">
        <f t="shared" ca="1" si="48"/>
        <v>8.3046975425673519E-3</v>
      </c>
      <c r="F290" s="47">
        <f t="shared" ca="1" si="49"/>
        <v>1141.19</v>
      </c>
      <c r="G290" s="32" t="str">
        <f t="shared" ca="1" si="50"/>
        <v>hipotecario</v>
      </c>
      <c r="H29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290" t="str">
        <f t="shared" ca="1" si="51"/>
        <v>No</v>
      </c>
      <c r="J29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164999.80566975352</v>
      </c>
      <c r="K290" s="32" t="str">
        <f ca="1">IF(Tabla2[[#This Row],[¿cliente deuda abierta?]]="Sí", Tabla2[[#This Row],[Deuda actual]]*Tabla2[[#This Row],[diferencia de días]], "0")</f>
        <v>0</v>
      </c>
      <c r="L29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9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29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290">
        <f t="shared" ca="1" si="52"/>
        <v>1015.83</v>
      </c>
      <c r="P290">
        <f t="shared" ca="1" si="53"/>
        <v>72752.259999999995</v>
      </c>
      <c r="Q290">
        <f t="shared" ca="1" si="54"/>
        <v>4</v>
      </c>
      <c r="R290">
        <f ca="1">((Tabla2[[#This Row],[Fantasma Comunicación]]+1)/(Tabla2[[#This Row],[Fantasma Comunicación]]+RANDBETWEEN(0,5)+2))-0.5</f>
        <v>0.125</v>
      </c>
      <c r="S290" s="51">
        <f ca="1">1+MAX(0,Tabla2[[#This Row],[Deuda actual]]/Tabla2[[#This Row],[Liquidez]]+Tabla2[[#This Row],[Liquidez]]/(Tabla2[[#This Row],[Activos]]+Tabla2[[#This Row],[Liquidez]])+Tabla2[[#This Row],[Comunicación]])</f>
        <v>2.2621770638327017</v>
      </c>
      <c r="T290">
        <f ca="1">Tabla2[[#This Row],[Deuda actual]]*EXP(Tabla2[[#This Row],[Ki]]*Tabla2[[#This Row],[diferencia de días]])*(1+Tabla2[[#This Row],[Hg]])</f>
        <v>945.47108438803377</v>
      </c>
    </row>
    <row r="291" spans="1:20" ht="14.5" x14ac:dyDescent="0.35">
      <c r="A291" t="e">
        <f t="shared" si="44"/>
        <v>#VALUE!</v>
      </c>
      <c r="B291" s="21">
        <f t="shared" ca="1" si="45"/>
        <v>46114</v>
      </c>
      <c r="C291" s="21">
        <f t="shared" ca="1" si="46"/>
        <v>46157</v>
      </c>
      <c r="D291">
        <f t="shared" ca="1" si="47"/>
        <v>5</v>
      </c>
      <c r="E291">
        <f t="shared" ca="1" si="48"/>
        <v>0.39978306135967423</v>
      </c>
      <c r="F291" s="47">
        <f t="shared" ca="1" si="49"/>
        <v>4426.13</v>
      </c>
      <c r="G291" s="32" t="str">
        <f t="shared" ca="1" si="50"/>
        <v>personal</v>
      </c>
      <c r="H29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91" t="str">
        <f t="shared" ca="1" si="51"/>
        <v>Sí</v>
      </c>
      <c r="J29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91" s="32">
        <f ca="1">IF(Tabla2[[#This Row],[¿cliente deuda abierta?]]="Sí", Tabla2[[#This Row],[Deuda actual]]*Tabla2[[#This Row],[diferencia de días]], "0")</f>
        <v>22130.65</v>
      </c>
      <c r="L29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9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9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91">
        <f t="shared" ca="1" si="52"/>
        <v>1895.01</v>
      </c>
      <c r="P291">
        <f t="shared" ca="1" si="53"/>
        <v>149159.04999999999</v>
      </c>
      <c r="Q291">
        <f t="shared" ca="1" si="54"/>
        <v>3</v>
      </c>
      <c r="R291">
        <f ca="1">((Tabla2[[#This Row],[Fantasma Comunicación]]+1)/(Tabla2[[#This Row],[Fantasma Comunicación]]+RANDBETWEEN(0,5)+2))-0.5</f>
        <v>0.30000000000000004</v>
      </c>
      <c r="S291" s="51">
        <f ca="1">1+MAX(0,Tabla2[[#This Row],[Deuda actual]]/Tabla2[[#This Row],[Liquidez]]+Tabla2[[#This Row],[Liquidez]]/(Tabla2[[#This Row],[Activos]]+Tabla2[[#This Row],[Liquidez]])+Tabla2[[#This Row],[Comunicación]])</f>
        <v>3.6482215726207263</v>
      </c>
      <c r="T291">
        <f ca="1">Tabla2[[#This Row],[Deuda actual]]*EXP(Tabla2[[#This Row],[Ki]]*Tabla2[[#This Row],[diferencia de días]])*(1+Tabla2[[#This Row],[Hg]])</f>
        <v>4652.0862609930173</v>
      </c>
    </row>
    <row r="292" spans="1:20" ht="14.5" x14ac:dyDescent="0.35">
      <c r="A292" t="e">
        <f t="shared" si="44"/>
        <v>#VALUE!</v>
      </c>
      <c r="B292" s="21">
        <f t="shared" ca="1" si="45"/>
        <v>46124</v>
      </c>
      <c r="C292" s="21">
        <f t="shared" ca="1" si="46"/>
        <v>46157</v>
      </c>
      <c r="D292">
        <f t="shared" ca="1" si="47"/>
        <v>1</v>
      </c>
      <c r="E292">
        <f t="shared" ca="1" si="48"/>
        <v>0.63716158469293593</v>
      </c>
      <c r="F292" s="47">
        <f t="shared" ca="1" si="49"/>
        <v>1183.1500000000001</v>
      </c>
      <c r="G292" s="32" t="str">
        <f t="shared" ca="1" si="50"/>
        <v>personal</v>
      </c>
      <c r="H29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92" t="str">
        <f t="shared" ca="1" si="51"/>
        <v>No</v>
      </c>
      <c r="J29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12000.834153611169</v>
      </c>
      <c r="K292" s="32" t="str">
        <f ca="1">IF(Tabla2[[#This Row],[¿cliente deuda abierta?]]="Sí", Tabla2[[#This Row],[Deuda actual]]*Tabla2[[#This Row],[diferencia de días]], "0")</f>
        <v>0</v>
      </c>
      <c r="L29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9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29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292">
        <f t="shared" ca="1" si="52"/>
        <v>1706.15</v>
      </c>
      <c r="P292">
        <f t="shared" ca="1" si="53"/>
        <v>128328.55</v>
      </c>
      <c r="Q292">
        <f t="shared" ca="1" si="54"/>
        <v>0</v>
      </c>
      <c r="R292">
        <f ca="1">((Tabla2[[#This Row],[Fantasma Comunicación]]+1)/(Tabla2[[#This Row],[Fantasma Comunicación]]+RANDBETWEEN(0,5)+2))-0.5</f>
        <v>-0.25</v>
      </c>
      <c r="S292" s="51">
        <f ca="1">1+MAX(0,Tabla2[[#This Row],[Deuda actual]]/Tabla2[[#This Row],[Liquidez]]+Tabla2[[#This Row],[Liquidez]]/(Tabla2[[#This Row],[Activos]]+Tabla2[[#This Row],[Liquidez]])+Tabla2[[#This Row],[Comunicación]])</f>
        <v>1.4565826164202089</v>
      </c>
      <c r="T292">
        <f ca="1">Tabla2[[#This Row],[Deuda actual]]*EXP(Tabla2[[#This Row],[Ki]]*Tabla2[[#This Row],[diferencia de días]])*(1+Tabla2[[#This Row],[Hg]])</f>
        <v>1065.0479882981201</v>
      </c>
    </row>
    <row r="293" spans="1:20" ht="14.5" x14ac:dyDescent="0.35">
      <c r="A293" t="e">
        <f t="shared" si="44"/>
        <v>#VALUE!</v>
      </c>
      <c r="B293" s="21">
        <f t="shared" ca="1" si="45"/>
        <v>46140</v>
      </c>
      <c r="C293" s="21">
        <f t="shared" ca="1" si="46"/>
        <v>46157</v>
      </c>
      <c r="D293">
        <f t="shared" ca="1" si="47"/>
        <v>13</v>
      </c>
      <c r="E293">
        <f t="shared" ca="1" si="48"/>
        <v>0.10326136645789474</v>
      </c>
      <c r="F293" s="47">
        <f t="shared" ca="1" si="49"/>
        <v>6987.28</v>
      </c>
      <c r="G293" s="32" t="str">
        <f t="shared" ca="1" si="50"/>
        <v>hipotecario</v>
      </c>
      <c r="H29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93" t="str">
        <f t="shared" ca="1" si="51"/>
        <v>Sí</v>
      </c>
      <c r="J29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93" s="32">
        <f ca="1">IF(Tabla2[[#This Row],[¿cliente deuda abierta?]]="Sí", Tabla2[[#This Row],[Deuda actual]]*Tabla2[[#This Row],[diferencia de días]], "0")</f>
        <v>90834.64</v>
      </c>
      <c r="L29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29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93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293">
        <f t="shared" ca="1" si="52"/>
        <v>1729.79</v>
      </c>
      <c r="P293">
        <f t="shared" ca="1" si="53"/>
        <v>171350.49</v>
      </c>
      <c r="Q293">
        <f t="shared" ca="1" si="54"/>
        <v>4</v>
      </c>
      <c r="R293">
        <f ca="1">((Tabla2[[#This Row],[Fantasma Comunicación]]+1)/(Tabla2[[#This Row],[Fantasma Comunicación]]+RANDBETWEEN(0,5)+2))-0.5</f>
        <v>0.2142857142857143</v>
      </c>
      <c r="S293" s="51">
        <f ca="1">1+MAX(0,Tabla2[[#This Row],[Deuda actual]]/Tabla2[[#This Row],[Liquidez]]+Tabla2[[#This Row],[Liquidez]]/(Tabla2[[#This Row],[Activos]]+Tabla2[[#This Row],[Liquidez]])+Tabla2[[#This Row],[Comunicación]])</f>
        <v>5.2636603655014813</v>
      </c>
      <c r="T293">
        <f ca="1">Tabla2[[#This Row],[Deuda actual]]*EXP(Tabla2[[#This Row],[Ki]]*Tabla2[[#This Row],[diferencia de días]])*(1+Tabla2[[#This Row],[Hg]])</f>
        <v>8056.2911503109508</v>
      </c>
    </row>
    <row r="294" spans="1:20" ht="14.5" x14ac:dyDescent="0.35">
      <c r="A294" t="e">
        <f t="shared" si="44"/>
        <v>#VALUE!</v>
      </c>
      <c r="B294" s="21">
        <f t="shared" ca="1" si="45"/>
        <v>46103</v>
      </c>
      <c r="C294" s="21">
        <f t="shared" ca="1" si="46"/>
        <v>46157</v>
      </c>
      <c r="D294">
        <f t="shared" ca="1" si="47"/>
        <v>35</v>
      </c>
      <c r="E294">
        <f t="shared" ca="1" si="48"/>
        <v>0.80452896801641305</v>
      </c>
      <c r="F294" s="47">
        <f t="shared" ca="1" si="49"/>
        <v>3234.94</v>
      </c>
      <c r="G294" s="32" t="str">
        <f t="shared" ca="1" si="50"/>
        <v>personal</v>
      </c>
      <c r="H29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294" t="str">
        <f t="shared" ca="1" si="51"/>
        <v>No</v>
      </c>
      <c r="J29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11999.028177278846</v>
      </c>
      <c r="K294" s="32" t="str">
        <f ca="1">IF(Tabla2[[#This Row],[¿cliente deuda abierta?]]="Sí", Tabla2[[#This Row],[Deuda actual]]*Tabla2[[#This Row],[diferencia de días]], "0")</f>
        <v>0</v>
      </c>
      <c r="L29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29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29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294">
        <f t="shared" ca="1" si="52"/>
        <v>2860.32</v>
      </c>
      <c r="P294">
        <f t="shared" ca="1" si="53"/>
        <v>115532.61</v>
      </c>
      <c r="Q294">
        <f t="shared" ca="1" si="54"/>
        <v>3</v>
      </c>
      <c r="R294">
        <f ca="1">((Tabla2[[#This Row],[Fantasma Comunicación]]+1)/(Tabla2[[#This Row],[Fantasma Comunicación]]+RANDBETWEEN(0,5)+2))-0.5</f>
        <v>7.1428571428571397E-2</v>
      </c>
      <c r="S294" s="51">
        <f ca="1">1+MAX(0,Tabla2[[#This Row],[Deuda actual]]/Tabla2[[#This Row],[Liquidez]]+Tabla2[[#This Row],[Liquidez]]/(Tabla2[[#This Row],[Activos]]+Tabla2[[#This Row],[Liquidez]])+Tabla2[[#This Row],[Comunicación]])</f>
        <v>2.2265594820198644</v>
      </c>
      <c r="T294">
        <f ca="1">Tabla2[[#This Row],[Deuda actual]]*EXP(Tabla2[[#This Row],[Ki]]*Tabla2[[#This Row],[diferencia de días]])*(1+Tabla2[[#This Row],[Hg]])</f>
        <v>3015.1508587058279</v>
      </c>
    </row>
    <row r="295" spans="1:20" ht="14.5" x14ac:dyDescent="0.35">
      <c r="A295" t="e">
        <f t="shared" si="44"/>
        <v>#VALUE!</v>
      </c>
      <c r="B295" s="21">
        <f t="shared" ca="1" si="45"/>
        <v>46114</v>
      </c>
      <c r="C295" s="21">
        <f t="shared" ca="1" si="46"/>
        <v>46157</v>
      </c>
      <c r="D295">
        <f t="shared" ca="1" si="47"/>
        <v>10</v>
      </c>
      <c r="E295">
        <f t="shared" ca="1" si="48"/>
        <v>0.4318874089889726</v>
      </c>
      <c r="F295" s="47">
        <f t="shared" ca="1" si="49"/>
        <v>594.53</v>
      </c>
      <c r="G295" s="32" t="str">
        <f t="shared" ca="1" si="50"/>
        <v>hipotecario</v>
      </c>
      <c r="H29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95" t="str">
        <f t="shared" ca="1" si="51"/>
        <v>Sí</v>
      </c>
      <c r="J29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95" s="32">
        <f ca="1">IF(Tabla2[[#This Row],[¿cliente deuda abierta?]]="Sí", Tabla2[[#This Row],[Deuda actual]]*Tabla2[[#This Row],[diferencia de días]], "0")</f>
        <v>5945.2999999999993</v>
      </c>
      <c r="L29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9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9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95">
        <f t="shared" ca="1" si="52"/>
        <v>1616.83</v>
      </c>
      <c r="P295">
        <f t="shared" ca="1" si="53"/>
        <v>56731.8</v>
      </c>
      <c r="Q295">
        <f t="shared" ca="1" si="54"/>
        <v>0</v>
      </c>
      <c r="R295">
        <f ca="1">((Tabla2[[#This Row],[Fantasma Comunicación]]+1)/(Tabla2[[#This Row],[Fantasma Comunicación]]+RANDBETWEEN(0,5)+2))-0.5</f>
        <v>-0.35714285714285715</v>
      </c>
      <c r="S295" s="51">
        <f ca="1">1+MAX(0,Tabla2[[#This Row],[Deuda actual]]/Tabla2[[#This Row],[Liquidez]]+Tabla2[[#This Row],[Liquidez]]/(Tabla2[[#This Row],[Activos]]+Tabla2[[#This Row],[Liquidez]])+Tabla2[[#This Row],[Comunicación]])</f>
        <v>1.0382803273065409</v>
      </c>
      <c r="T295">
        <f ca="1">Tabla2[[#This Row],[Deuda actual]]*EXP(Tabla2[[#This Row],[Ki]]*Tabla2[[#This Row],[diferencia de días]])*(1+Tabla2[[#This Row],[Hg]])</f>
        <v>625.50626234575839</v>
      </c>
    </row>
    <row r="296" spans="1:20" ht="14.5" x14ac:dyDescent="0.35">
      <c r="A296" t="e">
        <f t="shared" si="44"/>
        <v>#VALUE!</v>
      </c>
      <c r="B296" s="21">
        <f t="shared" ca="1" si="45"/>
        <v>46104</v>
      </c>
      <c r="C296" s="21">
        <f t="shared" ca="1" si="46"/>
        <v>46157</v>
      </c>
      <c r="D296">
        <f t="shared" ca="1" si="47"/>
        <v>17</v>
      </c>
      <c r="E296">
        <f t="shared" ca="1" si="48"/>
        <v>0.89792925018967784</v>
      </c>
      <c r="F296" s="47">
        <f t="shared" ca="1" si="49"/>
        <v>759.09</v>
      </c>
      <c r="G296" s="32" t="str">
        <f t="shared" ca="1" si="50"/>
        <v>personal</v>
      </c>
      <c r="H29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296" t="str">
        <f t="shared" ca="1" si="51"/>
        <v>Sí</v>
      </c>
      <c r="J29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96" s="32">
        <f ca="1">IF(Tabla2[[#This Row],[¿cliente deuda abierta?]]="Sí", Tabla2[[#This Row],[Deuda actual]]*Tabla2[[#This Row],[diferencia de días]], "0")</f>
        <v>12904.53</v>
      </c>
      <c r="L29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9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9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96">
        <f t="shared" ca="1" si="52"/>
        <v>1729.64</v>
      </c>
      <c r="P296">
        <f t="shared" ca="1" si="53"/>
        <v>226856.26</v>
      </c>
      <c r="Q296">
        <f t="shared" ca="1" si="54"/>
        <v>0</v>
      </c>
      <c r="R296">
        <f ca="1">((Tabla2[[#This Row],[Fantasma Comunicación]]+1)/(Tabla2[[#This Row],[Fantasma Comunicación]]+RANDBETWEEN(0,5)+2))-0.5</f>
        <v>-0.33333333333333337</v>
      </c>
      <c r="S296" s="51">
        <f ca="1">1+MAX(0,Tabla2[[#This Row],[Deuda actual]]/Tabla2[[#This Row],[Liquidez]]+Tabla2[[#This Row],[Liquidez]]/(Tabla2[[#This Row],[Activos]]+Tabla2[[#This Row],[Liquidez]])+Tabla2[[#This Row],[Comunicación]])</f>
        <v>1.1131050353182526</v>
      </c>
      <c r="T296">
        <f ca="1">Tabla2[[#This Row],[Deuda actual]]*EXP(Tabla2[[#This Row],[Ki]]*Tabla2[[#This Row],[diferencia de días]])*(1+Tabla2[[#This Row],[Hg]])</f>
        <v>802.48287210932745</v>
      </c>
    </row>
    <row r="297" spans="1:20" ht="14.5" x14ac:dyDescent="0.35">
      <c r="A297" t="e">
        <f t="shared" si="44"/>
        <v>#VALUE!</v>
      </c>
      <c r="B297" s="21">
        <f t="shared" ca="1" si="45"/>
        <v>46133</v>
      </c>
      <c r="C297" s="21">
        <f t="shared" ca="1" si="46"/>
        <v>46157</v>
      </c>
      <c r="D297">
        <f t="shared" ca="1" si="47"/>
        <v>8</v>
      </c>
      <c r="E297">
        <f t="shared" ca="1" si="48"/>
        <v>0.60902605492116835</v>
      </c>
      <c r="F297" s="47">
        <f t="shared" ca="1" si="49"/>
        <v>801.84</v>
      </c>
      <c r="G297" s="32" t="str">
        <f t="shared" ca="1" si="50"/>
        <v>personal</v>
      </c>
      <c r="H29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97" t="str">
        <f t="shared" ca="1" si="51"/>
        <v>Sí</v>
      </c>
      <c r="J29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97" s="32">
        <f ca="1">IF(Tabla2[[#This Row],[¿cliente deuda abierta?]]="Sí", Tabla2[[#This Row],[Deuda actual]]*Tabla2[[#This Row],[diferencia de días]], "0")</f>
        <v>6414.72</v>
      </c>
      <c r="L29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9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9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97">
        <f t="shared" ca="1" si="52"/>
        <v>1962.97</v>
      </c>
      <c r="P297">
        <f t="shared" ca="1" si="53"/>
        <v>288653.83</v>
      </c>
      <c r="Q297">
        <f t="shared" ca="1" si="54"/>
        <v>2</v>
      </c>
      <c r="R297">
        <f ca="1">((Tabla2[[#This Row],[Fantasma Comunicación]]+1)/(Tabla2[[#This Row],[Fantasma Comunicación]]+RANDBETWEEN(0,5)+2))-0.5</f>
        <v>0.25</v>
      </c>
      <c r="S297" s="51">
        <f ca="1">1+MAX(0,Tabla2[[#This Row],[Deuda actual]]/Tabla2[[#This Row],[Liquidez]]+Tabla2[[#This Row],[Liquidez]]/(Tabla2[[#This Row],[Activos]]+Tabla2[[#This Row],[Liquidez]])+Tabla2[[#This Row],[Comunicación]])</f>
        <v>1.6652375598834492</v>
      </c>
      <c r="T297">
        <f ca="1">Tabla2[[#This Row],[Deuda actual]]*EXP(Tabla2[[#This Row],[Ki]]*Tabla2[[#This Row],[diferencia de días]])*(1+Tabla2[[#This Row],[Hg]])</f>
        <v>843.28016944794888</v>
      </c>
    </row>
    <row r="298" spans="1:20" ht="14.5" x14ac:dyDescent="0.35">
      <c r="A298" t="e">
        <f t="shared" si="44"/>
        <v>#VALUE!</v>
      </c>
      <c r="B298" s="21">
        <f t="shared" ca="1" si="45"/>
        <v>46135</v>
      </c>
      <c r="C298" s="21">
        <f t="shared" ca="1" si="46"/>
        <v>46157</v>
      </c>
      <c r="D298">
        <f t="shared" ca="1" si="47"/>
        <v>6</v>
      </c>
      <c r="E298">
        <f t="shared" ca="1" si="48"/>
        <v>0.31517240171170147</v>
      </c>
      <c r="F298" s="47">
        <f t="shared" ca="1" si="49"/>
        <v>814.39</v>
      </c>
      <c r="G298" s="32" t="str">
        <f t="shared" ca="1" si="50"/>
        <v>personal</v>
      </c>
      <c r="H29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298" t="str">
        <f t="shared" ca="1" si="51"/>
        <v>Sí</v>
      </c>
      <c r="J29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98" s="32">
        <f ca="1">IF(Tabla2[[#This Row],[¿cliente deuda abierta?]]="Sí", Tabla2[[#This Row],[Deuda actual]]*Tabla2[[#This Row],[diferencia de días]], "0")</f>
        <v>4886.34</v>
      </c>
      <c r="L29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9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9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98">
        <f t="shared" ca="1" si="52"/>
        <v>1540.81</v>
      </c>
      <c r="P298">
        <f t="shared" ca="1" si="53"/>
        <v>22003.58</v>
      </c>
      <c r="Q298">
        <f t="shared" ca="1" si="54"/>
        <v>4</v>
      </c>
      <c r="R298">
        <f ca="1">((Tabla2[[#This Row],[Fantasma Comunicación]]+1)/(Tabla2[[#This Row],[Fantasma Comunicación]]+RANDBETWEEN(0,5)+2))-0.5</f>
        <v>0</v>
      </c>
      <c r="S298" s="51">
        <f ca="1">1+MAX(0,Tabla2[[#This Row],[Deuda actual]]/Tabla2[[#This Row],[Liquidez]]+Tabla2[[#This Row],[Liquidez]]/(Tabla2[[#This Row],[Activos]]+Tabla2[[#This Row],[Liquidez]])+Tabla2[[#This Row],[Comunicación]])</f>
        <v>1.5939894392742771</v>
      </c>
      <c r="T298">
        <f ca="1">Tabla2[[#This Row],[Deuda actual]]*EXP(Tabla2[[#This Row],[Ki]]*Tabla2[[#This Row],[diferencia de días]])*(1+Tabla2[[#This Row],[Hg]])</f>
        <v>856.13624732518542</v>
      </c>
    </row>
    <row r="299" spans="1:20" ht="14.5" x14ac:dyDescent="0.35">
      <c r="A299" t="e">
        <f t="shared" si="44"/>
        <v>#VALUE!</v>
      </c>
      <c r="B299" s="21">
        <f t="shared" ca="1" si="45"/>
        <v>46116</v>
      </c>
      <c r="C299" s="21">
        <f t="shared" ca="1" si="46"/>
        <v>46157</v>
      </c>
      <c r="D299">
        <f t="shared" ca="1" si="47"/>
        <v>20</v>
      </c>
      <c r="E299">
        <f t="shared" ca="1" si="48"/>
        <v>0.81893158775036989</v>
      </c>
      <c r="F299" s="47">
        <f t="shared" ca="1" si="49"/>
        <v>283.76</v>
      </c>
      <c r="G299" s="32" t="str">
        <f t="shared" ca="1" si="50"/>
        <v>hipotecario</v>
      </c>
      <c r="H29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299" t="str">
        <f t="shared" ca="1" si="51"/>
        <v>Sí</v>
      </c>
      <c r="J29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299" s="32">
        <f ca="1">IF(Tabla2[[#This Row],[¿cliente deuda abierta?]]="Sí", Tabla2[[#This Row],[Deuda actual]]*Tabla2[[#This Row],[diferencia de días]], "0")</f>
        <v>5675.2</v>
      </c>
      <c r="L29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29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29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299">
        <f t="shared" ca="1" si="52"/>
        <v>1782.56</v>
      </c>
      <c r="P299">
        <f t="shared" ca="1" si="53"/>
        <v>184791.71</v>
      </c>
      <c r="Q299">
        <f t="shared" ca="1" si="54"/>
        <v>2</v>
      </c>
      <c r="R299">
        <f ca="1">((Tabla2[[#This Row],[Fantasma Comunicación]]+1)/(Tabla2[[#This Row],[Fantasma Comunicación]]+RANDBETWEEN(0,5)+2))-0.5</f>
        <v>0</v>
      </c>
      <c r="S299" s="51">
        <f ca="1">1+MAX(0,Tabla2[[#This Row],[Deuda actual]]/Tabla2[[#This Row],[Liquidez]]+Tabla2[[#This Row],[Liquidez]]/(Tabla2[[#This Row],[Activos]]+Tabla2[[#This Row],[Liquidez]])+Tabla2[[#This Row],[Comunicación]])</f>
        <v>1.1687409452503978</v>
      </c>
      <c r="T299">
        <f ca="1">Tabla2[[#This Row],[Deuda actual]]*EXP(Tabla2[[#This Row],[Ki]]*Tabla2[[#This Row],[diferencia de días]])*(1+Tabla2[[#This Row],[Hg]])</f>
        <v>300.34114381182729</v>
      </c>
    </row>
    <row r="300" spans="1:20" ht="14.5" x14ac:dyDescent="0.35">
      <c r="A300" t="e">
        <f t="shared" si="44"/>
        <v>#VALUE!</v>
      </c>
      <c r="B300" s="21">
        <f t="shared" ca="1" si="45"/>
        <v>46088</v>
      </c>
      <c r="C300" s="21">
        <f t="shared" ca="1" si="46"/>
        <v>46157</v>
      </c>
      <c r="D300">
        <f t="shared" ca="1" si="47"/>
        <v>8</v>
      </c>
      <c r="E300">
        <f t="shared" ca="1" si="48"/>
        <v>0.83686500868259706</v>
      </c>
      <c r="F300" s="47">
        <f t="shared" ca="1" si="49"/>
        <v>1108.1400000000001</v>
      </c>
      <c r="G300" s="32" t="str">
        <f t="shared" ca="1" si="50"/>
        <v>personal</v>
      </c>
      <c r="H30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00" t="str">
        <f t="shared" ca="1" si="51"/>
        <v>Sí</v>
      </c>
      <c r="J30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00" s="32">
        <f ca="1">IF(Tabla2[[#This Row],[¿cliente deuda abierta?]]="Sí", Tabla2[[#This Row],[Deuda actual]]*Tabla2[[#This Row],[diferencia de días]], "0")</f>
        <v>8865.1200000000008</v>
      </c>
      <c r="L30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0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0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00">
        <f t="shared" ca="1" si="52"/>
        <v>1347.72</v>
      </c>
      <c r="P300">
        <f t="shared" ca="1" si="53"/>
        <v>114051.44</v>
      </c>
      <c r="Q300">
        <f t="shared" ca="1" si="54"/>
        <v>4</v>
      </c>
      <c r="R300">
        <f ca="1">((Tabla2[[#This Row],[Fantasma Comunicación]]+1)/(Tabla2[[#This Row],[Fantasma Comunicación]]+RANDBETWEEN(0,5)+2))-0.5</f>
        <v>0.125</v>
      </c>
      <c r="S300" s="51">
        <f ca="1">1+MAX(0,Tabla2[[#This Row],[Deuda actual]]/Tabla2[[#This Row],[Liquidez]]+Tabla2[[#This Row],[Liquidez]]/(Tabla2[[#This Row],[Activos]]+Tabla2[[#This Row],[Liquidez]])+Tabla2[[#This Row],[Comunicación]])</f>
        <v>1.9589118726515995</v>
      </c>
      <c r="T300">
        <f ca="1">Tabla2[[#This Row],[Deuda actual]]*EXP(Tabla2[[#This Row],[Ki]]*Tabla2[[#This Row],[diferencia de días]])*(1+Tabla2[[#This Row],[Hg]])</f>
        <v>1165.4101653347927</v>
      </c>
    </row>
    <row r="301" spans="1:20" ht="14.5" x14ac:dyDescent="0.35">
      <c r="A301" t="e">
        <f t="shared" si="44"/>
        <v>#VALUE!</v>
      </c>
      <c r="B301" s="21">
        <f t="shared" ca="1" si="45"/>
        <v>46120</v>
      </c>
      <c r="C301" s="21">
        <f t="shared" ca="1" si="46"/>
        <v>46157</v>
      </c>
      <c r="D301">
        <f t="shared" ca="1" si="47"/>
        <v>18</v>
      </c>
      <c r="E301">
        <f t="shared" ca="1" si="48"/>
        <v>0.68548412513485724</v>
      </c>
      <c r="F301" s="47">
        <f t="shared" ca="1" si="49"/>
        <v>4077.26</v>
      </c>
      <c r="G301" s="32" t="str">
        <f t="shared" ca="1" si="50"/>
        <v>personal</v>
      </c>
      <c r="H30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301" t="str">
        <f t="shared" ca="1" si="51"/>
        <v>Sí</v>
      </c>
      <c r="J30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01" s="32">
        <f ca="1">IF(Tabla2[[#This Row],[¿cliente deuda abierta?]]="Sí", Tabla2[[#This Row],[Deuda actual]]*Tabla2[[#This Row],[diferencia de días]], "0")</f>
        <v>73390.680000000008</v>
      </c>
      <c r="L30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30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01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301">
        <f t="shared" ca="1" si="52"/>
        <v>2207.89</v>
      </c>
      <c r="P301">
        <f t="shared" ca="1" si="53"/>
        <v>381708.17</v>
      </c>
      <c r="Q301">
        <f t="shared" ca="1" si="54"/>
        <v>2</v>
      </c>
      <c r="R301">
        <f ca="1">((Tabla2[[#This Row],[Fantasma Comunicación]]+1)/(Tabla2[[#This Row],[Fantasma Comunicación]]+RANDBETWEEN(0,5)+2))-0.5</f>
        <v>-0.16666666666666669</v>
      </c>
      <c r="S301" s="51">
        <f ca="1">1+MAX(0,Tabla2[[#This Row],[Deuda actual]]/Tabla2[[#This Row],[Liquidez]]+Tabla2[[#This Row],[Liquidez]]/(Tabla2[[#This Row],[Activos]]+Tabla2[[#This Row],[Liquidez]])+Tabla2[[#This Row],[Comunicación]])</f>
        <v>2.6857614482430319</v>
      </c>
      <c r="T301">
        <f ca="1">Tabla2[[#This Row],[Deuda actual]]*EXP(Tabla2[[#This Row],[Ki]]*Tabla2[[#This Row],[diferencia de días]])*(1+Tabla2[[#This Row],[Hg]])</f>
        <v>4722.730539975787</v>
      </c>
    </row>
    <row r="302" spans="1:20" ht="14.5" x14ac:dyDescent="0.35">
      <c r="A302" t="e">
        <f t="shared" si="44"/>
        <v>#VALUE!</v>
      </c>
      <c r="B302" s="21">
        <f t="shared" ca="1" si="45"/>
        <v>46110</v>
      </c>
      <c r="C302" s="21">
        <f t="shared" ca="1" si="46"/>
        <v>46157</v>
      </c>
      <c r="D302">
        <f t="shared" ca="1" si="47"/>
        <v>87</v>
      </c>
      <c r="E302">
        <f t="shared" ca="1" si="48"/>
        <v>0.70645163946169109</v>
      </c>
      <c r="F302" s="47">
        <f t="shared" ca="1" si="49"/>
        <v>438.47</v>
      </c>
      <c r="G302" s="32" t="str">
        <f t="shared" ca="1" si="50"/>
        <v>hipotecario</v>
      </c>
      <c r="H30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302" t="str">
        <f t="shared" ca="1" si="51"/>
        <v>No</v>
      </c>
      <c r="J30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164999.1361021488</v>
      </c>
      <c r="K302" s="32" t="str">
        <f ca="1">IF(Tabla2[[#This Row],[¿cliente deuda abierta?]]="Sí", Tabla2[[#This Row],[Deuda actual]]*Tabla2[[#This Row],[diferencia de días]], "0")</f>
        <v>0</v>
      </c>
      <c r="L30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0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0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02">
        <f t="shared" ca="1" si="52"/>
        <v>1300.46</v>
      </c>
      <c r="P302">
        <f t="shared" ca="1" si="53"/>
        <v>149587.95000000001</v>
      </c>
      <c r="Q302">
        <f t="shared" ca="1" si="54"/>
        <v>4</v>
      </c>
      <c r="R302">
        <f ca="1">((Tabla2[[#This Row],[Fantasma Comunicación]]+1)/(Tabla2[[#This Row],[Fantasma Comunicación]]+RANDBETWEEN(0,5)+2))-0.5</f>
        <v>0.33333333333333337</v>
      </c>
      <c r="S302" s="51">
        <f ca="1">1+MAX(0,Tabla2[[#This Row],[Deuda actual]]/Tabla2[[#This Row],[Liquidez]]+Tabla2[[#This Row],[Liquidez]]/(Tabla2[[#This Row],[Activos]]+Tabla2[[#This Row],[Liquidez]])+Tabla2[[#This Row],[Comunicación]])</f>
        <v>1.6791173312172085</v>
      </c>
      <c r="T302">
        <f ca="1">Tabla2[[#This Row],[Deuda actual]]*EXP(Tabla2[[#This Row],[Ki]]*Tabla2[[#This Row],[diferencia de días]])*(1+Tabla2[[#This Row],[Hg]])</f>
        <v>382.66037372485863</v>
      </c>
    </row>
    <row r="303" spans="1:20" ht="14.5" x14ac:dyDescent="0.35">
      <c r="A303" t="e">
        <f t="shared" si="44"/>
        <v>#VALUE!</v>
      </c>
      <c r="B303" s="21">
        <f t="shared" ca="1" si="45"/>
        <v>46118</v>
      </c>
      <c r="C303" s="21">
        <f t="shared" ca="1" si="46"/>
        <v>46157</v>
      </c>
      <c r="D303">
        <f t="shared" ca="1" si="47"/>
        <v>0</v>
      </c>
      <c r="E303">
        <f t="shared" ca="1" si="48"/>
        <v>1.4240270754148021E-2</v>
      </c>
      <c r="F303" s="47">
        <f t="shared" ca="1" si="49"/>
        <v>4696.16</v>
      </c>
      <c r="G303" s="32" t="str">
        <f t="shared" ca="1" si="50"/>
        <v>hipotecario</v>
      </c>
      <c r="H30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03" t="str">
        <f t="shared" ca="1" si="51"/>
        <v>No</v>
      </c>
      <c r="J30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165000.12925327744</v>
      </c>
      <c r="K303" s="32" t="str">
        <f ca="1">IF(Tabla2[[#This Row],[¿cliente deuda abierta?]]="Sí", Tabla2[[#This Row],[Deuda actual]]*Tabla2[[#This Row],[diferencia de días]], "0")</f>
        <v>0</v>
      </c>
      <c r="L30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0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0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03">
        <f t="shared" ca="1" si="52"/>
        <v>1672.55</v>
      </c>
      <c r="P303">
        <f t="shared" ca="1" si="53"/>
        <v>51259.54</v>
      </c>
      <c r="Q303">
        <f t="shared" ca="1" si="54"/>
        <v>0</v>
      </c>
      <c r="R303">
        <f ca="1">((Tabla2[[#This Row],[Fantasma Comunicación]]+1)/(Tabla2[[#This Row],[Fantasma Comunicación]]+RANDBETWEEN(0,5)+2))-0.5</f>
        <v>-0.35714285714285715</v>
      </c>
      <c r="S303" s="51">
        <f ca="1">1+MAX(0,Tabla2[[#This Row],[Deuda actual]]/Tabla2[[#This Row],[Liquidez]]+Tabla2[[#This Row],[Liquidez]]/(Tabla2[[#This Row],[Activos]]+Tabla2[[#This Row],[Liquidez]])+Tabla2[[#This Row],[Comunicación]])</f>
        <v>3.4822396978863557</v>
      </c>
      <c r="T303">
        <f ca="1">Tabla2[[#This Row],[Deuda actual]]*EXP(Tabla2[[#This Row],[Ki]]*Tabla2[[#This Row],[diferencia de días]])*(1+Tabla2[[#This Row],[Hg]])</f>
        <v>3756.9279999999999</v>
      </c>
    </row>
    <row r="304" spans="1:20" ht="14.5" x14ac:dyDescent="0.35">
      <c r="A304" t="e">
        <f t="shared" si="44"/>
        <v>#VALUE!</v>
      </c>
      <c r="B304" s="21">
        <f t="shared" ca="1" si="45"/>
        <v>46104</v>
      </c>
      <c r="C304" s="21">
        <f t="shared" ca="1" si="46"/>
        <v>46157</v>
      </c>
      <c r="D304">
        <f t="shared" ca="1" si="47"/>
        <v>23</v>
      </c>
      <c r="E304">
        <f t="shared" ca="1" si="48"/>
        <v>0.69761163437696772</v>
      </c>
      <c r="F304" s="47">
        <f t="shared" ca="1" si="49"/>
        <v>971.11</v>
      </c>
      <c r="G304" s="32" t="str">
        <f t="shared" ca="1" si="50"/>
        <v>personal</v>
      </c>
      <c r="H30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304" t="str">
        <f t="shared" ca="1" si="51"/>
        <v>Sí</v>
      </c>
      <c r="J30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04" s="32">
        <f ca="1">IF(Tabla2[[#This Row],[¿cliente deuda abierta?]]="Sí", Tabla2[[#This Row],[Deuda actual]]*Tabla2[[#This Row],[diferencia de días]], "0")</f>
        <v>22335.53</v>
      </c>
      <c r="L30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0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0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04">
        <f t="shared" ca="1" si="52"/>
        <v>1831.54</v>
      </c>
      <c r="P304">
        <f t="shared" ca="1" si="53"/>
        <v>53204.24</v>
      </c>
      <c r="Q304">
        <f t="shared" ca="1" si="54"/>
        <v>2</v>
      </c>
      <c r="R304">
        <f ca="1">((Tabla2[[#This Row],[Fantasma Comunicación]]+1)/(Tabla2[[#This Row],[Fantasma Comunicación]]+RANDBETWEEN(0,5)+2))-0.5</f>
        <v>0.25</v>
      </c>
      <c r="S304" s="51">
        <f ca="1">1+MAX(0,Tabla2[[#This Row],[Deuda actual]]/Tabla2[[#This Row],[Liquidez]]+Tabla2[[#This Row],[Liquidez]]/(Tabla2[[#This Row],[Activos]]+Tabla2[[#This Row],[Liquidez]])+Tabla2[[#This Row],[Comunicación]])</f>
        <v>1.8134940880391701</v>
      </c>
      <c r="T304">
        <f ca="1">Tabla2[[#This Row],[Deuda actual]]*EXP(Tabla2[[#This Row],[Ki]]*Tabla2[[#This Row],[diferencia de días]])*(1+Tabla2[[#This Row],[Hg]])</f>
        <v>1029.0897074824363</v>
      </c>
    </row>
    <row r="305" spans="1:20" ht="14.5" x14ac:dyDescent="0.35">
      <c r="A305" t="e">
        <f t="shared" si="44"/>
        <v>#VALUE!</v>
      </c>
      <c r="B305" s="21">
        <f t="shared" ca="1" si="45"/>
        <v>46107</v>
      </c>
      <c r="C305" s="21">
        <f t="shared" ca="1" si="46"/>
        <v>46157</v>
      </c>
      <c r="D305">
        <f t="shared" ca="1" si="47"/>
        <v>22</v>
      </c>
      <c r="E305">
        <f t="shared" ca="1" si="48"/>
        <v>0.52600276114836886</v>
      </c>
      <c r="F305" s="47">
        <f t="shared" ca="1" si="49"/>
        <v>961.13</v>
      </c>
      <c r="G305" s="32" t="str">
        <f t="shared" ca="1" si="50"/>
        <v>hipotecario</v>
      </c>
      <c r="H30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305" t="str">
        <f t="shared" ca="1" si="51"/>
        <v>No</v>
      </c>
      <c r="J30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164999.61008660248</v>
      </c>
      <c r="K305" s="32" t="str">
        <f ca="1">IF(Tabla2[[#This Row],[¿cliente deuda abierta?]]="Sí", Tabla2[[#This Row],[Deuda actual]]*Tabla2[[#This Row],[diferencia de días]], "0")</f>
        <v>0</v>
      </c>
      <c r="L30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0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0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05">
        <f t="shared" ca="1" si="52"/>
        <v>1526.8</v>
      </c>
      <c r="P305">
        <f t="shared" ca="1" si="53"/>
        <v>64820.1</v>
      </c>
      <c r="Q305">
        <f t="shared" ca="1" si="54"/>
        <v>2</v>
      </c>
      <c r="R305">
        <f ca="1">((Tabla2[[#This Row],[Fantasma Comunicación]]+1)/(Tabla2[[#This Row],[Fantasma Comunicación]]+RANDBETWEEN(0,5)+2))-0.5</f>
        <v>-0.16666666666666669</v>
      </c>
      <c r="S305" s="51">
        <f ca="1">1+MAX(0,Tabla2[[#This Row],[Deuda actual]]/Tabla2[[#This Row],[Liquidez]]+Tabla2[[#This Row],[Liquidez]]/(Tabla2[[#This Row],[Activos]]+Tabla2[[#This Row],[Liquidez]])+Tabla2[[#This Row],[Comunicación]])</f>
        <v>1.4858518688761486</v>
      </c>
      <c r="T305">
        <f ca="1">Tabla2[[#This Row],[Deuda actual]]*EXP(Tabla2[[#This Row],[Ki]]*Tabla2[[#This Row],[diferencia de días]])*(1+Tabla2[[#This Row],[Hg]])</f>
        <v>775.70021468643824</v>
      </c>
    </row>
    <row r="306" spans="1:20" ht="14.5" x14ac:dyDescent="0.35">
      <c r="A306" t="e">
        <f t="shared" si="44"/>
        <v>#VALUE!</v>
      </c>
      <c r="B306" s="21">
        <f t="shared" ca="1" si="45"/>
        <v>46091</v>
      </c>
      <c r="C306" s="21">
        <f t="shared" ca="1" si="46"/>
        <v>46157</v>
      </c>
      <c r="D306">
        <f t="shared" ca="1" si="47"/>
        <v>29</v>
      </c>
      <c r="E306">
        <f t="shared" ca="1" si="48"/>
        <v>0.25319349500125354</v>
      </c>
      <c r="F306" s="47">
        <f t="shared" ca="1" si="49"/>
        <v>3020.39</v>
      </c>
      <c r="G306" s="32" t="str">
        <f t="shared" ca="1" si="50"/>
        <v>hipotecario</v>
      </c>
      <c r="H30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306" t="str">
        <f t="shared" ca="1" si="51"/>
        <v>Sí</v>
      </c>
      <c r="J30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06" s="32">
        <f ca="1">IF(Tabla2[[#This Row],[¿cliente deuda abierta?]]="Sí", Tabla2[[#This Row],[Deuda actual]]*Tabla2[[#This Row],[diferencia de días]], "0")</f>
        <v>87591.31</v>
      </c>
      <c r="L30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30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06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306">
        <f t="shared" ca="1" si="52"/>
        <v>1536.1</v>
      </c>
      <c r="P306">
        <f t="shared" ca="1" si="53"/>
        <v>143756.65</v>
      </c>
      <c r="Q306">
        <f t="shared" ca="1" si="54"/>
        <v>5</v>
      </c>
      <c r="R306">
        <f ca="1">((Tabla2[[#This Row],[Fantasma Comunicación]]+1)/(Tabla2[[#This Row],[Fantasma Comunicación]]+RANDBETWEEN(0,5)+2))-0.5</f>
        <v>0.16666666666666663</v>
      </c>
      <c r="S306" s="51">
        <f ca="1">1+MAX(0,Tabla2[[#This Row],[Deuda actual]]/Tabla2[[#This Row],[Liquidez]]+Tabla2[[#This Row],[Liquidez]]/(Tabla2[[#This Row],[Activos]]+Tabla2[[#This Row],[Liquidez]])+Tabla2[[#This Row],[Comunicación]])</f>
        <v>3.1435108414638839</v>
      </c>
      <c r="T306">
        <f ca="1">Tabla2[[#This Row],[Deuda actual]]*EXP(Tabla2[[#This Row],[Ki]]*Tabla2[[#This Row],[diferencia de días]])*(1+Tabla2[[#This Row],[Hg]])</f>
        <v>3513.9751024569669</v>
      </c>
    </row>
    <row r="307" spans="1:20" ht="14.5" x14ac:dyDescent="0.35">
      <c r="A307" t="e">
        <f t="shared" si="44"/>
        <v>#VALUE!</v>
      </c>
      <c r="B307" s="21">
        <f t="shared" ca="1" si="45"/>
        <v>46090</v>
      </c>
      <c r="C307" s="21">
        <f t="shared" ca="1" si="46"/>
        <v>46157</v>
      </c>
      <c r="D307">
        <f t="shared" ca="1" si="47"/>
        <v>16</v>
      </c>
      <c r="E307">
        <f t="shared" ca="1" si="48"/>
        <v>0.5898843348644951</v>
      </c>
      <c r="F307" s="47">
        <f t="shared" ca="1" si="49"/>
        <v>186.94</v>
      </c>
      <c r="G307" s="32" t="str">
        <f t="shared" ca="1" si="50"/>
        <v>hipotecario</v>
      </c>
      <c r="H30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307" t="str">
        <f t="shared" ca="1" si="51"/>
        <v>Sí</v>
      </c>
      <c r="J30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07" s="32">
        <f ca="1">IF(Tabla2[[#This Row],[¿cliente deuda abierta?]]="Sí", Tabla2[[#This Row],[Deuda actual]]*Tabla2[[#This Row],[diferencia de días]], "0")</f>
        <v>2991.04</v>
      </c>
      <c r="L30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0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0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07">
        <f t="shared" ca="1" si="52"/>
        <v>1682.59</v>
      </c>
      <c r="P307">
        <f t="shared" ca="1" si="53"/>
        <v>174387.6</v>
      </c>
      <c r="Q307">
        <f t="shared" ca="1" si="54"/>
        <v>4</v>
      </c>
      <c r="R307">
        <f ca="1">((Tabla2[[#This Row],[Fantasma Comunicación]]+1)/(Tabla2[[#This Row],[Fantasma Comunicación]]+RANDBETWEEN(0,5)+2))-0.5</f>
        <v>0.2142857142857143</v>
      </c>
      <c r="S307" s="51">
        <f ca="1">1+MAX(0,Tabla2[[#This Row],[Deuda actual]]/Tabla2[[#This Row],[Liquidez]]+Tabla2[[#This Row],[Liquidez]]/(Tabla2[[#This Row],[Activos]]+Tabla2[[#This Row],[Liquidez]])+Tabla2[[#This Row],[Comunicación]])</f>
        <v>1.3349446000611889</v>
      </c>
      <c r="T307">
        <f ca="1">Tabla2[[#This Row],[Deuda actual]]*EXP(Tabla2[[#This Row],[Ki]]*Tabla2[[#This Row],[diferencia de días]])*(1+Tabla2[[#This Row],[Hg]])</f>
        <v>197.54726534740894</v>
      </c>
    </row>
    <row r="308" spans="1:20" ht="14.5" x14ac:dyDescent="0.35">
      <c r="A308" t="e">
        <f t="shared" si="44"/>
        <v>#VALUE!</v>
      </c>
      <c r="B308" s="21">
        <f t="shared" ca="1" si="45"/>
        <v>46093</v>
      </c>
      <c r="C308" s="21">
        <f t="shared" ca="1" si="46"/>
        <v>46157</v>
      </c>
      <c r="D308">
        <f t="shared" ca="1" si="47"/>
        <v>17</v>
      </c>
      <c r="E308">
        <f t="shared" ca="1" si="48"/>
        <v>0.55335337585173772</v>
      </c>
      <c r="F308" s="47">
        <f t="shared" ca="1" si="49"/>
        <v>546.59</v>
      </c>
      <c r="G308" s="32" t="str">
        <f t="shared" ca="1" si="50"/>
        <v>personal</v>
      </c>
      <c r="H30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308" t="str">
        <f t="shared" ca="1" si="51"/>
        <v>Sí</v>
      </c>
      <c r="J30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08" s="32">
        <f ca="1">IF(Tabla2[[#This Row],[¿cliente deuda abierta?]]="Sí", Tabla2[[#This Row],[Deuda actual]]*Tabla2[[#This Row],[diferencia de días]], "0")</f>
        <v>9292.0300000000007</v>
      </c>
      <c r="L30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0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0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08">
        <f t="shared" ca="1" si="52"/>
        <v>2000.94</v>
      </c>
      <c r="P308">
        <f t="shared" ca="1" si="53"/>
        <v>100779.08</v>
      </c>
      <c r="Q308">
        <f t="shared" ca="1" si="54"/>
        <v>4</v>
      </c>
      <c r="R308">
        <f ca="1">((Tabla2[[#This Row],[Fantasma Comunicación]]+1)/(Tabla2[[#This Row],[Fantasma Comunicación]]+RANDBETWEEN(0,5)+2))-0.5</f>
        <v>0.2142857142857143</v>
      </c>
      <c r="S308" s="51">
        <f ca="1">1+MAX(0,Tabla2[[#This Row],[Deuda actual]]/Tabla2[[#This Row],[Liquidez]]+Tabla2[[#This Row],[Liquidez]]/(Tabla2[[#This Row],[Activos]]+Tabla2[[#This Row],[Liquidez]])+Tabla2[[#This Row],[Comunicación]])</f>
        <v>1.5069205066615852</v>
      </c>
      <c r="T308">
        <f ca="1">Tabla2[[#This Row],[Deuda actual]]*EXP(Tabla2[[#This Row],[Ki]]*Tabla2[[#This Row],[diferencia de días]])*(1+Tabla2[[#This Row],[Hg]])</f>
        <v>577.83545174648236</v>
      </c>
    </row>
    <row r="309" spans="1:20" ht="14.5" x14ac:dyDescent="0.35">
      <c r="A309" t="e">
        <f t="shared" si="44"/>
        <v>#VALUE!</v>
      </c>
      <c r="B309" s="21">
        <f t="shared" ca="1" si="45"/>
        <v>46089</v>
      </c>
      <c r="C309" s="21">
        <f t="shared" ca="1" si="46"/>
        <v>46157</v>
      </c>
      <c r="D309">
        <f t="shared" ca="1" si="47"/>
        <v>5</v>
      </c>
      <c r="E309">
        <f t="shared" ca="1" si="48"/>
        <v>0.34244744979262132</v>
      </c>
      <c r="F309" s="47">
        <f t="shared" ca="1" si="49"/>
        <v>1256.67</v>
      </c>
      <c r="G309" s="32" t="str">
        <f t="shared" ca="1" si="50"/>
        <v>personal</v>
      </c>
      <c r="H30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09" t="str">
        <f t="shared" ca="1" si="51"/>
        <v>No</v>
      </c>
      <c r="J30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12000.614595965695</v>
      </c>
      <c r="K309" s="32" t="str">
        <f ca="1">IF(Tabla2[[#This Row],[¿cliente deuda abierta?]]="Sí", Tabla2[[#This Row],[Deuda actual]]*Tabla2[[#This Row],[diferencia de días]], "0")</f>
        <v>0</v>
      </c>
      <c r="L30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0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30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309">
        <f t="shared" ca="1" si="52"/>
        <v>1071.67</v>
      </c>
      <c r="P309">
        <f t="shared" ca="1" si="53"/>
        <v>374125.66</v>
      </c>
      <c r="Q309">
        <f t="shared" ca="1" si="54"/>
        <v>0</v>
      </c>
      <c r="R309">
        <f ca="1">((Tabla2[[#This Row],[Fantasma Comunicación]]+1)/(Tabla2[[#This Row],[Fantasma Comunicación]]+RANDBETWEEN(0,5)+2))-0.5</f>
        <v>-0.35714285714285715</v>
      </c>
      <c r="S309" s="51">
        <f ca="1">1+MAX(0,Tabla2[[#This Row],[Deuda actual]]/Tabla2[[#This Row],[Liquidez]]+Tabla2[[#This Row],[Liquidez]]/(Tabla2[[#This Row],[Activos]]+Tabla2[[#This Row],[Liquidez]])+Tabla2[[#This Row],[Comunicación]])</f>
        <v>1.8183411943855732</v>
      </c>
      <c r="T309">
        <f ca="1">Tabla2[[#This Row],[Deuda actual]]*EXP(Tabla2[[#This Row],[Ki]]*Tabla2[[#This Row],[diferencia de días]])*(1+Tabla2[[#This Row],[Hg]])</f>
        <v>1132.1345686900477</v>
      </c>
    </row>
    <row r="310" spans="1:20" ht="14.5" x14ac:dyDescent="0.35">
      <c r="A310" t="e">
        <f t="shared" si="44"/>
        <v>#VALUE!</v>
      </c>
      <c r="B310" s="21">
        <f t="shared" ca="1" si="45"/>
        <v>46086</v>
      </c>
      <c r="C310" s="21">
        <f t="shared" ca="1" si="46"/>
        <v>46157</v>
      </c>
      <c r="D310">
        <f t="shared" ca="1" si="47"/>
        <v>13</v>
      </c>
      <c r="E310">
        <f t="shared" ca="1" si="48"/>
        <v>0.75290436027544094</v>
      </c>
      <c r="F310" s="47">
        <f t="shared" ca="1" si="49"/>
        <v>1635.93</v>
      </c>
      <c r="G310" s="32" t="str">
        <f t="shared" ca="1" si="50"/>
        <v>personal</v>
      </c>
      <c r="H31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10" t="str">
        <f t="shared" ca="1" si="51"/>
        <v>No</v>
      </c>
      <c r="J31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12000.037662794466</v>
      </c>
      <c r="K310" s="32" t="str">
        <f ca="1">IF(Tabla2[[#This Row],[¿cliente deuda abierta?]]="Sí", Tabla2[[#This Row],[Deuda actual]]*Tabla2[[#This Row],[diferencia de días]], "0")</f>
        <v>0</v>
      </c>
      <c r="L31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1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31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310">
        <f t="shared" ca="1" si="52"/>
        <v>1855.31</v>
      </c>
      <c r="P310">
        <f t="shared" ca="1" si="53"/>
        <v>135983.35999999999</v>
      </c>
      <c r="Q310">
        <f t="shared" ca="1" si="54"/>
        <v>2</v>
      </c>
      <c r="R310">
        <f ca="1">((Tabla2[[#This Row],[Fantasma Comunicación]]+1)/(Tabla2[[#This Row],[Fantasma Comunicación]]+RANDBETWEEN(0,5)+2))-0.5</f>
        <v>0</v>
      </c>
      <c r="S310" s="51">
        <f ca="1">1+MAX(0,Tabla2[[#This Row],[Deuda actual]]/Tabla2[[#This Row],[Liquidez]]+Tabla2[[#This Row],[Liquidez]]/(Tabla2[[#This Row],[Activos]]+Tabla2[[#This Row],[Liquidez]])+Tabla2[[#This Row],[Comunicación]])</f>
        <v>1.8952156204700263</v>
      </c>
      <c r="T310">
        <f ca="1">Tabla2[[#This Row],[Deuda actual]]*EXP(Tabla2[[#This Row],[Ki]]*Tabla2[[#This Row],[diferencia de días]])*(1+Tabla2[[#This Row],[Hg]])</f>
        <v>1476.1700570148309</v>
      </c>
    </row>
    <row r="311" spans="1:20" ht="14.5" x14ac:dyDescent="0.35">
      <c r="A311" t="e">
        <f t="shared" si="44"/>
        <v>#VALUE!</v>
      </c>
      <c r="B311" s="21">
        <f t="shared" ca="1" si="45"/>
        <v>46085</v>
      </c>
      <c r="C311" s="21">
        <f t="shared" ca="1" si="46"/>
        <v>46157</v>
      </c>
      <c r="D311">
        <f t="shared" ca="1" si="47"/>
        <v>4</v>
      </c>
      <c r="E311">
        <f t="shared" ca="1" si="48"/>
        <v>0.22384985107548017</v>
      </c>
      <c r="F311" s="47">
        <f t="shared" ca="1" si="49"/>
        <v>919</v>
      </c>
      <c r="G311" s="32" t="str">
        <f t="shared" ca="1" si="50"/>
        <v>hipotecario</v>
      </c>
      <c r="H31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11" t="str">
        <f t="shared" ca="1" si="51"/>
        <v>Sí</v>
      </c>
      <c r="J31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11" s="32">
        <f ca="1">IF(Tabla2[[#This Row],[¿cliente deuda abierta?]]="Sí", Tabla2[[#This Row],[Deuda actual]]*Tabla2[[#This Row],[diferencia de días]], "0")</f>
        <v>3676</v>
      </c>
      <c r="L31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1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1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11">
        <f t="shared" ca="1" si="52"/>
        <v>1856.25</v>
      </c>
      <c r="P311">
        <f t="shared" ca="1" si="53"/>
        <v>91378.79</v>
      </c>
      <c r="Q311">
        <f t="shared" ca="1" si="54"/>
        <v>3</v>
      </c>
      <c r="R311">
        <f ca="1">((Tabla2[[#This Row],[Fantasma Comunicación]]+1)/(Tabla2[[#This Row],[Fantasma Comunicación]]+RANDBETWEEN(0,5)+2))-0.5</f>
        <v>0.30000000000000004</v>
      </c>
      <c r="S311" s="51">
        <f ca="1">1+MAX(0,Tabla2[[#This Row],[Deuda actual]]/Tabla2[[#This Row],[Liquidez]]+Tabla2[[#This Row],[Liquidez]]/(Tabla2[[#This Row],[Activos]]+Tabla2[[#This Row],[Liquidez]])+Tabla2[[#This Row],[Comunicación]])</f>
        <v>1.8149935353418636</v>
      </c>
      <c r="T311">
        <f ca="1">Tabla2[[#This Row],[Deuda actual]]*EXP(Tabla2[[#This Row],[Ki]]*Tabla2[[#This Row],[diferencia de días]])*(1+Tabla2[[#This Row],[Hg]])</f>
        <v>965.72226886635883</v>
      </c>
    </row>
    <row r="312" spans="1:20" ht="14.5" x14ac:dyDescent="0.35">
      <c r="A312" t="e">
        <f t="shared" si="44"/>
        <v>#VALUE!</v>
      </c>
      <c r="B312" s="21">
        <f t="shared" ca="1" si="45"/>
        <v>46129</v>
      </c>
      <c r="C312" s="21">
        <f t="shared" ca="1" si="46"/>
        <v>46157</v>
      </c>
      <c r="D312">
        <f t="shared" ca="1" si="47"/>
        <v>17</v>
      </c>
      <c r="E312">
        <f t="shared" ca="1" si="48"/>
        <v>0.27699131876109917</v>
      </c>
      <c r="F312" s="47">
        <f t="shared" ca="1" si="49"/>
        <v>987.9</v>
      </c>
      <c r="G312" s="32" t="str">
        <f t="shared" ca="1" si="50"/>
        <v>personal</v>
      </c>
      <c r="H31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312" t="str">
        <f t="shared" ca="1" si="51"/>
        <v>Sí</v>
      </c>
      <c r="J31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12" s="32">
        <f ca="1">IF(Tabla2[[#This Row],[¿cliente deuda abierta?]]="Sí", Tabla2[[#This Row],[Deuda actual]]*Tabla2[[#This Row],[diferencia de días]], "0")</f>
        <v>16794.3</v>
      </c>
      <c r="L31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1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1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12">
        <f t="shared" ca="1" si="52"/>
        <v>1881.33</v>
      </c>
      <c r="P312">
        <f t="shared" ca="1" si="53"/>
        <v>219842.25</v>
      </c>
      <c r="Q312">
        <f t="shared" ca="1" si="54"/>
        <v>0</v>
      </c>
      <c r="R312">
        <f ca="1">((Tabla2[[#This Row],[Fantasma Comunicación]]+1)/(Tabla2[[#This Row],[Fantasma Comunicación]]+RANDBETWEEN(0,5)+2))-0.5</f>
        <v>-0.33333333333333337</v>
      </c>
      <c r="S312" s="51">
        <f ca="1">1+MAX(0,Tabla2[[#This Row],[Deuda actual]]/Tabla2[[#This Row],[Liquidez]]+Tabla2[[#This Row],[Liquidez]]/(Tabla2[[#This Row],[Activos]]+Tabla2[[#This Row],[Liquidez]])+Tabla2[[#This Row],[Comunicación]])</f>
        <v>1.2002589290928372</v>
      </c>
      <c r="T312">
        <f ca="1">Tabla2[[#This Row],[Deuda actual]]*EXP(Tabla2[[#This Row],[Ki]]*Tabla2[[#This Row],[diferencia de días]])*(1+Tabla2[[#This Row],[Hg]])</f>
        <v>1044.3726427127278</v>
      </c>
    </row>
    <row r="313" spans="1:20" ht="14.5" x14ac:dyDescent="0.35">
      <c r="A313" t="e">
        <f t="shared" si="44"/>
        <v>#VALUE!</v>
      </c>
      <c r="B313" s="21">
        <f t="shared" ca="1" si="45"/>
        <v>46097</v>
      </c>
      <c r="C313" s="21">
        <f t="shared" ca="1" si="46"/>
        <v>46157</v>
      </c>
      <c r="D313">
        <f t="shared" ca="1" si="47"/>
        <v>33</v>
      </c>
      <c r="E313">
        <f t="shared" ca="1" si="48"/>
        <v>0.6046864698901413</v>
      </c>
      <c r="F313" s="47">
        <f t="shared" ca="1" si="49"/>
        <v>8099.18</v>
      </c>
      <c r="G313" s="32" t="str">
        <f t="shared" ca="1" si="50"/>
        <v>personal</v>
      </c>
      <c r="H31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313" t="str">
        <f t="shared" ca="1" si="51"/>
        <v>No</v>
      </c>
      <c r="J31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11999.649851098948</v>
      </c>
      <c r="K313" s="32" t="str">
        <f ca="1">IF(Tabla2[[#This Row],[¿cliente deuda abierta?]]="Sí", Tabla2[[#This Row],[Deuda actual]]*Tabla2[[#This Row],[diferencia de días]], "0")</f>
        <v>0</v>
      </c>
      <c r="L31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1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31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313">
        <f t="shared" ca="1" si="52"/>
        <v>1711.35</v>
      </c>
      <c r="P313">
        <f t="shared" ca="1" si="53"/>
        <v>964280.23</v>
      </c>
      <c r="Q313">
        <f t="shared" ca="1" si="54"/>
        <v>5</v>
      </c>
      <c r="R313">
        <f ca="1">((Tabla2[[#This Row],[Fantasma Comunicación]]+1)/(Tabla2[[#This Row],[Fantasma Comunicación]]+RANDBETWEEN(0,5)+2))-0.5</f>
        <v>0</v>
      </c>
      <c r="S313" s="51">
        <f ca="1">1+MAX(0,Tabla2[[#This Row],[Deuda actual]]/Tabla2[[#This Row],[Liquidez]]+Tabla2[[#This Row],[Liquidez]]/(Tabla2[[#This Row],[Activos]]+Tabla2[[#This Row],[Liquidez]])+Tabla2[[#This Row],[Comunicación]])</f>
        <v>5.7343978884797222</v>
      </c>
      <c r="T313">
        <f ca="1">Tabla2[[#This Row],[Deuda actual]]*EXP(Tabla2[[#This Row],[Ki]]*Tabla2[[#This Row],[diferencia de días]])*(1+Tabla2[[#This Row],[Hg]])</f>
        <v>7533.8206707711588</v>
      </c>
    </row>
    <row r="314" spans="1:20" ht="14.5" x14ac:dyDescent="0.35">
      <c r="A314" t="e">
        <f t="shared" si="44"/>
        <v>#VALUE!</v>
      </c>
      <c r="B314" s="21">
        <f t="shared" ca="1" si="45"/>
        <v>46104</v>
      </c>
      <c r="C314" s="21">
        <f t="shared" ca="1" si="46"/>
        <v>46157</v>
      </c>
      <c r="D314">
        <f t="shared" ca="1" si="47"/>
        <v>10</v>
      </c>
      <c r="E314">
        <f t="shared" ca="1" si="48"/>
        <v>0.99572461974406257</v>
      </c>
      <c r="F314" s="47">
        <f t="shared" ca="1" si="49"/>
        <v>1648.66</v>
      </c>
      <c r="G314" s="32" t="str">
        <f t="shared" ca="1" si="50"/>
        <v>hipotecario</v>
      </c>
      <c r="H31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14" t="str">
        <f t="shared" ca="1" si="51"/>
        <v>No</v>
      </c>
      <c r="J31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165000.39421071182</v>
      </c>
      <c r="K314" s="32" t="str">
        <f ca="1">IF(Tabla2[[#This Row],[¿cliente deuda abierta?]]="Sí", Tabla2[[#This Row],[Deuda actual]]*Tabla2[[#This Row],[diferencia de días]], "0")</f>
        <v>0</v>
      </c>
      <c r="L31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1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1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14">
        <f t="shared" ca="1" si="52"/>
        <v>1282.6500000000001</v>
      </c>
      <c r="P314">
        <f t="shared" ca="1" si="53"/>
        <v>198787.49</v>
      </c>
      <c r="Q314">
        <f t="shared" ca="1" si="54"/>
        <v>2</v>
      </c>
      <c r="R314">
        <f ca="1">((Tabla2[[#This Row],[Fantasma Comunicación]]+1)/(Tabla2[[#This Row],[Fantasma Comunicación]]+RANDBETWEEN(0,5)+2))-0.5</f>
        <v>-0.16666666666666669</v>
      </c>
      <c r="S314" s="51">
        <f ca="1">1+MAX(0,Tabla2[[#This Row],[Deuda actual]]/Tabla2[[#This Row],[Liquidez]]+Tabla2[[#This Row],[Liquidez]]/(Tabla2[[#This Row],[Activos]]+Tabla2[[#This Row],[Liquidez]])+Tabla2[[#This Row],[Comunicación]])</f>
        <v>2.1250988744251362</v>
      </c>
      <c r="T314">
        <f ca="1">Tabla2[[#This Row],[Deuda actual]]*EXP(Tabla2[[#This Row],[Ki]]*Tabla2[[#This Row],[diferencia de días]])*(1+Tabla2[[#This Row],[Hg]])</f>
        <v>1321.5684956154505</v>
      </c>
    </row>
    <row r="315" spans="1:20" ht="14.5" x14ac:dyDescent="0.35">
      <c r="A315" t="e">
        <f t="shared" si="44"/>
        <v>#VALUE!</v>
      </c>
      <c r="B315" s="21">
        <f t="shared" ca="1" si="45"/>
        <v>46122</v>
      </c>
      <c r="C315" s="21">
        <f t="shared" ca="1" si="46"/>
        <v>46157</v>
      </c>
      <c r="D315">
        <f t="shared" ca="1" si="47"/>
        <v>101</v>
      </c>
      <c r="E315">
        <f t="shared" ca="1" si="48"/>
        <v>0.87501207237172773</v>
      </c>
      <c r="F315" s="47">
        <f t="shared" ca="1" si="49"/>
        <v>2164.9499999999998</v>
      </c>
      <c r="G315" s="32" t="str">
        <f t="shared" ca="1" si="50"/>
        <v>personal</v>
      </c>
      <c r="H31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0</v>
      </c>
      <c r="I315" t="str">
        <f t="shared" ca="1" si="51"/>
        <v>Sí</v>
      </c>
      <c r="J31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15" s="32">
        <f ca="1">IF(Tabla2[[#This Row],[¿cliente deuda abierta?]]="Sí", Tabla2[[#This Row],[Deuda actual]]*Tabla2[[#This Row],[diferencia de días]], "0")</f>
        <v>218659.94999999998</v>
      </c>
      <c r="L31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0.5</v>
      </c>
      <c r="M31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15" s="32">
        <f ca="1">MAX(Tabla2[[#This Row],[VALORES DE Hg para actuales deudores]:[Valores de HG para deudores cerrados]])*IF(Tabla2[[#This Row],[VALORES DE Hg para actuales deudores]]&gt;Tabla2[[#This Row],[Valores de HG para deudores cerrados]],-1,1)</f>
        <v>0.5</v>
      </c>
      <c r="O315">
        <f t="shared" ca="1" si="52"/>
        <v>1878.4</v>
      </c>
      <c r="P315">
        <f t="shared" ca="1" si="53"/>
        <v>81205.78</v>
      </c>
      <c r="Q315">
        <f t="shared" ca="1" si="54"/>
        <v>4</v>
      </c>
      <c r="R315">
        <f ca="1">((Tabla2[[#This Row],[Fantasma Comunicación]]+1)/(Tabla2[[#This Row],[Fantasma Comunicación]]+RANDBETWEEN(0,5)+2))-0.5</f>
        <v>0</v>
      </c>
      <c r="S315" s="51">
        <f ca="1">1+MAX(0,Tabla2[[#This Row],[Deuda actual]]/Tabla2[[#This Row],[Liquidez]]+Tabla2[[#This Row],[Liquidez]]/(Tabla2[[#This Row],[Activos]]+Tabla2[[#This Row],[Liquidez]])+Tabla2[[#This Row],[Comunicación]])</f>
        <v>2.175158438074595</v>
      </c>
      <c r="T315">
        <f ca="1">Tabla2[[#This Row],[Deuda actual]]*EXP(Tabla2[[#This Row],[Ki]]*Tabla2[[#This Row],[diferencia de días]])*(1+Tabla2[[#This Row],[Hg]])</f>
        <v>3247.4249999999997</v>
      </c>
    </row>
    <row r="316" spans="1:20" ht="14.5" x14ac:dyDescent="0.35">
      <c r="A316" t="e">
        <f t="shared" si="44"/>
        <v>#VALUE!</v>
      </c>
      <c r="B316" s="21">
        <f t="shared" ca="1" si="45"/>
        <v>46141</v>
      </c>
      <c r="C316" s="21">
        <f t="shared" ca="1" si="46"/>
        <v>46157</v>
      </c>
      <c r="D316">
        <f t="shared" ca="1" si="47"/>
        <v>43</v>
      </c>
      <c r="E316">
        <f t="shared" ca="1" si="48"/>
        <v>0.33626054410193007</v>
      </c>
      <c r="F316" s="47">
        <f t="shared" ca="1" si="49"/>
        <v>991.62</v>
      </c>
      <c r="G316" s="32" t="str">
        <f t="shared" ca="1" si="50"/>
        <v>hipotecario</v>
      </c>
      <c r="H31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316" t="str">
        <f t="shared" ca="1" si="51"/>
        <v>Sí</v>
      </c>
      <c r="J31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16" s="32">
        <f ca="1">IF(Tabla2[[#This Row],[¿cliente deuda abierta?]]="Sí", Tabla2[[#This Row],[Deuda actual]]*Tabla2[[#This Row],[diferencia de días]], "0")</f>
        <v>42639.66</v>
      </c>
      <c r="L31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31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16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316">
        <f t="shared" ca="1" si="52"/>
        <v>1608.49</v>
      </c>
      <c r="P316">
        <f t="shared" ca="1" si="53"/>
        <v>188800.38</v>
      </c>
      <c r="Q316">
        <f t="shared" ca="1" si="54"/>
        <v>2</v>
      </c>
      <c r="R316">
        <f ca="1">((Tabla2[[#This Row],[Fantasma Comunicación]]+1)/(Tabla2[[#This Row],[Fantasma Comunicación]]+RANDBETWEEN(0,5)+2))-0.5</f>
        <v>-0.16666666666666669</v>
      </c>
      <c r="S316" s="51">
        <f ca="1">1+MAX(0,Tabla2[[#This Row],[Deuda actual]]/Tabla2[[#This Row],[Liquidez]]+Tabla2[[#This Row],[Liquidez]]/(Tabla2[[#This Row],[Activos]]+Tabla2[[#This Row],[Liquidez]])+Tabla2[[#This Row],[Comunicación]])</f>
        <v>1.4582721348149532</v>
      </c>
      <c r="T316">
        <f ca="1">Tabla2[[#This Row],[Deuda actual]]*EXP(Tabla2[[#This Row],[Ki]]*Tabla2[[#This Row],[diferencia de días]])*(1+Tabla2[[#This Row],[Hg]])</f>
        <v>1138.7086648209411</v>
      </c>
    </row>
    <row r="317" spans="1:20" ht="14.5" x14ac:dyDescent="0.35">
      <c r="A317" t="e">
        <f t="shared" si="44"/>
        <v>#VALUE!</v>
      </c>
      <c r="B317" s="21">
        <f t="shared" ca="1" si="45"/>
        <v>46101</v>
      </c>
      <c r="C317" s="21">
        <f t="shared" ca="1" si="46"/>
        <v>46157</v>
      </c>
      <c r="D317">
        <f t="shared" ca="1" si="47"/>
        <v>15</v>
      </c>
      <c r="E317">
        <f t="shared" ca="1" si="48"/>
        <v>0.70671059903799061</v>
      </c>
      <c r="F317" s="47">
        <f t="shared" ca="1" si="49"/>
        <v>364.17</v>
      </c>
      <c r="G317" s="32" t="str">
        <f t="shared" ca="1" si="50"/>
        <v>hipotecario</v>
      </c>
      <c r="H31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317" t="str">
        <f t="shared" ca="1" si="51"/>
        <v>No</v>
      </c>
      <c r="J31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165000.81141797343</v>
      </c>
      <c r="K317" s="32" t="str">
        <f ca="1">IF(Tabla2[[#This Row],[¿cliente deuda abierta?]]="Sí", Tabla2[[#This Row],[Deuda actual]]*Tabla2[[#This Row],[diferencia de días]], "0")</f>
        <v>0</v>
      </c>
      <c r="L31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1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1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17">
        <f t="shared" ca="1" si="52"/>
        <v>1446.44</v>
      </c>
      <c r="P317">
        <f t="shared" ca="1" si="53"/>
        <v>129512.13</v>
      </c>
      <c r="Q317">
        <f t="shared" ca="1" si="54"/>
        <v>2</v>
      </c>
      <c r="R317">
        <f ca="1">((Tabla2[[#This Row],[Fantasma Comunicación]]+1)/(Tabla2[[#This Row],[Fantasma Comunicación]]+RANDBETWEEN(0,5)+2))-0.5</f>
        <v>9.9999999999999978E-2</v>
      </c>
      <c r="S317" s="51">
        <f ca="1">1+MAX(0,Tabla2[[#This Row],[Deuda actual]]/Tabla2[[#This Row],[Liquidez]]+Tabla2[[#This Row],[Liquidez]]/(Tabla2[[#This Row],[Activos]]+Tabla2[[#This Row],[Liquidez]])+Tabla2[[#This Row],[Comunicación]])</f>
        <v>1.3628148823695745</v>
      </c>
      <c r="T317">
        <f ca="1">Tabla2[[#This Row],[Deuda actual]]*EXP(Tabla2[[#This Row],[Ki]]*Tabla2[[#This Row],[diferencia de días]])*(1+Tabla2[[#This Row],[Hg]])</f>
        <v>293.08927055184711</v>
      </c>
    </row>
    <row r="318" spans="1:20" ht="14.5" x14ac:dyDescent="0.35">
      <c r="A318" t="e">
        <f t="shared" si="44"/>
        <v>#VALUE!</v>
      </c>
      <c r="B318" s="21">
        <f t="shared" ca="1" si="45"/>
        <v>46117</v>
      </c>
      <c r="C318" s="21">
        <f t="shared" ca="1" si="46"/>
        <v>46157</v>
      </c>
      <c r="D318">
        <f t="shared" ca="1" si="47"/>
        <v>3</v>
      </c>
      <c r="E318">
        <f t="shared" ca="1" si="48"/>
        <v>0.59446843287815443</v>
      </c>
      <c r="F318" s="47">
        <f t="shared" ca="1" si="49"/>
        <v>2168.87</v>
      </c>
      <c r="G318" s="32" t="str">
        <f t="shared" ca="1" si="50"/>
        <v>personal</v>
      </c>
      <c r="H31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18" t="str">
        <f t="shared" ca="1" si="51"/>
        <v>Sí</v>
      </c>
      <c r="J31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18" s="32">
        <f ca="1">IF(Tabla2[[#This Row],[¿cliente deuda abierta?]]="Sí", Tabla2[[#This Row],[Deuda actual]]*Tabla2[[#This Row],[diferencia de días]], "0")</f>
        <v>6506.61</v>
      </c>
      <c r="L31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1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1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18">
        <f t="shared" ca="1" si="52"/>
        <v>1715.7</v>
      </c>
      <c r="P318">
        <f t="shared" ca="1" si="53"/>
        <v>158585.1</v>
      </c>
      <c r="Q318">
        <f t="shared" ca="1" si="54"/>
        <v>3</v>
      </c>
      <c r="R318">
        <f ca="1">((Tabla2[[#This Row],[Fantasma Comunicación]]+1)/(Tabla2[[#This Row],[Fantasma Comunicación]]+RANDBETWEEN(0,5)+2))-0.5</f>
        <v>7.1428571428571397E-2</v>
      </c>
      <c r="S318" s="51">
        <f ca="1">1+MAX(0,Tabla2[[#This Row],[Deuda actual]]/Tabla2[[#This Row],[Liquidez]]+Tabla2[[#This Row],[Liquidez]]/(Tabla2[[#This Row],[Activos]]+Tabla2[[#This Row],[Liquidez]])+Tabla2[[#This Row],[Comunicación]])</f>
        <v>2.3462628331607709</v>
      </c>
      <c r="T318">
        <f ca="1">Tabla2[[#This Row],[Deuda actual]]*EXP(Tabla2[[#This Row],[Ki]]*Tabla2[[#This Row],[diferencia de días]])*(1+Tabla2[[#This Row],[Hg]])</f>
        <v>2278.6802980984257</v>
      </c>
    </row>
    <row r="319" spans="1:20" ht="14.5" x14ac:dyDescent="0.35">
      <c r="A319" t="e">
        <f t="shared" si="44"/>
        <v>#VALUE!</v>
      </c>
      <c r="B319" s="21">
        <f t="shared" ca="1" si="45"/>
        <v>46107</v>
      </c>
      <c r="C319" s="21">
        <f t="shared" ca="1" si="46"/>
        <v>46157</v>
      </c>
      <c r="D319">
        <f t="shared" ca="1" si="47"/>
        <v>5</v>
      </c>
      <c r="E319">
        <f t="shared" ca="1" si="48"/>
        <v>0.67892158472854236</v>
      </c>
      <c r="F319" s="47">
        <f t="shared" ca="1" si="49"/>
        <v>120.34</v>
      </c>
      <c r="G319" s="32" t="str">
        <f t="shared" ca="1" si="50"/>
        <v>hipotecario</v>
      </c>
      <c r="H31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19" t="str">
        <f t="shared" ca="1" si="51"/>
        <v>No</v>
      </c>
      <c r="J31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165001.29120867079</v>
      </c>
      <c r="K319" s="32" t="str">
        <f ca="1">IF(Tabla2[[#This Row],[¿cliente deuda abierta?]]="Sí", Tabla2[[#This Row],[Deuda actual]]*Tabla2[[#This Row],[diferencia de días]], "0")</f>
        <v>0</v>
      </c>
      <c r="L31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1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1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19">
        <f t="shared" ca="1" si="52"/>
        <v>1363.58</v>
      </c>
      <c r="P319">
        <f t="shared" ca="1" si="53"/>
        <v>60004.37</v>
      </c>
      <c r="Q319">
        <f t="shared" ca="1" si="54"/>
        <v>5</v>
      </c>
      <c r="R319">
        <f ca="1">((Tabla2[[#This Row],[Fantasma Comunicación]]+1)/(Tabla2[[#This Row],[Fantasma Comunicación]]+RANDBETWEEN(0,5)+2))-0.5</f>
        <v>0.16666666666666663</v>
      </c>
      <c r="S319" s="51">
        <f ca="1">1+MAX(0,Tabla2[[#This Row],[Deuda actual]]/Tabla2[[#This Row],[Liquidez]]+Tabla2[[#This Row],[Liquidez]]/(Tabla2[[#This Row],[Activos]]+Tabla2[[#This Row],[Liquidez]])+Tabla2[[#This Row],[Comunicación]])</f>
        <v>1.2771393895280412</v>
      </c>
      <c r="T319">
        <f ca="1">Tabla2[[#This Row],[Deuda actual]]*EXP(Tabla2[[#This Row],[Ki]]*Tabla2[[#This Row],[diferencia de días]])*(1+Tabla2[[#This Row],[Hg]])</f>
        <v>96.368320152049364</v>
      </c>
    </row>
    <row r="320" spans="1:20" ht="14.5" x14ac:dyDescent="0.35">
      <c r="A320" t="e">
        <f t="shared" si="44"/>
        <v>#VALUE!</v>
      </c>
      <c r="B320" s="21">
        <f t="shared" ca="1" si="45"/>
        <v>46100</v>
      </c>
      <c r="C320" s="21">
        <f t="shared" ca="1" si="46"/>
        <v>46157</v>
      </c>
      <c r="D320">
        <f t="shared" ca="1" si="47"/>
        <v>4</v>
      </c>
      <c r="E320">
        <f t="shared" ca="1" si="48"/>
        <v>0.93986398991569364</v>
      </c>
      <c r="F320" s="47">
        <f t="shared" ca="1" si="49"/>
        <v>539.04999999999995</v>
      </c>
      <c r="G320" s="32" t="str">
        <f t="shared" ca="1" si="50"/>
        <v>hipotecario</v>
      </c>
      <c r="H32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20" t="str">
        <f t="shared" ca="1" si="51"/>
        <v>Sí</v>
      </c>
      <c r="J32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20" s="32">
        <f ca="1">IF(Tabla2[[#This Row],[¿cliente deuda abierta?]]="Sí", Tabla2[[#This Row],[Deuda actual]]*Tabla2[[#This Row],[diferencia de días]], "0")</f>
        <v>2156.1999999999998</v>
      </c>
      <c r="L32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2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2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20">
        <f t="shared" ca="1" si="52"/>
        <v>1281.81</v>
      </c>
      <c r="P320">
        <f t="shared" ca="1" si="53"/>
        <v>67955.12</v>
      </c>
      <c r="Q320">
        <f t="shared" ca="1" si="54"/>
        <v>2</v>
      </c>
      <c r="R320">
        <f ca="1">((Tabla2[[#This Row],[Fantasma Comunicación]]+1)/(Tabla2[[#This Row],[Fantasma Comunicación]]+RANDBETWEEN(0,5)+2))-0.5</f>
        <v>0</v>
      </c>
      <c r="S320" s="51">
        <f ca="1">1+MAX(0,Tabla2[[#This Row],[Deuda actual]]/Tabla2[[#This Row],[Liquidez]]+Tabla2[[#This Row],[Liquidez]]/(Tabla2[[#This Row],[Activos]]+Tabla2[[#This Row],[Liquidez]])+Tabla2[[#This Row],[Comunicación]])</f>
        <v>1.4390515311266387</v>
      </c>
      <c r="T320">
        <f ca="1">Tabla2[[#This Row],[Deuda actual]]*EXP(Tabla2[[#This Row],[Ki]]*Tabla2[[#This Row],[diferencia de días]])*(1+Tabla2[[#This Row],[Hg]])</f>
        <v>566.45548316910856</v>
      </c>
    </row>
    <row r="321" spans="1:20" ht="14.5" x14ac:dyDescent="0.35">
      <c r="A321" t="e">
        <f t="shared" si="44"/>
        <v>#VALUE!</v>
      </c>
      <c r="B321" s="21">
        <f t="shared" ca="1" si="45"/>
        <v>46126</v>
      </c>
      <c r="C321" s="21">
        <f t="shared" ca="1" si="46"/>
        <v>46157</v>
      </c>
      <c r="D321">
        <f t="shared" ca="1" si="47"/>
        <v>1</v>
      </c>
      <c r="E321">
        <f t="shared" ca="1" si="48"/>
        <v>0.76408579454260128</v>
      </c>
      <c r="F321" s="47">
        <f t="shared" ca="1" si="49"/>
        <v>869.89</v>
      </c>
      <c r="G321" s="32" t="str">
        <f t="shared" ca="1" si="50"/>
        <v>hipotecario</v>
      </c>
      <c r="H32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21" t="str">
        <f t="shared" ca="1" si="51"/>
        <v>No</v>
      </c>
      <c r="J32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165000.99733724268</v>
      </c>
      <c r="K321" s="32" t="str">
        <f ca="1">IF(Tabla2[[#This Row],[¿cliente deuda abierta?]]="Sí", Tabla2[[#This Row],[Deuda actual]]*Tabla2[[#This Row],[diferencia de días]], "0")</f>
        <v>0</v>
      </c>
      <c r="L32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2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2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21">
        <f t="shared" ca="1" si="52"/>
        <v>1839.24</v>
      </c>
      <c r="P321">
        <f t="shared" ca="1" si="53"/>
        <v>205600.68</v>
      </c>
      <c r="Q321">
        <f t="shared" ca="1" si="54"/>
        <v>0</v>
      </c>
      <c r="R321">
        <f ca="1">((Tabla2[[#This Row],[Fantasma Comunicación]]+1)/(Tabla2[[#This Row],[Fantasma Comunicación]]+RANDBETWEEN(0,5)+2))-0.5</f>
        <v>-0.3</v>
      </c>
      <c r="S321" s="51">
        <f ca="1">1+MAX(0,Tabla2[[#This Row],[Deuda actual]]/Tabla2[[#This Row],[Liquidez]]+Tabla2[[#This Row],[Liquidez]]/(Tabla2[[#This Row],[Activos]]+Tabla2[[#This Row],[Liquidez]])+Tabla2[[#This Row],[Comunicación]])</f>
        <v>1.1818280324943549</v>
      </c>
      <c r="T321">
        <f ca="1">Tabla2[[#This Row],[Deuda actual]]*EXP(Tabla2[[#This Row],[Ki]]*Tabla2[[#This Row],[diferencia de días]])*(1+Tabla2[[#This Row],[Hg]])</f>
        <v>696.05119631916796</v>
      </c>
    </row>
    <row r="322" spans="1:20" ht="14.5" x14ac:dyDescent="0.35">
      <c r="A322" t="e">
        <f t="shared" ref="A322:A385" si="55">A321+1</f>
        <v>#VALUE!</v>
      </c>
      <c r="B322" s="21">
        <f t="shared" ref="B322:B385" ca="1" si="56">RANDBETWEEN(DATE(2026,3,1), DATE(2026,5,1))</f>
        <v>46124</v>
      </c>
      <c r="C322" s="21">
        <f t="shared" ref="C322:C385" ca="1" si="57">TODAY()</f>
        <v>46157</v>
      </c>
      <c r="D322">
        <f t="shared" ref="D322:D385" ca="1" si="58">ROUND((-(15) * LN(RAND())),0)</f>
        <v>5</v>
      </c>
      <c r="E322">
        <f t="shared" ref="E322:E385" ca="1" si="59">RAND()</f>
        <v>0.14218072959237116</v>
      </c>
      <c r="F322" s="47">
        <f t="shared" ref="F322:F385" ca="1" si="60">ROUND(MIN(10000, _xlfn.LOGNORM.INV(RAND(), 69/10, 13/10)),2)</f>
        <v>373.77</v>
      </c>
      <c r="G322" s="32" t="str">
        <f t="shared" ref="G322:G385" ca="1" si="61">IF(RAND()&lt;=0.5,"personal","hipotecario")</f>
        <v>hipotecario</v>
      </c>
      <c r="H32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22" t="str">
        <f t="shared" ref="I322:I385" ca="1" si="62">IF(RAND()&lt;=0.65, "Sí", "No")</f>
        <v>Sí</v>
      </c>
      <c r="J32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22" s="32">
        <f ca="1">IF(Tabla2[[#This Row],[¿cliente deuda abierta?]]="Sí", Tabla2[[#This Row],[Deuda actual]]*Tabla2[[#This Row],[diferencia de días]], "0")</f>
        <v>1868.85</v>
      </c>
      <c r="L32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2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2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22">
        <f t="shared" ref="O322:O385" ca="1" si="63">ROUND(1000*(_xlfn.LOGNORM.INV(RAND(), 0.5, 0.2)),2)</f>
        <v>1350.85</v>
      </c>
      <c r="P322">
        <f t="shared" ref="P322:P385" ca="1" si="64">ROUND(50000*(_xlfn.LOGNORM.INV(RAND(), 1, 0.75)),2)</f>
        <v>250927.1</v>
      </c>
      <c r="Q322">
        <f t="shared" ref="Q322:Q385" ca="1" si="65">RANDBETWEEN(0,5)</f>
        <v>3</v>
      </c>
      <c r="R322">
        <f ca="1">((Tabla2[[#This Row],[Fantasma Comunicación]]+1)/(Tabla2[[#This Row],[Fantasma Comunicación]]+RANDBETWEEN(0,5)+2))-0.5</f>
        <v>0.16666666666666663</v>
      </c>
      <c r="S322" s="51">
        <f ca="1">1+MAX(0,Tabla2[[#This Row],[Deuda actual]]/Tabla2[[#This Row],[Liquidez]]+Tabla2[[#This Row],[Liquidez]]/(Tabla2[[#This Row],[Activos]]+Tabla2[[#This Row],[Liquidez]])+Tabla2[[#This Row],[Comunicación]])</f>
        <v>1.4487137294325172</v>
      </c>
      <c r="T322">
        <f ca="1">Tabla2[[#This Row],[Deuda actual]]*EXP(Tabla2[[#This Row],[Ki]]*Tabla2[[#This Row],[diferencia de días]])*(1+Tabla2[[#This Row],[Hg]])</f>
        <v>392.85115479467612</v>
      </c>
    </row>
    <row r="323" spans="1:20" ht="14.5" x14ac:dyDescent="0.35">
      <c r="A323" t="e">
        <f t="shared" si="55"/>
        <v>#VALUE!</v>
      </c>
      <c r="B323" s="21">
        <f t="shared" ca="1" si="56"/>
        <v>46104</v>
      </c>
      <c r="C323" s="21">
        <f t="shared" ca="1" si="57"/>
        <v>46157</v>
      </c>
      <c r="D323">
        <f t="shared" ca="1" si="58"/>
        <v>10</v>
      </c>
      <c r="E323">
        <f t="shared" ca="1" si="59"/>
        <v>0.33679501093836905</v>
      </c>
      <c r="F323" s="47">
        <f t="shared" ca="1" si="60"/>
        <v>723.08</v>
      </c>
      <c r="G323" s="32" t="str">
        <f t="shared" ca="1" si="61"/>
        <v>personal</v>
      </c>
      <c r="H32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23" t="str">
        <f t="shared" ca="1" si="62"/>
        <v>Sí</v>
      </c>
      <c r="J32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23" s="32">
        <f ca="1">IF(Tabla2[[#This Row],[¿cliente deuda abierta?]]="Sí", Tabla2[[#This Row],[Deuda actual]]*Tabla2[[#This Row],[diferencia de días]], "0")</f>
        <v>7230.8</v>
      </c>
      <c r="L32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2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2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23">
        <f t="shared" ca="1" si="63"/>
        <v>1887.4</v>
      </c>
      <c r="P323">
        <f t="shared" ca="1" si="64"/>
        <v>136543.85</v>
      </c>
      <c r="Q323">
        <f t="shared" ca="1" si="65"/>
        <v>5</v>
      </c>
      <c r="R323">
        <f ca="1">((Tabla2[[#This Row],[Fantasma Comunicación]]+1)/(Tabla2[[#This Row],[Fantasma Comunicación]]+RANDBETWEEN(0,5)+2))-0.5</f>
        <v>9.9999999999999978E-2</v>
      </c>
      <c r="S323" s="51">
        <f ca="1">1+MAX(0,Tabla2[[#This Row],[Deuda actual]]/Tabla2[[#This Row],[Liquidez]]+Tabla2[[#This Row],[Liquidez]]/(Tabla2[[#This Row],[Activos]]+Tabla2[[#This Row],[Liquidez]])+Tabla2[[#This Row],[Comunicación]])</f>
        <v>1.4967432435939789</v>
      </c>
      <c r="T323">
        <f ca="1">Tabla2[[#This Row],[Deuda actual]]*EXP(Tabla2[[#This Row],[Ki]]*Tabla2[[#This Row],[diferencia de días]])*(1+Tabla2[[#This Row],[Hg]])</f>
        <v>760.75398748081841</v>
      </c>
    </row>
    <row r="324" spans="1:20" ht="14.5" x14ac:dyDescent="0.35">
      <c r="A324" t="e">
        <f t="shared" si="55"/>
        <v>#VALUE!</v>
      </c>
      <c r="B324" s="21">
        <f t="shared" ca="1" si="56"/>
        <v>46106</v>
      </c>
      <c r="C324" s="21">
        <f t="shared" ca="1" si="57"/>
        <v>46157</v>
      </c>
      <c r="D324">
        <f t="shared" ca="1" si="58"/>
        <v>7</v>
      </c>
      <c r="E324">
        <f t="shared" ca="1" si="59"/>
        <v>0.38629544014839867</v>
      </c>
      <c r="F324" s="47">
        <f t="shared" ca="1" si="60"/>
        <v>2493.83</v>
      </c>
      <c r="G324" s="32" t="str">
        <f t="shared" ca="1" si="61"/>
        <v>personal</v>
      </c>
      <c r="H32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24" t="str">
        <f t="shared" ca="1" si="62"/>
        <v>Sí</v>
      </c>
      <c r="J32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24" s="32">
        <f ca="1">IF(Tabla2[[#This Row],[¿cliente deuda abierta?]]="Sí", Tabla2[[#This Row],[Deuda actual]]*Tabla2[[#This Row],[diferencia de días]], "0")</f>
        <v>17456.809999999998</v>
      </c>
      <c r="L32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2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2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24">
        <f t="shared" ca="1" si="63"/>
        <v>1764.27</v>
      </c>
      <c r="P324">
        <f t="shared" ca="1" si="64"/>
        <v>157619.35</v>
      </c>
      <c r="Q324">
        <f t="shared" ca="1" si="65"/>
        <v>3</v>
      </c>
      <c r="R324">
        <f ca="1">((Tabla2[[#This Row],[Fantasma Comunicación]]+1)/(Tabla2[[#This Row],[Fantasma Comunicación]]+RANDBETWEEN(0,5)+2))-0.5</f>
        <v>-9.9999999999999978E-2</v>
      </c>
      <c r="S324" s="51">
        <f ca="1">1+MAX(0,Tabla2[[#This Row],[Deuda actual]]/Tabla2[[#This Row],[Liquidez]]+Tabla2[[#This Row],[Liquidez]]/(Tabla2[[#This Row],[Activos]]+Tabla2[[#This Row],[Liquidez]])+Tabla2[[#This Row],[Comunicación]])</f>
        <v>2.3245888033559812</v>
      </c>
      <c r="T324">
        <f ca="1">Tabla2[[#This Row],[Deuda actual]]*EXP(Tabla2[[#This Row],[Ki]]*Tabla2[[#This Row],[diferencia de días]])*(1+Tabla2[[#This Row],[Hg]])</f>
        <v>2622.1899974490266</v>
      </c>
    </row>
    <row r="325" spans="1:20" ht="14.5" x14ac:dyDescent="0.35">
      <c r="A325" t="e">
        <f t="shared" si="55"/>
        <v>#VALUE!</v>
      </c>
      <c r="B325" s="21">
        <f t="shared" ca="1" si="56"/>
        <v>46135</v>
      </c>
      <c r="C325" s="21">
        <f t="shared" ca="1" si="57"/>
        <v>46157</v>
      </c>
      <c r="D325">
        <f t="shared" ca="1" si="58"/>
        <v>3</v>
      </c>
      <c r="E325">
        <f t="shared" ca="1" si="59"/>
        <v>0.2187624016145886</v>
      </c>
      <c r="F325" s="47">
        <f t="shared" ca="1" si="60"/>
        <v>154.47999999999999</v>
      </c>
      <c r="G325" s="32" t="str">
        <f t="shared" ca="1" si="61"/>
        <v>personal</v>
      </c>
      <c r="H32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25" t="str">
        <f t="shared" ca="1" si="62"/>
        <v>No</v>
      </c>
      <c r="J32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11998.293065145604</v>
      </c>
      <c r="K325" s="32" t="str">
        <f ca="1">IF(Tabla2[[#This Row],[¿cliente deuda abierta?]]="Sí", Tabla2[[#This Row],[Deuda actual]]*Tabla2[[#This Row],[diferencia de días]], "0")</f>
        <v>0</v>
      </c>
      <c r="L32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2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32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325">
        <f t="shared" ca="1" si="63"/>
        <v>1565.42</v>
      </c>
      <c r="P325">
        <f t="shared" ca="1" si="64"/>
        <v>130826.18</v>
      </c>
      <c r="Q325">
        <f t="shared" ca="1" si="65"/>
        <v>0</v>
      </c>
      <c r="R325">
        <f ca="1">((Tabla2[[#This Row],[Fantasma Comunicación]]+1)/(Tabla2[[#This Row],[Fantasma Comunicación]]+RANDBETWEEN(0,5)+2))-0.5</f>
        <v>0</v>
      </c>
      <c r="S325" s="51">
        <f ca="1">1+MAX(0,Tabla2[[#This Row],[Deuda actual]]/Tabla2[[#This Row],[Liquidez]]+Tabla2[[#This Row],[Liquidez]]/(Tabla2[[#This Row],[Activos]]+Tabla2[[#This Row],[Liquidez]])+Tabla2[[#This Row],[Comunicación]])</f>
        <v>1.110506945688545</v>
      </c>
      <c r="T325">
        <f ca="1">Tabla2[[#This Row],[Deuda actual]]*EXP(Tabla2[[#This Row],[Ki]]*Tabla2[[#This Row],[diferencia de días]])*(1+Tabla2[[#This Row],[Hg]])</f>
        <v>139.11544423076589</v>
      </c>
    </row>
    <row r="326" spans="1:20" ht="14.5" x14ac:dyDescent="0.35">
      <c r="A326" t="e">
        <f t="shared" si="55"/>
        <v>#VALUE!</v>
      </c>
      <c r="B326" s="21">
        <f t="shared" ca="1" si="56"/>
        <v>46093</v>
      </c>
      <c r="C326" s="21">
        <f t="shared" ca="1" si="57"/>
        <v>46157</v>
      </c>
      <c r="D326">
        <f t="shared" ca="1" si="58"/>
        <v>18</v>
      </c>
      <c r="E326">
        <f t="shared" ca="1" si="59"/>
        <v>0.9174254416471157</v>
      </c>
      <c r="F326" s="47">
        <f t="shared" ca="1" si="60"/>
        <v>3889.64</v>
      </c>
      <c r="G326" s="32" t="str">
        <f t="shared" ca="1" si="61"/>
        <v>personal</v>
      </c>
      <c r="H32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326" t="str">
        <f t="shared" ca="1" si="62"/>
        <v>Sí</v>
      </c>
      <c r="J32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26" s="32">
        <f ca="1">IF(Tabla2[[#This Row],[¿cliente deuda abierta?]]="Sí", Tabla2[[#This Row],[Deuda actual]]*Tabla2[[#This Row],[diferencia de días]], "0")</f>
        <v>70013.52</v>
      </c>
      <c r="L32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32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26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326">
        <f t="shared" ca="1" si="63"/>
        <v>1181.76</v>
      </c>
      <c r="P326">
        <f t="shared" ca="1" si="64"/>
        <v>186008.9</v>
      </c>
      <c r="Q326">
        <f t="shared" ca="1" si="65"/>
        <v>3</v>
      </c>
      <c r="R326">
        <f ca="1">((Tabla2[[#This Row],[Fantasma Comunicación]]+1)/(Tabla2[[#This Row],[Fantasma Comunicación]]+RANDBETWEEN(0,5)+2))-0.5</f>
        <v>-9.9999999999999978E-2</v>
      </c>
      <c r="S326" s="51">
        <f ca="1">1+MAX(0,Tabla2[[#This Row],[Deuda actual]]/Tabla2[[#This Row],[Liquidez]]+Tabla2[[#This Row],[Liquidez]]/(Tabla2[[#This Row],[Activos]]+Tabla2[[#This Row],[Liquidez]])+Tabla2[[#This Row],[Comunicación]])</f>
        <v>4.1977090196001789</v>
      </c>
      <c r="T326">
        <f ca="1">Tabla2[[#This Row],[Deuda actual]]*EXP(Tabla2[[#This Row],[Ki]]*Tabla2[[#This Row],[diferencia de días]])*(1+Tabla2[[#This Row],[Hg]])</f>
        <v>4505.4084403524475</v>
      </c>
    </row>
    <row r="327" spans="1:20" ht="14.5" x14ac:dyDescent="0.35">
      <c r="A327" t="e">
        <f t="shared" si="55"/>
        <v>#VALUE!</v>
      </c>
      <c r="B327" s="21">
        <f t="shared" ca="1" si="56"/>
        <v>46134</v>
      </c>
      <c r="C327" s="21">
        <f t="shared" ca="1" si="57"/>
        <v>46157</v>
      </c>
      <c r="D327">
        <f t="shared" ca="1" si="58"/>
        <v>0</v>
      </c>
      <c r="E327">
        <f t="shared" ca="1" si="59"/>
        <v>0.76835149256911539</v>
      </c>
      <c r="F327" s="47">
        <f t="shared" ca="1" si="60"/>
        <v>118.52</v>
      </c>
      <c r="G327" s="32" t="str">
        <f t="shared" ca="1" si="61"/>
        <v>hipotecario</v>
      </c>
      <c r="H32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27" t="str">
        <f t="shared" ca="1" si="62"/>
        <v>No</v>
      </c>
      <c r="J32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164999.79193492944</v>
      </c>
      <c r="K327" s="32" t="str">
        <f ca="1">IF(Tabla2[[#This Row],[¿cliente deuda abierta?]]="Sí", Tabla2[[#This Row],[Deuda actual]]*Tabla2[[#This Row],[diferencia de días]], "0")</f>
        <v>0</v>
      </c>
      <c r="L32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2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2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27">
        <f t="shared" ca="1" si="63"/>
        <v>1928.43</v>
      </c>
      <c r="P327">
        <f t="shared" ca="1" si="64"/>
        <v>65569.95</v>
      </c>
      <c r="Q327">
        <f t="shared" ca="1" si="65"/>
        <v>4</v>
      </c>
      <c r="R327">
        <f ca="1">((Tabla2[[#This Row],[Fantasma Comunicación]]+1)/(Tabla2[[#This Row],[Fantasma Comunicación]]+RANDBETWEEN(0,5)+2))-0.5</f>
        <v>-4.545454545454547E-2</v>
      </c>
      <c r="S327" s="51">
        <f ca="1">1+MAX(0,Tabla2[[#This Row],[Deuda actual]]/Tabla2[[#This Row],[Liquidez]]+Tabla2[[#This Row],[Liquidez]]/(Tabla2[[#This Row],[Activos]]+Tabla2[[#This Row],[Liquidez]])+Tabla2[[#This Row],[Comunicación]])</f>
        <v>1.0445747953909934</v>
      </c>
      <c r="T327">
        <f ca="1">Tabla2[[#This Row],[Deuda actual]]*EXP(Tabla2[[#This Row],[Ki]]*Tabla2[[#This Row],[diferencia de días]])*(1+Tabla2[[#This Row],[Hg]])</f>
        <v>94.816000000000003</v>
      </c>
    </row>
    <row r="328" spans="1:20" ht="14.5" x14ac:dyDescent="0.35">
      <c r="A328" t="e">
        <f t="shared" si="55"/>
        <v>#VALUE!</v>
      </c>
      <c r="B328" s="21">
        <f t="shared" ca="1" si="56"/>
        <v>46126</v>
      </c>
      <c r="C328" s="21">
        <f t="shared" ca="1" si="57"/>
        <v>46157</v>
      </c>
      <c r="D328">
        <f t="shared" ca="1" si="58"/>
        <v>16</v>
      </c>
      <c r="E328">
        <f t="shared" ca="1" si="59"/>
        <v>0.48947637295219515</v>
      </c>
      <c r="F328" s="47">
        <f t="shared" ca="1" si="60"/>
        <v>3212.71</v>
      </c>
      <c r="G328" s="32" t="str">
        <f t="shared" ca="1" si="61"/>
        <v>personal</v>
      </c>
      <c r="H32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328" t="str">
        <f t="shared" ca="1" si="62"/>
        <v>No</v>
      </c>
      <c r="J32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12000.539015524471</v>
      </c>
      <c r="K328" s="32" t="str">
        <f ca="1">IF(Tabla2[[#This Row],[¿cliente deuda abierta?]]="Sí", Tabla2[[#This Row],[Deuda actual]]*Tabla2[[#This Row],[diferencia de días]], "0")</f>
        <v>0</v>
      </c>
      <c r="L32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2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32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328">
        <f t="shared" ca="1" si="63"/>
        <v>1424.33</v>
      </c>
      <c r="P328">
        <f t="shared" ca="1" si="64"/>
        <v>128971.41</v>
      </c>
      <c r="Q328">
        <f t="shared" ca="1" si="65"/>
        <v>4</v>
      </c>
      <c r="R328">
        <f ca="1">((Tabla2[[#This Row],[Fantasma Comunicación]]+1)/(Tabla2[[#This Row],[Fantasma Comunicación]]+RANDBETWEEN(0,5)+2))-0.5</f>
        <v>-4.545454545454547E-2</v>
      </c>
      <c r="S328" s="51">
        <f ca="1">1+MAX(0,Tabla2[[#This Row],[Deuda actual]]/Tabla2[[#This Row],[Liquidez]]+Tabla2[[#This Row],[Liquidez]]/(Tabla2[[#This Row],[Activos]]+Tabla2[[#This Row],[Liquidez]])+Tabla2[[#This Row],[Comunicación]])</f>
        <v>3.2210624456286459</v>
      </c>
      <c r="T328">
        <f ca="1">Tabla2[[#This Row],[Deuda actual]]*EXP(Tabla2[[#This Row],[Ki]]*Tabla2[[#This Row],[diferencia de días]])*(1+Tabla2[[#This Row],[Hg]])</f>
        <v>2910.003552802003</v>
      </c>
    </row>
    <row r="329" spans="1:20" ht="14.5" x14ac:dyDescent="0.35">
      <c r="A329" t="e">
        <f t="shared" si="55"/>
        <v>#VALUE!</v>
      </c>
      <c r="B329" s="21">
        <f t="shared" ca="1" si="56"/>
        <v>46110</v>
      </c>
      <c r="C329" s="21">
        <f t="shared" ca="1" si="57"/>
        <v>46157</v>
      </c>
      <c r="D329">
        <f t="shared" ca="1" si="58"/>
        <v>20</v>
      </c>
      <c r="E329">
        <f t="shared" ca="1" si="59"/>
        <v>0.61792225674510837</v>
      </c>
      <c r="F329" s="47">
        <f t="shared" ca="1" si="60"/>
        <v>1403.96</v>
      </c>
      <c r="G329" s="32" t="str">
        <f t="shared" ca="1" si="61"/>
        <v>hipotecario</v>
      </c>
      <c r="H32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329" t="str">
        <f t="shared" ca="1" si="62"/>
        <v>Sí</v>
      </c>
      <c r="J32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29" s="32">
        <f ca="1">IF(Tabla2[[#This Row],[¿cliente deuda abierta?]]="Sí", Tabla2[[#This Row],[Deuda actual]]*Tabla2[[#This Row],[diferencia de días]], "0")</f>
        <v>28079.200000000001</v>
      </c>
      <c r="L32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2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2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29">
        <f t="shared" ca="1" si="63"/>
        <v>1817.45</v>
      </c>
      <c r="P329">
        <f t="shared" ca="1" si="64"/>
        <v>194306.68</v>
      </c>
      <c r="Q329">
        <f t="shared" ca="1" si="65"/>
        <v>0</v>
      </c>
      <c r="R329">
        <f ca="1">((Tabla2[[#This Row],[Fantasma Comunicación]]+1)/(Tabla2[[#This Row],[Fantasma Comunicación]]+RANDBETWEEN(0,5)+2))-0.5</f>
        <v>-0.33333333333333337</v>
      </c>
      <c r="S329" s="51">
        <f ca="1">1+MAX(0,Tabla2[[#This Row],[Deuda actual]]/Tabla2[[#This Row],[Liquidez]]+Tabla2[[#This Row],[Liquidez]]/(Tabla2[[#This Row],[Activos]]+Tabla2[[#This Row],[Liquidez]])+Tabla2[[#This Row],[Comunicación]])</f>
        <v>1.4484224287032785</v>
      </c>
      <c r="T329">
        <f ca="1">Tabla2[[#This Row],[Deuda actual]]*EXP(Tabla2[[#This Row],[Ki]]*Tabla2[[#This Row],[diferencia de días]])*(1+Tabla2[[#This Row],[Hg]])</f>
        <v>1485.9985631028089</v>
      </c>
    </row>
    <row r="330" spans="1:20" ht="14.5" x14ac:dyDescent="0.35">
      <c r="A330" t="e">
        <f t="shared" si="55"/>
        <v>#VALUE!</v>
      </c>
      <c r="B330" s="21">
        <f t="shared" ca="1" si="56"/>
        <v>46127</v>
      </c>
      <c r="C330" s="21">
        <f t="shared" ca="1" si="57"/>
        <v>46157</v>
      </c>
      <c r="D330">
        <f t="shared" ca="1" si="58"/>
        <v>6</v>
      </c>
      <c r="E330">
        <f t="shared" ca="1" si="59"/>
        <v>1.7789323434253435E-2</v>
      </c>
      <c r="F330" s="47">
        <f t="shared" ca="1" si="60"/>
        <v>215.84</v>
      </c>
      <c r="G330" s="32" t="str">
        <f t="shared" ca="1" si="61"/>
        <v>personal</v>
      </c>
      <c r="H33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30" t="str">
        <f t="shared" ca="1" si="62"/>
        <v>Sí</v>
      </c>
      <c r="J33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30" s="32">
        <f ca="1">IF(Tabla2[[#This Row],[¿cliente deuda abierta?]]="Sí", Tabla2[[#This Row],[Deuda actual]]*Tabla2[[#This Row],[diferencia de días]], "0")</f>
        <v>1295.04</v>
      </c>
      <c r="L33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3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3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30">
        <f t="shared" ca="1" si="63"/>
        <v>1615.22</v>
      </c>
      <c r="P330">
        <f t="shared" ca="1" si="64"/>
        <v>324673.63</v>
      </c>
      <c r="Q330">
        <f t="shared" ca="1" si="65"/>
        <v>0</v>
      </c>
      <c r="R330">
        <f ca="1">((Tabla2[[#This Row],[Fantasma Comunicación]]+1)/(Tabla2[[#This Row],[Fantasma Comunicación]]+RANDBETWEEN(0,5)+2))-0.5</f>
        <v>-0.25</v>
      </c>
      <c r="S330" s="51">
        <f ca="1">1+MAX(0,Tabla2[[#This Row],[Deuda actual]]/Tabla2[[#This Row],[Liquidez]]+Tabla2[[#This Row],[Liquidez]]/(Tabla2[[#This Row],[Activos]]+Tabla2[[#This Row],[Liquidez]])+Tabla2[[#This Row],[Comunicación]])</f>
        <v>1</v>
      </c>
      <c r="T330">
        <f ca="1">Tabla2[[#This Row],[Deuda actual]]*EXP(Tabla2[[#This Row],[Ki]]*Tabla2[[#This Row],[diferencia de días]])*(1+Tabla2[[#This Row],[Hg]])</f>
        <v>226.90412164032961</v>
      </c>
    </row>
    <row r="331" spans="1:20" ht="14.5" x14ac:dyDescent="0.35">
      <c r="A331" t="e">
        <f t="shared" si="55"/>
        <v>#VALUE!</v>
      </c>
      <c r="B331" s="21">
        <f t="shared" ca="1" si="56"/>
        <v>46115</v>
      </c>
      <c r="C331" s="21">
        <f t="shared" ca="1" si="57"/>
        <v>46157</v>
      </c>
      <c r="D331">
        <f t="shared" ca="1" si="58"/>
        <v>14</v>
      </c>
      <c r="E331">
        <f t="shared" ca="1" si="59"/>
        <v>0.33777835869387274</v>
      </c>
      <c r="F331" s="47">
        <f t="shared" ca="1" si="60"/>
        <v>526.41</v>
      </c>
      <c r="G331" s="32" t="str">
        <f t="shared" ca="1" si="61"/>
        <v>personal</v>
      </c>
      <c r="H33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31" t="str">
        <f t="shared" ca="1" si="62"/>
        <v>Sí</v>
      </c>
      <c r="J33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31" s="32">
        <f ca="1">IF(Tabla2[[#This Row],[¿cliente deuda abierta?]]="Sí", Tabla2[[#This Row],[Deuda actual]]*Tabla2[[#This Row],[diferencia de días]], "0")</f>
        <v>7369.74</v>
      </c>
      <c r="L33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3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3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31">
        <f t="shared" ca="1" si="63"/>
        <v>1815.57</v>
      </c>
      <c r="P331">
        <f t="shared" ca="1" si="64"/>
        <v>738847.42</v>
      </c>
      <c r="Q331">
        <f t="shared" ca="1" si="65"/>
        <v>5</v>
      </c>
      <c r="R331">
        <f ca="1">((Tabla2[[#This Row],[Fantasma Comunicación]]+1)/(Tabla2[[#This Row],[Fantasma Comunicación]]+RANDBETWEEN(0,5)+2))-0.5</f>
        <v>0.3571428571428571</v>
      </c>
      <c r="S331" s="51">
        <f ca="1">1+MAX(0,Tabla2[[#This Row],[Deuda actual]]/Tabla2[[#This Row],[Liquidez]]+Tabla2[[#This Row],[Liquidez]]/(Tabla2[[#This Row],[Activos]]+Tabla2[[#This Row],[Liquidez]])+Tabla2[[#This Row],[Comunicación]])</f>
        <v>1.6495361356228702</v>
      </c>
      <c r="T331">
        <f ca="1">Tabla2[[#This Row],[Deuda actual]]*EXP(Tabla2[[#This Row],[Ki]]*Tabla2[[#This Row],[diferencia de días]])*(1+Tabla2[[#This Row],[Hg]])</f>
        <v>554.28031412723305</v>
      </c>
    </row>
    <row r="332" spans="1:20" ht="14.5" x14ac:dyDescent="0.35">
      <c r="A332" t="e">
        <f t="shared" si="55"/>
        <v>#VALUE!</v>
      </c>
      <c r="B332" s="21">
        <f t="shared" ca="1" si="56"/>
        <v>46141</v>
      </c>
      <c r="C332" s="21">
        <f t="shared" ca="1" si="57"/>
        <v>46157</v>
      </c>
      <c r="D332">
        <f t="shared" ca="1" si="58"/>
        <v>13</v>
      </c>
      <c r="E332">
        <f t="shared" ca="1" si="59"/>
        <v>0.99415100480788443</v>
      </c>
      <c r="F332" s="47">
        <f t="shared" ca="1" si="60"/>
        <v>291.58999999999997</v>
      </c>
      <c r="G332" s="32" t="str">
        <f t="shared" ca="1" si="61"/>
        <v>hipotecario</v>
      </c>
      <c r="H33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32" t="str">
        <f t="shared" ca="1" si="62"/>
        <v>Sí</v>
      </c>
      <c r="J33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32" s="32">
        <f ca="1">IF(Tabla2[[#This Row],[¿cliente deuda abierta?]]="Sí", Tabla2[[#This Row],[Deuda actual]]*Tabla2[[#This Row],[diferencia de días]], "0")</f>
        <v>3790.6699999999996</v>
      </c>
      <c r="L33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3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3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32">
        <f t="shared" ca="1" si="63"/>
        <v>1867.41</v>
      </c>
      <c r="P332">
        <f t="shared" ca="1" si="64"/>
        <v>71995.710000000006</v>
      </c>
      <c r="Q332">
        <f t="shared" ca="1" si="65"/>
        <v>1</v>
      </c>
      <c r="R332">
        <f ca="1">((Tabla2[[#This Row],[Fantasma Comunicación]]+1)/(Tabla2[[#This Row],[Fantasma Comunicación]]+RANDBETWEEN(0,5)+2))-0.5</f>
        <v>0.16666666666666663</v>
      </c>
      <c r="S332" s="51">
        <f ca="1">1+MAX(0,Tabla2[[#This Row],[Deuda actual]]/Tabla2[[#This Row],[Liquidez]]+Tabla2[[#This Row],[Liquidez]]/(Tabla2[[#This Row],[Activos]]+Tabla2[[#This Row],[Liquidez]])+Tabla2[[#This Row],[Comunicación]])</f>
        <v>1.3480954505745051</v>
      </c>
      <c r="T332">
        <f ca="1">Tabla2[[#This Row],[Deuda actual]]*EXP(Tabla2[[#This Row],[Ki]]*Tabla2[[#This Row],[diferencia de días]])*(1+Tabla2[[#This Row],[Hg]])</f>
        <v>306.96657645036578</v>
      </c>
    </row>
    <row r="333" spans="1:20" ht="14.5" x14ac:dyDescent="0.35">
      <c r="A333" t="e">
        <f t="shared" si="55"/>
        <v>#VALUE!</v>
      </c>
      <c r="B333" s="21">
        <f t="shared" ca="1" si="56"/>
        <v>46089</v>
      </c>
      <c r="C333" s="21">
        <f t="shared" ca="1" si="57"/>
        <v>46157</v>
      </c>
      <c r="D333">
        <f t="shared" ca="1" si="58"/>
        <v>12</v>
      </c>
      <c r="E333">
        <f t="shared" ca="1" si="59"/>
        <v>0.7383485909276869</v>
      </c>
      <c r="F333" s="47">
        <f t="shared" ca="1" si="60"/>
        <v>4946.13</v>
      </c>
      <c r="G333" s="32" t="str">
        <f t="shared" ca="1" si="61"/>
        <v>hipotecario</v>
      </c>
      <c r="H33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33" t="str">
        <f t="shared" ca="1" si="62"/>
        <v>No</v>
      </c>
      <c r="J33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164999.91593616598</v>
      </c>
      <c r="K333" s="32" t="str">
        <f ca="1">IF(Tabla2[[#This Row],[¿cliente deuda abierta?]]="Sí", Tabla2[[#This Row],[Deuda actual]]*Tabla2[[#This Row],[diferencia de días]], "0")</f>
        <v>0</v>
      </c>
      <c r="L33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3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3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33">
        <f t="shared" ca="1" si="63"/>
        <v>1861.05</v>
      </c>
      <c r="P333">
        <f t="shared" ca="1" si="64"/>
        <v>131550.84</v>
      </c>
      <c r="Q333">
        <f t="shared" ca="1" si="65"/>
        <v>4</v>
      </c>
      <c r="R333">
        <f ca="1">((Tabla2[[#This Row],[Fantasma Comunicación]]+1)/(Tabla2[[#This Row],[Fantasma Comunicación]]+RANDBETWEEN(0,5)+2))-0.5</f>
        <v>0.33333333333333337</v>
      </c>
      <c r="S333" s="51">
        <f ca="1">1+MAX(0,Tabla2[[#This Row],[Deuda actual]]/Tabla2[[#This Row],[Liquidez]]+Tabla2[[#This Row],[Liquidez]]/(Tabla2[[#This Row],[Activos]]+Tabla2[[#This Row],[Liquidez]])+Tabla2[[#This Row],[Comunicación]])</f>
        <v>4.0049923471653326</v>
      </c>
      <c r="T333">
        <f ca="1">Tabla2[[#This Row],[Deuda actual]]*EXP(Tabla2[[#This Row],[Ki]]*Tabla2[[#This Row],[diferencia de días]])*(1+Tabla2[[#This Row],[Hg]])</f>
        <v>3966.411974605699</v>
      </c>
    </row>
    <row r="334" spans="1:20" ht="14.5" x14ac:dyDescent="0.35">
      <c r="A334" t="e">
        <f t="shared" si="55"/>
        <v>#VALUE!</v>
      </c>
      <c r="B334" s="21">
        <f t="shared" ca="1" si="56"/>
        <v>46085</v>
      </c>
      <c r="C334" s="21">
        <f t="shared" ca="1" si="57"/>
        <v>46157</v>
      </c>
      <c r="D334">
        <f t="shared" ca="1" si="58"/>
        <v>14</v>
      </c>
      <c r="E334">
        <f t="shared" ca="1" si="59"/>
        <v>0.97351612230142381</v>
      </c>
      <c r="F334" s="47">
        <f t="shared" ca="1" si="60"/>
        <v>53.03</v>
      </c>
      <c r="G334" s="32" t="str">
        <f t="shared" ca="1" si="61"/>
        <v>hipotecario</v>
      </c>
      <c r="H33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34" t="str">
        <f t="shared" ca="1" si="62"/>
        <v>No</v>
      </c>
      <c r="J33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164999.92246923625</v>
      </c>
      <c r="K334" s="32" t="str">
        <f ca="1">IF(Tabla2[[#This Row],[¿cliente deuda abierta?]]="Sí", Tabla2[[#This Row],[Deuda actual]]*Tabla2[[#This Row],[diferencia de días]], "0")</f>
        <v>0</v>
      </c>
      <c r="L33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3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3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34">
        <f t="shared" ca="1" si="63"/>
        <v>1520.33</v>
      </c>
      <c r="P334">
        <f t="shared" ca="1" si="64"/>
        <v>35674.04</v>
      </c>
      <c r="Q334">
        <f t="shared" ca="1" si="65"/>
        <v>4</v>
      </c>
      <c r="R334">
        <f ca="1">((Tabla2[[#This Row],[Fantasma Comunicación]]+1)/(Tabla2[[#This Row],[Fantasma Comunicación]]+RANDBETWEEN(0,5)+2))-0.5</f>
        <v>0.33333333333333337</v>
      </c>
      <c r="S334" s="51">
        <f ca="1">1+MAX(0,Tabla2[[#This Row],[Deuda actual]]/Tabla2[[#This Row],[Liquidez]]+Tabla2[[#This Row],[Liquidez]]/(Tabla2[[#This Row],[Activos]]+Tabla2[[#This Row],[Liquidez]])+Tabla2[[#This Row],[Comunicación]])</f>
        <v>1.4090891907216805</v>
      </c>
      <c r="T334">
        <f ca="1">Tabla2[[#This Row],[Deuda actual]]*EXP(Tabla2[[#This Row],[Ki]]*Tabla2[[#This Row],[diferencia de días]])*(1+Tabla2[[#This Row],[Hg]])</f>
        <v>42.542953657403984</v>
      </c>
    </row>
    <row r="335" spans="1:20" ht="14.5" x14ac:dyDescent="0.35">
      <c r="A335" t="e">
        <f t="shared" si="55"/>
        <v>#VALUE!</v>
      </c>
      <c r="B335" s="21">
        <f t="shared" ca="1" si="56"/>
        <v>46139</v>
      </c>
      <c r="C335" s="21">
        <f t="shared" ca="1" si="57"/>
        <v>46157</v>
      </c>
      <c r="D335">
        <f t="shared" ca="1" si="58"/>
        <v>31</v>
      </c>
      <c r="E335">
        <f t="shared" ca="1" si="59"/>
        <v>0.92579845824785056</v>
      </c>
      <c r="F335" s="47">
        <f t="shared" ca="1" si="60"/>
        <v>1178.96</v>
      </c>
      <c r="G335" s="32" t="str">
        <f t="shared" ca="1" si="61"/>
        <v>personal</v>
      </c>
      <c r="H33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335" t="str">
        <f t="shared" ca="1" si="62"/>
        <v>No</v>
      </c>
      <c r="J33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11999.671489528368</v>
      </c>
      <c r="K335" s="32" t="str">
        <f ca="1">IF(Tabla2[[#This Row],[¿cliente deuda abierta?]]="Sí", Tabla2[[#This Row],[Deuda actual]]*Tabla2[[#This Row],[diferencia de días]], "0")</f>
        <v>0</v>
      </c>
      <c r="L33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3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33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335">
        <f t="shared" ca="1" si="63"/>
        <v>1590.59</v>
      </c>
      <c r="P335">
        <f t="shared" ca="1" si="64"/>
        <v>190259.43</v>
      </c>
      <c r="Q335">
        <f t="shared" ca="1" si="65"/>
        <v>1</v>
      </c>
      <c r="R335">
        <f ca="1">((Tabla2[[#This Row],[Fantasma Comunicación]]+1)/(Tabla2[[#This Row],[Fantasma Comunicación]]+RANDBETWEEN(0,5)+2))-0.5</f>
        <v>-0.25</v>
      </c>
      <c r="S335" s="51">
        <f ca="1">1+MAX(0,Tabla2[[#This Row],[Deuda actual]]/Tabla2[[#This Row],[Liquidez]]+Tabla2[[#This Row],[Liquidez]]/(Tabla2[[#This Row],[Activos]]+Tabla2[[#This Row],[Liquidez]])+Tabla2[[#This Row],[Comunicación]])</f>
        <v>1.4995000360640196</v>
      </c>
      <c r="T335">
        <f ca="1">Tabla2[[#This Row],[Deuda actual]]*EXP(Tabla2[[#This Row],[Ki]]*Tabla2[[#This Row],[diferencia de días]])*(1+Tabla2[[#This Row],[Hg]])</f>
        <v>1094.4721346958495</v>
      </c>
    </row>
    <row r="336" spans="1:20" ht="14.5" x14ac:dyDescent="0.35">
      <c r="A336" t="e">
        <f t="shared" si="55"/>
        <v>#VALUE!</v>
      </c>
      <c r="B336" s="21">
        <f t="shared" ca="1" si="56"/>
        <v>46108</v>
      </c>
      <c r="C336" s="21">
        <f t="shared" ca="1" si="57"/>
        <v>46157</v>
      </c>
      <c r="D336">
        <f t="shared" ca="1" si="58"/>
        <v>11</v>
      </c>
      <c r="E336">
        <f t="shared" ca="1" si="59"/>
        <v>0.41144857262320012</v>
      </c>
      <c r="F336" s="47">
        <f t="shared" ca="1" si="60"/>
        <v>183.24</v>
      </c>
      <c r="G336" s="32" t="str">
        <f t="shared" ca="1" si="61"/>
        <v>hipotecario</v>
      </c>
      <c r="H33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36" t="str">
        <f t="shared" ca="1" si="62"/>
        <v>No</v>
      </c>
      <c r="J33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164998.54451850886</v>
      </c>
      <c r="K336" s="32" t="str">
        <f ca="1">IF(Tabla2[[#This Row],[¿cliente deuda abierta?]]="Sí", Tabla2[[#This Row],[Deuda actual]]*Tabla2[[#This Row],[diferencia de días]], "0")</f>
        <v>0</v>
      </c>
      <c r="L33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3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3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36">
        <f t="shared" ca="1" si="63"/>
        <v>1989.45</v>
      </c>
      <c r="P336">
        <f t="shared" ca="1" si="64"/>
        <v>127342.62</v>
      </c>
      <c r="Q336">
        <f t="shared" ca="1" si="65"/>
        <v>4</v>
      </c>
      <c r="R336">
        <f ca="1">((Tabla2[[#This Row],[Fantasma Comunicación]]+1)/(Tabla2[[#This Row],[Fantasma Comunicación]]+RANDBETWEEN(0,5)+2))-0.5</f>
        <v>0.2142857142857143</v>
      </c>
      <c r="S336" s="51">
        <f ca="1">1+MAX(0,Tabla2[[#This Row],[Deuda actual]]/Tabla2[[#This Row],[Liquidez]]+Tabla2[[#This Row],[Liquidez]]/(Tabla2[[#This Row],[Activos]]+Tabla2[[#This Row],[Liquidez]])+Tabla2[[#This Row],[Comunicación]])</f>
        <v>1.3217740683064667</v>
      </c>
      <c r="T336">
        <f ca="1">Tabla2[[#This Row],[Deuda actual]]*EXP(Tabla2[[#This Row],[Ki]]*Tabla2[[#This Row],[diferencia de días]])*(1+Tabla2[[#This Row],[Hg]])</f>
        <v>146.91485741293511</v>
      </c>
    </row>
    <row r="337" spans="1:20" ht="14.5" x14ac:dyDescent="0.35">
      <c r="A337" t="e">
        <f t="shared" si="55"/>
        <v>#VALUE!</v>
      </c>
      <c r="B337" s="21">
        <f t="shared" ca="1" si="56"/>
        <v>46127</v>
      </c>
      <c r="C337" s="21">
        <f t="shared" ca="1" si="57"/>
        <v>46157</v>
      </c>
      <c r="D337">
        <f t="shared" ca="1" si="58"/>
        <v>13</v>
      </c>
      <c r="E337">
        <f t="shared" ca="1" si="59"/>
        <v>0.44699682939235907</v>
      </c>
      <c r="F337" s="47">
        <f t="shared" ca="1" si="60"/>
        <v>438.05</v>
      </c>
      <c r="G337" s="32" t="str">
        <f t="shared" ca="1" si="61"/>
        <v>personal</v>
      </c>
      <c r="H33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37" t="str">
        <f t="shared" ca="1" si="62"/>
        <v>No</v>
      </c>
      <c r="J33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12000.143070452084</v>
      </c>
      <c r="K337" s="32" t="str">
        <f ca="1">IF(Tabla2[[#This Row],[¿cliente deuda abierta?]]="Sí", Tabla2[[#This Row],[Deuda actual]]*Tabla2[[#This Row],[diferencia de días]], "0")</f>
        <v>0</v>
      </c>
      <c r="L33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3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33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337">
        <f t="shared" ca="1" si="63"/>
        <v>1655.71</v>
      </c>
      <c r="P337">
        <f t="shared" ca="1" si="64"/>
        <v>344816.1</v>
      </c>
      <c r="Q337">
        <f t="shared" ca="1" si="65"/>
        <v>1</v>
      </c>
      <c r="R337">
        <f ca="1">((Tabla2[[#This Row],[Fantasma Comunicación]]+1)/(Tabla2[[#This Row],[Fantasma Comunicación]]+RANDBETWEEN(0,5)+2))-0.5</f>
        <v>-9.9999999999999978E-2</v>
      </c>
      <c r="S337" s="51">
        <f ca="1">1+MAX(0,Tabla2[[#This Row],[Deuda actual]]/Tabla2[[#This Row],[Liquidez]]+Tabla2[[#This Row],[Liquidez]]/(Tabla2[[#This Row],[Activos]]+Tabla2[[#This Row],[Liquidez]])+Tabla2[[#This Row],[Comunicación]])</f>
        <v>1.169348051058664</v>
      </c>
      <c r="T337">
        <f ca="1">Tabla2[[#This Row],[Deuda actual]]*EXP(Tabla2[[#This Row],[Ki]]*Tabla2[[#This Row],[diferencia de días]])*(1+Tabla2[[#This Row],[Hg]])</f>
        <v>395.27137070372612</v>
      </c>
    </row>
    <row r="338" spans="1:20" ht="14.5" x14ac:dyDescent="0.35">
      <c r="A338" t="e">
        <f t="shared" si="55"/>
        <v>#VALUE!</v>
      </c>
      <c r="B338" s="21">
        <f t="shared" ca="1" si="56"/>
        <v>46101</v>
      </c>
      <c r="C338" s="21">
        <f t="shared" ca="1" si="57"/>
        <v>46157</v>
      </c>
      <c r="D338">
        <f t="shared" ca="1" si="58"/>
        <v>25</v>
      </c>
      <c r="E338">
        <f t="shared" ca="1" si="59"/>
        <v>0.6564732509700848</v>
      </c>
      <c r="F338" s="47">
        <f t="shared" ca="1" si="60"/>
        <v>888.95</v>
      </c>
      <c r="G338" s="32" t="str">
        <f t="shared" ca="1" si="61"/>
        <v>personal</v>
      </c>
      <c r="H33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338" t="str">
        <f t="shared" ca="1" si="62"/>
        <v>Sí</v>
      </c>
      <c r="J33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38" s="32">
        <f ca="1">IF(Tabla2[[#This Row],[¿cliente deuda abierta?]]="Sí", Tabla2[[#This Row],[Deuda actual]]*Tabla2[[#This Row],[diferencia de días]], "0")</f>
        <v>22223.75</v>
      </c>
      <c r="L33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3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3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38">
        <f t="shared" ca="1" si="63"/>
        <v>1612.89</v>
      </c>
      <c r="P338">
        <f t="shared" ca="1" si="64"/>
        <v>89223.19</v>
      </c>
      <c r="Q338">
        <f t="shared" ca="1" si="65"/>
        <v>2</v>
      </c>
      <c r="R338">
        <f ca="1">((Tabla2[[#This Row],[Fantasma Comunicación]]+1)/(Tabla2[[#This Row],[Fantasma Comunicación]]+RANDBETWEEN(0,5)+2))-0.5</f>
        <v>-7.1428571428571452E-2</v>
      </c>
      <c r="S338" s="51">
        <f ca="1">1+MAX(0,Tabla2[[#This Row],[Deuda actual]]/Tabla2[[#This Row],[Liquidez]]+Tabla2[[#This Row],[Liquidez]]/(Tabla2[[#This Row],[Activos]]+Tabla2[[#This Row],[Liquidez]])+Tabla2[[#This Row],[Comunicación]])</f>
        <v>1.4974809982693562</v>
      </c>
      <c r="T338">
        <f ca="1">Tabla2[[#This Row],[Deuda actual]]*EXP(Tabla2[[#This Row],[Ki]]*Tabla2[[#This Row],[diferencia de días]])*(1+Tabla2[[#This Row],[Hg]])</f>
        <v>942.77830083094477</v>
      </c>
    </row>
    <row r="339" spans="1:20" ht="14.5" x14ac:dyDescent="0.35">
      <c r="A339" t="e">
        <f t="shared" si="55"/>
        <v>#VALUE!</v>
      </c>
      <c r="B339" s="21">
        <f t="shared" ca="1" si="56"/>
        <v>46094</v>
      </c>
      <c r="C339" s="21">
        <f t="shared" ca="1" si="57"/>
        <v>46157</v>
      </c>
      <c r="D339">
        <f t="shared" ca="1" si="58"/>
        <v>76</v>
      </c>
      <c r="E339">
        <f t="shared" ca="1" si="59"/>
        <v>0.6810768890012131</v>
      </c>
      <c r="F339" s="47">
        <f t="shared" ca="1" si="60"/>
        <v>6080.46</v>
      </c>
      <c r="G339" s="32" t="str">
        <f t="shared" ca="1" si="61"/>
        <v>hipotecario</v>
      </c>
      <c r="H33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339" t="str">
        <f t="shared" ca="1" si="62"/>
        <v>No</v>
      </c>
      <c r="J33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164999.6079628976</v>
      </c>
      <c r="K339" s="32" t="str">
        <f ca="1">IF(Tabla2[[#This Row],[¿cliente deuda abierta?]]="Sí", Tabla2[[#This Row],[Deuda actual]]*Tabla2[[#This Row],[diferencia de días]], "0")</f>
        <v>0</v>
      </c>
      <c r="L33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3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3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39">
        <f t="shared" ca="1" si="63"/>
        <v>1854.2</v>
      </c>
      <c r="P339">
        <f t="shared" ca="1" si="64"/>
        <v>110818.68</v>
      </c>
      <c r="Q339">
        <f t="shared" ca="1" si="65"/>
        <v>3</v>
      </c>
      <c r="R339">
        <f ca="1">((Tabla2[[#This Row],[Fantasma Comunicación]]+1)/(Tabla2[[#This Row],[Fantasma Comunicación]]+RANDBETWEEN(0,5)+2))-0.5</f>
        <v>0</v>
      </c>
      <c r="S339" s="51">
        <f ca="1">1+MAX(0,Tabla2[[#This Row],[Deuda actual]]/Tabla2[[#This Row],[Liquidez]]+Tabla2[[#This Row],[Liquidez]]/(Tabla2[[#This Row],[Activos]]+Tabla2[[#This Row],[Liquidez]])+Tabla2[[#This Row],[Comunicación]])</f>
        <v>4.2957467488588055</v>
      </c>
      <c r="T339">
        <f ca="1">Tabla2[[#This Row],[Deuda actual]]*EXP(Tabla2[[#This Row],[Ki]]*Tabla2[[#This Row],[diferencia de días]])*(1+Tabla2[[#This Row],[Hg]])</f>
        <v>5248.4710189283187</v>
      </c>
    </row>
    <row r="340" spans="1:20" ht="14.5" x14ac:dyDescent="0.35">
      <c r="A340" t="e">
        <f t="shared" si="55"/>
        <v>#VALUE!</v>
      </c>
      <c r="B340" s="21">
        <f t="shared" ca="1" si="56"/>
        <v>46134</v>
      </c>
      <c r="C340" s="21">
        <f t="shared" ca="1" si="57"/>
        <v>46157</v>
      </c>
      <c r="D340">
        <f t="shared" ca="1" si="58"/>
        <v>1</v>
      </c>
      <c r="E340">
        <f t="shared" ca="1" si="59"/>
        <v>0.2234906703725843</v>
      </c>
      <c r="F340" s="47">
        <f t="shared" ca="1" si="60"/>
        <v>9168.6</v>
      </c>
      <c r="G340" s="32" t="str">
        <f t="shared" ca="1" si="61"/>
        <v>personal</v>
      </c>
      <c r="H34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40" t="str">
        <f t="shared" ca="1" si="62"/>
        <v>Sí</v>
      </c>
      <c r="J34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40" s="32">
        <f ca="1">IF(Tabla2[[#This Row],[¿cliente deuda abierta?]]="Sí", Tabla2[[#This Row],[Deuda actual]]*Tabla2[[#This Row],[diferencia de días]], "0")</f>
        <v>9168.6</v>
      </c>
      <c r="L34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4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4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40">
        <f t="shared" ca="1" si="63"/>
        <v>1207.25</v>
      </c>
      <c r="P340">
        <f t="shared" ca="1" si="64"/>
        <v>318309.52</v>
      </c>
      <c r="Q340">
        <f t="shared" ca="1" si="65"/>
        <v>3</v>
      </c>
      <c r="R340">
        <f ca="1">((Tabla2[[#This Row],[Fantasma Comunicación]]+1)/(Tabla2[[#This Row],[Fantasma Comunicación]]+RANDBETWEEN(0,5)+2))-0.5</f>
        <v>0.30000000000000004</v>
      </c>
      <c r="S340" s="51">
        <f ca="1">1+MAX(0,Tabla2[[#This Row],[Deuda actual]]/Tabla2[[#This Row],[Liquidez]]+Tabla2[[#This Row],[Liquidez]]/(Tabla2[[#This Row],[Activos]]+Tabla2[[#This Row],[Liquidez]])+Tabla2[[#This Row],[Comunicación]])</f>
        <v>8.8983942244281486</v>
      </c>
      <c r="T340">
        <f ca="1">Tabla2[[#This Row],[Deuda actual]]*EXP(Tabla2[[#This Row],[Ki]]*Tabla2[[#This Row],[diferencia de días]])*(1+Tabla2[[#This Row],[Hg]])</f>
        <v>9628.9555985534371</v>
      </c>
    </row>
    <row r="341" spans="1:20" ht="14.5" x14ac:dyDescent="0.35">
      <c r="A341" t="e">
        <f t="shared" si="55"/>
        <v>#VALUE!</v>
      </c>
      <c r="B341" s="21">
        <f t="shared" ca="1" si="56"/>
        <v>46129</v>
      </c>
      <c r="C341" s="21">
        <f t="shared" ca="1" si="57"/>
        <v>46157</v>
      </c>
      <c r="D341">
        <f t="shared" ca="1" si="58"/>
        <v>13</v>
      </c>
      <c r="E341">
        <f t="shared" ca="1" si="59"/>
        <v>0.97102638819960785</v>
      </c>
      <c r="F341" s="47">
        <f t="shared" ca="1" si="60"/>
        <v>597.6</v>
      </c>
      <c r="G341" s="32" t="str">
        <f t="shared" ca="1" si="61"/>
        <v>hipotecario</v>
      </c>
      <c r="H34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41" t="str">
        <f t="shared" ca="1" si="62"/>
        <v>Sí</v>
      </c>
      <c r="J34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41" s="32">
        <f ca="1">IF(Tabla2[[#This Row],[¿cliente deuda abierta?]]="Sí", Tabla2[[#This Row],[Deuda actual]]*Tabla2[[#This Row],[diferencia de días]], "0")</f>
        <v>7768.8</v>
      </c>
      <c r="L34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4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4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41">
        <f t="shared" ca="1" si="63"/>
        <v>1942.08</v>
      </c>
      <c r="P341">
        <f t="shared" ca="1" si="64"/>
        <v>156851.92000000001</v>
      </c>
      <c r="Q341">
        <f t="shared" ca="1" si="65"/>
        <v>0</v>
      </c>
      <c r="R341">
        <f ca="1">((Tabla2[[#This Row],[Fantasma Comunicación]]+1)/(Tabla2[[#This Row],[Fantasma Comunicación]]+RANDBETWEEN(0,5)+2))-0.5</f>
        <v>0</v>
      </c>
      <c r="S341" s="51">
        <f ca="1">1+MAX(0,Tabla2[[#This Row],[Deuda actual]]/Tabla2[[#This Row],[Liquidez]]+Tabla2[[#This Row],[Liquidez]]/(Tabla2[[#This Row],[Activos]]+Tabla2[[#This Row],[Liquidez]])+Tabla2[[#This Row],[Comunicación]])</f>
        <v>1.3199415048416316</v>
      </c>
      <c r="T341">
        <f ca="1">Tabla2[[#This Row],[Deuda actual]]*EXP(Tabla2[[#This Row],[Ki]]*Tabla2[[#This Row],[diferencia de días]])*(1+Tabla2[[#This Row],[Hg]])</f>
        <v>629.11357072169346</v>
      </c>
    </row>
    <row r="342" spans="1:20" ht="14.5" x14ac:dyDescent="0.35">
      <c r="A342" t="e">
        <f t="shared" si="55"/>
        <v>#VALUE!</v>
      </c>
      <c r="B342" s="21">
        <f t="shared" ca="1" si="56"/>
        <v>46137</v>
      </c>
      <c r="C342" s="21">
        <f t="shared" ca="1" si="57"/>
        <v>46157</v>
      </c>
      <c r="D342">
        <f t="shared" ca="1" si="58"/>
        <v>8</v>
      </c>
      <c r="E342">
        <f t="shared" ca="1" si="59"/>
        <v>0.32441049685967349</v>
      </c>
      <c r="F342" s="47">
        <f t="shared" ca="1" si="60"/>
        <v>10000</v>
      </c>
      <c r="G342" s="32" t="str">
        <f t="shared" ca="1" si="61"/>
        <v>personal</v>
      </c>
      <c r="H34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42" t="str">
        <f t="shared" ca="1" si="62"/>
        <v>No</v>
      </c>
      <c r="J34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11999.7433948954</v>
      </c>
      <c r="K342" s="32" t="str">
        <f ca="1">IF(Tabla2[[#This Row],[¿cliente deuda abierta?]]="Sí", Tabla2[[#This Row],[Deuda actual]]*Tabla2[[#This Row],[diferencia de días]], "0")</f>
        <v>0</v>
      </c>
      <c r="L34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4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34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342">
        <f t="shared" ca="1" si="63"/>
        <v>1735.17</v>
      </c>
      <c r="P342">
        <f t="shared" ca="1" si="64"/>
        <v>42071.44</v>
      </c>
      <c r="Q342">
        <f t="shared" ca="1" si="65"/>
        <v>0</v>
      </c>
      <c r="R342">
        <f ca="1">((Tabla2[[#This Row],[Fantasma Comunicación]]+1)/(Tabla2[[#This Row],[Fantasma Comunicación]]+RANDBETWEEN(0,5)+2))-0.5</f>
        <v>-0.16666666666666669</v>
      </c>
      <c r="S342" s="51">
        <f ca="1">1+MAX(0,Tabla2[[#This Row],[Deuda actual]]/Tabla2[[#This Row],[Liquidez]]+Tabla2[[#This Row],[Liquidez]]/(Tabla2[[#This Row],[Activos]]+Tabla2[[#This Row],[Liquidez]])+Tabla2[[#This Row],[Comunicación]])</f>
        <v>6.6360671834165075</v>
      </c>
      <c r="T342">
        <f ca="1">Tabla2[[#This Row],[Deuda actual]]*EXP(Tabla2[[#This Row],[Ki]]*Tabla2[[#This Row],[diferencia de días]])*(1+Tabla2[[#This Row],[Hg]])</f>
        <v>9014.4115261464576</v>
      </c>
    </row>
    <row r="343" spans="1:20" ht="14.5" x14ac:dyDescent="0.35">
      <c r="A343" t="e">
        <f t="shared" si="55"/>
        <v>#VALUE!</v>
      </c>
      <c r="B343" s="21">
        <f t="shared" ca="1" si="56"/>
        <v>46111</v>
      </c>
      <c r="C343" s="21">
        <f t="shared" ca="1" si="57"/>
        <v>46157</v>
      </c>
      <c r="D343">
        <f t="shared" ca="1" si="58"/>
        <v>5</v>
      </c>
      <c r="E343">
        <f t="shared" ca="1" si="59"/>
        <v>0.18992307424661603</v>
      </c>
      <c r="F343" s="47">
        <f t="shared" ca="1" si="60"/>
        <v>1222.6199999999999</v>
      </c>
      <c r="G343" s="32" t="str">
        <f t="shared" ca="1" si="61"/>
        <v>personal</v>
      </c>
      <c r="H34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43" t="str">
        <f t="shared" ca="1" si="62"/>
        <v>Sí</v>
      </c>
      <c r="J34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43" s="32">
        <f ca="1">IF(Tabla2[[#This Row],[¿cliente deuda abierta?]]="Sí", Tabla2[[#This Row],[Deuda actual]]*Tabla2[[#This Row],[diferencia de días]], "0")</f>
        <v>6113.0999999999995</v>
      </c>
      <c r="L34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4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4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43">
        <f t="shared" ca="1" si="63"/>
        <v>1817.68</v>
      </c>
      <c r="P343">
        <f t="shared" ca="1" si="64"/>
        <v>210402.85</v>
      </c>
      <c r="Q343">
        <f t="shared" ca="1" si="65"/>
        <v>2</v>
      </c>
      <c r="R343">
        <f ca="1">((Tabla2[[#This Row],[Fantasma Comunicación]]+1)/(Tabla2[[#This Row],[Fantasma Comunicación]]+RANDBETWEEN(0,5)+2))-0.5</f>
        <v>-7.1428571428571452E-2</v>
      </c>
      <c r="S343" s="51">
        <f ca="1">1+MAX(0,Tabla2[[#This Row],[Deuda actual]]/Tabla2[[#This Row],[Liquidez]]+Tabla2[[#This Row],[Liquidez]]/(Tabla2[[#This Row],[Activos]]+Tabla2[[#This Row],[Liquidez]])+Tabla2[[#This Row],[Comunicación]])</f>
        <v>1.6097631261148342</v>
      </c>
      <c r="T343">
        <f ca="1">Tabla2[[#This Row],[Deuda actual]]*EXP(Tabla2[[#This Row],[Ki]]*Tabla2[[#This Row],[diferencia de días]])*(1+Tabla2[[#This Row],[Hg]])</f>
        <v>1285.0353930895119</v>
      </c>
    </row>
    <row r="344" spans="1:20" ht="14.5" x14ac:dyDescent="0.35">
      <c r="A344" t="e">
        <f t="shared" si="55"/>
        <v>#VALUE!</v>
      </c>
      <c r="B344" s="21">
        <f t="shared" ca="1" si="56"/>
        <v>46095</v>
      </c>
      <c r="C344" s="21">
        <f t="shared" ca="1" si="57"/>
        <v>46157</v>
      </c>
      <c r="D344">
        <f t="shared" ca="1" si="58"/>
        <v>13</v>
      </c>
      <c r="E344">
        <f t="shared" ca="1" si="59"/>
        <v>6.6458428335671726E-2</v>
      </c>
      <c r="F344" s="47">
        <f t="shared" ca="1" si="60"/>
        <v>177.09</v>
      </c>
      <c r="G344" s="32" t="str">
        <f t="shared" ca="1" si="61"/>
        <v>hipotecario</v>
      </c>
      <c r="H34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44" t="str">
        <f t="shared" ca="1" si="62"/>
        <v>No</v>
      </c>
      <c r="J34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164999.35006209815</v>
      </c>
      <c r="K344" s="32" t="str">
        <f ca="1">IF(Tabla2[[#This Row],[¿cliente deuda abierta?]]="Sí", Tabla2[[#This Row],[Deuda actual]]*Tabla2[[#This Row],[diferencia de días]], "0")</f>
        <v>0</v>
      </c>
      <c r="L34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4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4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44">
        <f t="shared" ca="1" si="63"/>
        <v>1900.58</v>
      </c>
      <c r="P344">
        <f t="shared" ca="1" si="64"/>
        <v>53416.09</v>
      </c>
      <c r="Q344">
        <f t="shared" ca="1" si="65"/>
        <v>1</v>
      </c>
      <c r="R344">
        <f ca="1">((Tabla2[[#This Row],[Fantasma Comunicación]]+1)/(Tabla2[[#This Row],[Fantasma Comunicación]]+RANDBETWEEN(0,5)+2))-0.5</f>
        <v>-0.2142857142857143</v>
      </c>
      <c r="S344" s="51">
        <f ca="1">1+MAX(0,Tabla2[[#This Row],[Deuda actual]]/Tabla2[[#This Row],[Liquidez]]+Tabla2[[#This Row],[Liquidez]]/(Tabla2[[#This Row],[Activos]]+Tabla2[[#This Row],[Liquidez]])+Tabla2[[#This Row],[Comunicación]])</f>
        <v>1</v>
      </c>
      <c r="T344">
        <f ca="1">Tabla2[[#This Row],[Deuda actual]]*EXP(Tabla2[[#This Row],[Ki]]*Tabla2[[#This Row],[diferencia de días]])*(1+Tabla2[[#This Row],[Hg]])</f>
        <v>142.04082646663443</v>
      </c>
    </row>
    <row r="345" spans="1:20" ht="14.5" x14ac:dyDescent="0.35">
      <c r="A345" t="e">
        <f t="shared" si="55"/>
        <v>#VALUE!</v>
      </c>
      <c r="B345" s="21">
        <f t="shared" ca="1" si="56"/>
        <v>46138</v>
      </c>
      <c r="C345" s="21">
        <f t="shared" ca="1" si="57"/>
        <v>46157</v>
      </c>
      <c r="D345">
        <f t="shared" ca="1" si="58"/>
        <v>8</v>
      </c>
      <c r="E345">
        <f t="shared" ca="1" si="59"/>
        <v>0.55814621804832343</v>
      </c>
      <c r="F345" s="47">
        <f t="shared" ca="1" si="60"/>
        <v>458.57</v>
      </c>
      <c r="G345" s="32" t="str">
        <f t="shared" ca="1" si="61"/>
        <v>hipotecario</v>
      </c>
      <c r="H34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45" t="str">
        <f t="shared" ca="1" si="62"/>
        <v>No</v>
      </c>
      <c r="J34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165001.58532305097</v>
      </c>
      <c r="K345" s="32" t="str">
        <f ca="1">IF(Tabla2[[#This Row],[¿cliente deuda abierta?]]="Sí", Tabla2[[#This Row],[Deuda actual]]*Tabla2[[#This Row],[diferencia de días]], "0")</f>
        <v>0</v>
      </c>
      <c r="L34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4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4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45">
        <f t="shared" ca="1" si="63"/>
        <v>2344.31</v>
      </c>
      <c r="P345">
        <f t="shared" ca="1" si="64"/>
        <v>110152.78</v>
      </c>
      <c r="Q345">
        <f t="shared" ca="1" si="65"/>
        <v>1</v>
      </c>
      <c r="R345">
        <f ca="1">((Tabla2[[#This Row],[Fantasma Comunicación]]+1)/(Tabla2[[#This Row],[Fantasma Comunicación]]+RANDBETWEEN(0,5)+2))-0.5</f>
        <v>-9.9999999999999978E-2</v>
      </c>
      <c r="S345" s="51">
        <f ca="1">1+MAX(0,Tabla2[[#This Row],[Deuda actual]]/Tabla2[[#This Row],[Liquidez]]+Tabla2[[#This Row],[Liquidez]]/(Tabla2[[#This Row],[Activos]]+Tabla2[[#This Row],[Liquidez]])+Tabla2[[#This Row],[Comunicación]])</f>
        <v>1.1164486457755316</v>
      </c>
      <c r="T345">
        <f ca="1">Tabla2[[#This Row],[Deuda actual]]*EXP(Tabla2[[#This Row],[Ki]]*Tabla2[[#This Row],[diferencia de días]])*(1+Tabla2[[#This Row],[Hg]])</f>
        <v>367.44343942622055</v>
      </c>
    </row>
    <row r="346" spans="1:20" ht="14.5" x14ac:dyDescent="0.35">
      <c r="A346" t="e">
        <f t="shared" si="55"/>
        <v>#VALUE!</v>
      </c>
      <c r="B346" s="21">
        <f t="shared" ca="1" si="56"/>
        <v>46128</v>
      </c>
      <c r="C346" s="21">
        <f t="shared" ca="1" si="57"/>
        <v>46157</v>
      </c>
      <c r="D346">
        <f t="shared" ca="1" si="58"/>
        <v>3</v>
      </c>
      <c r="E346">
        <f t="shared" ca="1" si="59"/>
        <v>0.4440326681511032</v>
      </c>
      <c r="F346" s="47">
        <f t="shared" ca="1" si="60"/>
        <v>1364.85</v>
      </c>
      <c r="G346" s="32" t="str">
        <f t="shared" ca="1" si="61"/>
        <v>personal</v>
      </c>
      <c r="H34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46" t="str">
        <f t="shared" ca="1" si="62"/>
        <v>Sí</v>
      </c>
      <c r="J34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46" s="32">
        <f ca="1">IF(Tabla2[[#This Row],[¿cliente deuda abierta?]]="Sí", Tabla2[[#This Row],[Deuda actual]]*Tabla2[[#This Row],[diferencia de días]], "0")</f>
        <v>4094.5499999999997</v>
      </c>
      <c r="L34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4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4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46">
        <f t="shared" ca="1" si="63"/>
        <v>1971.57</v>
      </c>
      <c r="P346">
        <f t="shared" ca="1" si="64"/>
        <v>51956.58</v>
      </c>
      <c r="Q346">
        <f t="shared" ca="1" si="65"/>
        <v>4</v>
      </c>
      <c r="R346">
        <f ca="1">((Tabla2[[#This Row],[Fantasma Comunicación]]+1)/(Tabla2[[#This Row],[Fantasma Comunicación]]+RANDBETWEEN(0,5)+2))-0.5</f>
        <v>0.125</v>
      </c>
      <c r="S346" s="51">
        <f ca="1">1+MAX(0,Tabla2[[#This Row],[Deuda actual]]/Tabla2[[#This Row],[Liquidez]]+Tabla2[[#This Row],[Liquidez]]/(Tabla2[[#This Row],[Activos]]+Tabla2[[#This Row],[Liquidez]])+Tabla2[[#This Row],[Comunicación]])</f>
        <v>1.8538247544640609</v>
      </c>
      <c r="T346">
        <f ca="1">Tabla2[[#This Row],[Deuda actual]]*EXP(Tabla2[[#This Row],[Ki]]*Tabla2[[#This Row],[diferencia de días]])*(1+Tabla2[[#This Row],[Hg]])</f>
        <v>1433.952613508249</v>
      </c>
    </row>
    <row r="347" spans="1:20" ht="14.5" x14ac:dyDescent="0.35">
      <c r="A347" t="e">
        <f t="shared" si="55"/>
        <v>#VALUE!</v>
      </c>
      <c r="B347" s="21">
        <f t="shared" ca="1" si="56"/>
        <v>46137</v>
      </c>
      <c r="C347" s="21">
        <f t="shared" ca="1" si="57"/>
        <v>46157</v>
      </c>
      <c r="D347">
        <f t="shared" ca="1" si="58"/>
        <v>36</v>
      </c>
      <c r="E347">
        <f t="shared" ca="1" si="59"/>
        <v>1.5862734470844408E-2</v>
      </c>
      <c r="F347" s="47">
        <f t="shared" ca="1" si="60"/>
        <v>639.02</v>
      </c>
      <c r="G347" s="32" t="str">
        <f t="shared" ca="1" si="61"/>
        <v>hipotecario</v>
      </c>
      <c r="H34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347" t="str">
        <f t="shared" ca="1" si="62"/>
        <v>Sí</v>
      </c>
      <c r="J34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47" s="32">
        <f ca="1">IF(Tabla2[[#This Row],[¿cliente deuda abierta?]]="Sí", Tabla2[[#This Row],[Deuda actual]]*Tabla2[[#This Row],[diferencia de días]], "0")</f>
        <v>23004.720000000001</v>
      </c>
      <c r="L34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4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4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47">
        <f t="shared" ca="1" si="63"/>
        <v>1600.26</v>
      </c>
      <c r="P347">
        <f t="shared" ca="1" si="64"/>
        <v>571197.38</v>
      </c>
      <c r="Q347">
        <f t="shared" ca="1" si="65"/>
        <v>0</v>
      </c>
      <c r="R347">
        <f ca="1">((Tabla2[[#This Row],[Fantasma Comunicación]]+1)/(Tabla2[[#This Row],[Fantasma Comunicación]]+RANDBETWEEN(0,5)+2))-0.5</f>
        <v>-0.25</v>
      </c>
      <c r="S347" s="51">
        <f ca="1">1+MAX(0,Tabla2[[#This Row],[Deuda actual]]/Tabla2[[#This Row],[Liquidez]]+Tabla2[[#This Row],[Liquidez]]/(Tabla2[[#This Row],[Activos]]+Tabla2[[#This Row],[Liquidez]])+Tabla2[[#This Row],[Comunicación]])</f>
        <v>1.1521163715864722</v>
      </c>
      <c r="T347">
        <f ca="1">Tabla2[[#This Row],[Deuda actual]]*EXP(Tabla2[[#This Row],[Ki]]*Tabla2[[#This Row],[diferencia de días]])*(1+Tabla2[[#This Row],[Hg]])</f>
        <v>695.56600997586156</v>
      </c>
    </row>
    <row r="348" spans="1:20" ht="14.5" x14ac:dyDescent="0.35">
      <c r="A348" t="e">
        <f t="shared" si="55"/>
        <v>#VALUE!</v>
      </c>
      <c r="B348" s="21">
        <f t="shared" ca="1" si="56"/>
        <v>46097</v>
      </c>
      <c r="C348" s="21">
        <f t="shared" ca="1" si="57"/>
        <v>46157</v>
      </c>
      <c r="D348">
        <f t="shared" ca="1" si="58"/>
        <v>8</v>
      </c>
      <c r="E348">
        <f t="shared" ca="1" si="59"/>
        <v>0.56211010344255119</v>
      </c>
      <c r="F348" s="47">
        <f t="shared" ca="1" si="60"/>
        <v>10000</v>
      </c>
      <c r="G348" s="32" t="str">
        <f t="shared" ca="1" si="61"/>
        <v>hipotecario</v>
      </c>
      <c r="H34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48" t="str">
        <f t="shared" ca="1" si="62"/>
        <v>Sí</v>
      </c>
      <c r="J34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48" s="32">
        <f ca="1">IF(Tabla2[[#This Row],[¿cliente deuda abierta?]]="Sí", Tabla2[[#This Row],[Deuda actual]]*Tabla2[[#This Row],[diferencia de días]], "0")</f>
        <v>80000</v>
      </c>
      <c r="L34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34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48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348">
        <f t="shared" ca="1" si="63"/>
        <v>1572.97</v>
      </c>
      <c r="P348">
        <f t="shared" ca="1" si="64"/>
        <v>38091.54</v>
      </c>
      <c r="Q348">
        <f t="shared" ca="1" si="65"/>
        <v>0</v>
      </c>
      <c r="R348">
        <f ca="1">((Tabla2[[#This Row],[Fantasma Comunicación]]+1)/(Tabla2[[#This Row],[Fantasma Comunicación]]+RANDBETWEEN(0,5)+2))-0.5</f>
        <v>-0.16666666666666669</v>
      </c>
      <c r="S348" s="51">
        <f ca="1">1+MAX(0,Tabla2[[#This Row],[Deuda actual]]/Tabla2[[#This Row],[Liquidez]]+Tabla2[[#This Row],[Liquidez]]/(Tabla2[[#This Row],[Activos]]+Tabla2[[#This Row],[Liquidez]])+Tabla2[[#This Row],[Comunicación]])</f>
        <v>7.2303905272055733</v>
      </c>
      <c r="T348">
        <f ca="1">Tabla2[[#This Row],[Deuda actual]]*EXP(Tabla2[[#This Row],[Ki]]*Tabla2[[#This Row],[diferencia de días]])*(1+Tabla2[[#This Row],[Hg]])</f>
        <v>11518.414727853808</v>
      </c>
    </row>
    <row r="349" spans="1:20" ht="14.5" x14ac:dyDescent="0.35">
      <c r="A349" t="e">
        <f t="shared" si="55"/>
        <v>#VALUE!</v>
      </c>
      <c r="B349" s="21">
        <f t="shared" ca="1" si="56"/>
        <v>46089</v>
      </c>
      <c r="C349" s="21">
        <f t="shared" ca="1" si="57"/>
        <v>46157</v>
      </c>
      <c r="D349">
        <f t="shared" ca="1" si="58"/>
        <v>35</v>
      </c>
      <c r="E349">
        <f t="shared" ca="1" si="59"/>
        <v>6.6152062621564367E-2</v>
      </c>
      <c r="F349" s="47">
        <f t="shared" ca="1" si="60"/>
        <v>1607.63</v>
      </c>
      <c r="G349" s="32" t="str">
        <f t="shared" ca="1" si="61"/>
        <v>personal</v>
      </c>
      <c r="H34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349" t="str">
        <f t="shared" ca="1" si="62"/>
        <v>Sí</v>
      </c>
      <c r="J34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49" s="32">
        <f ca="1">IF(Tabla2[[#This Row],[¿cliente deuda abierta?]]="Sí", Tabla2[[#This Row],[Deuda actual]]*Tabla2[[#This Row],[diferencia de días]], "0")</f>
        <v>56267.05</v>
      </c>
      <c r="L34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34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49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349">
        <f t="shared" ca="1" si="63"/>
        <v>2169.16</v>
      </c>
      <c r="P349">
        <f t="shared" ca="1" si="64"/>
        <v>198389.1</v>
      </c>
      <c r="Q349">
        <f t="shared" ca="1" si="65"/>
        <v>1</v>
      </c>
      <c r="R349">
        <f ca="1">((Tabla2[[#This Row],[Fantasma Comunicación]]+1)/(Tabla2[[#This Row],[Fantasma Comunicación]]+RANDBETWEEN(0,5)+2))-0.5</f>
        <v>-0.16666666666666669</v>
      </c>
      <c r="S349" s="51">
        <f ca="1">1+MAX(0,Tabla2[[#This Row],[Deuda actual]]/Tabla2[[#This Row],[Liquidez]]+Tabla2[[#This Row],[Liquidez]]/(Tabla2[[#This Row],[Activos]]+Tabla2[[#This Row],[Liquidez]])+Tabla2[[#This Row],[Comunicación]])</f>
        <v>1.5852791508048312</v>
      </c>
      <c r="T349">
        <f ca="1">Tabla2[[#This Row],[Deuda actual]]*EXP(Tabla2[[#This Row],[Ki]]*Tabla2[[#This Row],[diferencia de días]])*(1+Tabla2[[#This Row],[Hg]])</f>
        <v>1831.3826437032926</v>
      </c>
    </row>
    <row r="350" spans="1:20" ht="14.5" x14ac:dyDescent="0.35">
      <c r="A350" t="e">
        <f t="shared" si="55"/>
        <v>#VALUE!</v>
      </c>
      <c r="B350" s="21">
        <f t="shared" ca="1" si="56"/>
        <v>46083</v>
      </c>
      <c r="C350" s="21">
        <f t="shared" ca="1" si="57"/>
        <v>46157</v>
      </c>
      <c r="D350">
        <f t="shared" ca="1" si="58"/>
        <v>4</v>
      </c>
      <c r="E350">
        <f t="shared" ca="1" si="59"/>
        <v>0.3236788608473633</v>
      </c>
      <c r="F350" s="47">
        <f t="shared" ca="1" si="60"/>
        <v>7108.63</v>
      </c>
      <c r="G350" s="32" t="str">
        <f t="shared" ca="1" si="61"/>
        <v>hipotecario</v>
      </c>
      <c r="H35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50" t="str">
        <f t="shared" ca="1" si="62"/>
        <v>Sí</v>
      </c>
      <c r="J35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50" s="32">
        <f ca="1">IF(Tabla2[[#This Row],[¿cliente deuda abierta?]]="Sí", Tabla2[[#This Row],[Deuda actual]]*Tabla2[[#This Row],[diferencia de días]], "0")</f>
        <v>28434.52</v>
      </c>
      <c r="L35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5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5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50">
        <f t="shared" ca="1" si="63"/>
        <v>1549.56</v>
      </c>
      <c r="P350">
        <f t="shared" ca="1" si="64"/>
        <v>78441.36</v>
      </c>
      <c r="Q350">
        <f t="shared" ca="1" si="65"/>
        <v>1</v>
      </c>
      <c r="R350">
        <f ca="1">((Tabla2[[#This Row],[Fantasma Comunicación]]+1)/(Tabla2[[#This Row],[Fantasma Comunicación]]+RANDBETWEEN(0,5)+2))-0.5</f>
        <v>-0.25</v>
      </c>
      <c r="S350" s="51">
        <f ca="1">1+MAX(0,Tabla2[[#This Row],[Deuda actual]]/Tabla2[[#This Row],[Liquidez]]+Tabla2[[#This Row],[Liquidez]]/(Tabla2[[#This Row],[Activos]]+Tabla2[[#This Row],[Liquidez]])+Tabla2[[#This Row],[Comunicación]])</f>
        <v>5.3568868642831964</v>
      </c>
      <c r="T350">
        <f ca="1">Tabla2[[#This Row],[Deuda actual]]*EXP(Tabla2[[#This Row],[Ki]]*Tabla2[[#This Row],[diferencia de días]])*(1+Tabla2[[#This Row],[Hg]])</f>
        <v>7470.0351383367406</v>
      </c>
    </row>
    <row r="351" spans="1:20" ht="14.5" x14ac:dyDescent="0.35">
      <c r="A351" t="e">
        <f t="shared" si="55"/>
        <v>#VALUE!</v>
      </c>
      <c r="B351" s="21">
        <f t="shared" ca="1" si="56"/>
        <v>46139</v>
      </c>
      <c r="C351" s="21">
        <f t="shared" ca="1" si="57"/>
        <v>46157</v>
      </c>
      <c r="D351">
        <f t="shared" ca="1" si="58"/>
        <v>51</v>
      </c>
      <c r="E351">
        <f t="shared" ca="1" si="59"/>
        <v>0.42420439274981692</v>
      </c>
      <c r="F351" s="47">
        <f t="shared" ca="1" si="60"/>
        <v>697.74</v>
      </c>
      <c r="G351" s="32" t="str">
        <f t="shared" ca="1" si="61"/>
        <v>hipotecario</v>
      </c>
      <c r="H35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1.5E-3</v>
      </c>
      <c r="I351" t="str">
        <f t="shared" ca="1" si="62"/>
        <v>Sí</v>
      </c>
      <c r="J35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51" s="32">
        <f ca="1">IF(Tabla2[[#This Row],[¿cliente deuda abierta?]]="Sí", Tabla2[[#This Row],[Deuda actual]]*Tabla2[[#This Row],[diferencia de días]], "0")</f>
        <v>35584.74</v>
      </c>
      <c r="L35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35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51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351">
        <f t="shared" ca="1" si="63"/>
        <v>1314.42</v>
      </c>
      <c r="P351">
        <f t="shared" ca="1" si="64"/>
        <v>122251.4</v>
      </c>
      <c r="Q351">
        <f t="shared" ca="1" si="65"/>
        <v>3</v>
      </c>
      <c r="R351">
        <f ca="1">((Tabla2[[#This Row],[Fantasma Comunicación]]+1)/(Tabla2[[#This Row],[Fantasma Comunicación]]+RANDBETWEEN(0,5)+2))-0.5</f>
        <v>0</v>
      </c>
      <c r="S351" s="51">
        <f ca="1">1+MAX(0,Tabla2[[#This Row],[Deuda actual]]/Tabla2[[#This Row],[Liquidez]]+Tabla2[[#This Row],[Liquidez]]/(Tabla2[[#This Row],[Activos]]+Tabla2[[#This Row],[Liquidez]])+Tabla2[[#This Row],[Comunicación]])</f>
        <v>1.5414723006151148</v>
      </c>
      <c r="T351">
        <f ca="1">Tabla2[[#This Row],[Deuda actual]]*EXP(Tabla2[[#This Row],[Ki]]*Tabla2[[#This Row],[diferencia de días]])*(1+Tabla2[[#This Row],[Hg]])</f>
        <v>828.53304411443935</v>
      </c>
    </row>
    <row r="352" spans="1:20" ht="14.5" x14ac:dyDescent="0.35">
      <c r="A352" t="e">
        <f t="shared" si="55"/>
        <v>#VALUE!</v>
      </c>
      <c r="B352" s="21">
        <f t="shared" ca="1" si="56"/>
        <v>46130</v>
      </c>
      <c r="C352" s="21">
        <f t="shared" ca="1" si="57"/>
        <v>46157</v>
      </c>
      <c r="D352">
        <f t="shared" ca="1" si="58"/>
        <v>79</v>
      </c>
      <c r="E352">
        <f t="shared" ca="1" si="59"/>
        <v>0.8020024841171246</v>
      </c>
      <c r="F352" s="47">
        <f t="shared" ca="1" si="60"/>
        <v>603.33000000000004</v>
      </c>
      <c r="G352" s="32" t="str">
        <f t="shared" ca="1" si="61"/>
        <v>personal</v>
      </c>
      <c r="H35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352" t="str">
        <f t="shared" ca="1" si="62"/>
        <v>Sí</v>
      </c>
      <c r="J35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52" s="32">
        <f ca="1">IF(Tabla2[[#This Row],[¿cliente deuda abierta?]]="Sí", Tabla2[[#This Row],[Deuda actual]]*Tabla2[[#This Row],[diferencia de días]], "0")</f>
        <v>47663.07</v>
      </c>
      <c r="L35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35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52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352">
        <f t="shared" ca="1" si="63"/>
        <v>1436.08</v>
      </c>
      <c r="P352">
        <f t="shared" ca="1" si="64"/>
        <v>100445.66</v>
      </c>
      <c r="Q352">
        <f t="shared" ca="1" si="65"/>
        <v>0</v>
      </c>
      <c r="R352">
        <f ca="1">((Tabla2[[#This Row],[Fantasma Comunicación]]+1)/(Tabla2[[#This Row],[Fantasma Comunicación]]+RANDBETWEEN(0,5)+2))-0.5</f>
        <v>-0.16666666666666669</v>
      </c>
      <c r="S352" s="51">
        <f ca="1">1+MAX(0,Tabla2[[#This Row],[Deuda actual]]/Tabla2[[#This Row],[Liquidez]]+Tabla2[[#This Row],[Liquidez]]/(Tabla2[[#This Row],[Activos]]+Tabla2[[#This Row],[Liquidez]])+Tabla2[[#This Row],[Comunicación]])</f>
        <v>1.2675517259581497</v>
      </c>
      <c r="T352">
        <f ca="1">Tabla2[[#This Row],[Deuda actual]]*EXP(Tabla2[[#This Row],[Ki]]*Tabla2[[#This Row],[diferencia de días]])*(1+Tabla2[[#This Row],[Hg]])</f>
        <v>718.21896699815136</v>
      </c>
    </row>
    <row r="353" spans="1:20" ht="14.5" x14ac:dyDescent="0.35">
      <c r="A353" t="e">
        <f t="shared" si="55"/>
        <v>#VALUE!</v>
      </c>
      <c r="B353" s="21">
        <f t="shared" ca="1" si="56"/>
        <v>46092</v>
      </c>
      <c r="C353" s="21">
        <f t="shared" ca="1" si="57"/>
        <v>46157</v>
      </c>
      <c r="D353">
        <f t="shared" ca="1" si="58"/>
        <v>37</v>
      </c>
      <c r="E353">
        <f t="shared" ca="1" si="59"/>
        <v>0.44296879713276094</v>
      </c>
      <c r="F353" s="47">
        <f t="shared" ca="1" si="60"/>
        <v>165.61</v>
      </c>
      <c r="G353" s="32" t="str">
        <f t="shared" ca="1" si="61"/>
        <v>personal</v>
      </c>
      <c r="H35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353" t="str">
        <f t="shared" ca="1" si="62"/>
        <v>Sí</v>
      </c>
      <c r="J35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53" s="32">
        <f ca="1">IF(Tabla2[[#This Row],[¿cliente deuda abierta?]]="Sí", Tabla2[[#This Row],[Deuda actual]]*Tabla2[[#This Row],[diferencia de días]], "0")</f>
        <v>6127.5700000000006</v>
      </c>
      <c r="L35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5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5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53">
        <f t="shared" ca="1" si="63"/>
        <v>1498.54</v>
      </c>
      <c r="P353">
        <f t="shared" ca="1" si="64"/>
        <v>74151.22</v>
      </c>
      <c r="Q353">
        <f t="shared" ca="1" si="65"/>
        <v>0</v>
      </c>
      <c r="R353">
        <f ca="1">((Tabla2[[#This Row],[Fantasma Comunicación]]+1)/(Tabla2[[#This Row],[Fantasma Comunicación]]+RANDBETWEEN(0,5)+2))-0.5</f>
        <v>-0.25</v>
      </c>
      <c r="S353" s="51">
        <f ca="1">1+MAX(0,Tabla2[[#This Row],[Deuda actual]]/Tabla2[[#This Row],[Liquidez]]+Tabla2[[#This Row],[Liquidez]]/(Tabla2[[#This Row],[Activos]]+Tabla2[[#This Row],[Liquidez]])+Tabla2[[#This Row],[Comunicación]])</f>
        <v>1</v>
      </c>
      <c r="T353">
        <f ca="1">Tabla2[[#This Row],[Deuda actual]]*EXP(Tabla2[[#This Row],[Ki]]*Tabla2[[#This Row],[diferencia de días]])*(1+Tabla2[[#This Row],[Hg]])</f>
        <v>180.44495824005762</v>
      </c>
    </row>
    <row r="354" spans="1:20" ht="14.5" x14ac:dyDescent="0.35">
      <c r="A354" t="e">
        <f t="shared" si="55"/>
        <v>#VALUE!</v>
      </c>
      <c r="B354" s="21">
        <f t="shared" ca="1" si="56"/>
        <v>46087</v>
      </c>
      <c r="C354" s="21">
        <f t="shared" ca="1" si="57"/>
        <v>46157</v>
      </c>
      <c r="D354">
        <f t="shared" ca="1" si="58"/>
        <v>5</v>
      </c>
      <c r="E354">
        <f t="shared" ca="1" si="59"/>
        <v>0.23112772341190491</v>
      </c>
      <c r="F354" s="47">
        <f t="shared" ca="1" si="60"/>
        <v>378.81</v>
      </c>
      <c r="G354" s="32" t="str">
        <f t="shared" ca="1" si="61"/>
        <v>personal</v>
      </c>
      <c r="H35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54" t="str">
        <f t="shared" ca="1" si="62"/>
        <v>Sí</v>
      </c>
      <c r="J35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54" s="32">
        <f ca="1">IF(Tabla2[[#This Row],[¿cliente deuda abierta?]]="Sí", Tabla2[[#This Row],[Deuda actual]]*Tabla2[[#This Row],[diferencia de días]], "0")</f>
        <v>1894.05</v>
      </c>
      <c r="L35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5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5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54">
        <f t="shared" ca="1" si="63"/>
        <v>1028.3800000000001</v>
      </c>
      <c r="P354">
        <f t="shared" ca="1" si="64"/>
        <v>105676.75</v>
      </c>
      <c r="Q354">
        <f t="shared" ca="1" si="65"/>
        <v>2</v>
      </c>
      <c r="R354">
        <f ca="1">((Tabla2[[#This Row],[Fantasma Comunicación]]+1)/(Tabla2[[#This Row],[Fantasma Comunicación]]+RANDBETWEEN(0,5)+2))-0.5</f>
        <v>9.9999999999999978E-2</v>
      </c>
      <c r="S354" s="51">
        <f ca="1">1+MAX(0,Tabla2[[#This Row],[Deuda actual]]/Tabla2[[#This Row],[Liquidez]]+Tabla2[[#This Row],[Liquidez]]/(Tabla2[[#This Row],[Activos]]+Tabla2[[#This Row],[Liquidez]])+Tabla2[[#This Row],[Comunicación]])</f>
        <v>1.4779936424009832</v>
      </c>
      <c r="T354">
        <f ca="1">Tabla2[[#This Row],[Deuda actual]]*EXP(Tabla2[[#This Row],[Ki]]*Tabla2[[#This Row],[diferencia de días]])*(1+Tabla2[[#This Row],[Hg]])</f>
        <v>398.1484494415584</v>
      </c>
    </row>
    <row r="355" spans="1:20" ht="14.5" x14ac:dyDescent="0.35">
      <c r="A355" t="e">
        <f t="shared" si="55"/>
        <v>#VALUE!</v>
      </c>
      <c r="B355" s="21">
        <f t="shared" ca="1" si="56"/>
        <v>46095</v>
      </c>
      <c r="C355" s="21">
        <f t="shared" ca="1" si="57"/>
        <v>46157</v>
      </c>
      <c r="D355">
        <f t="shared" ca="1" si="58"/>
        <v>18</v>
      </c>
      <c r="E355">
        <f t="shared" ca="1" si="59"/>
        <v>0.35705629282986395</v>
      </c>
      <c r="F355" s="47">
        <f t="shared" ca="1" si="60"/>
        <v>690.08</v>
      </c>
      <c r="G355" s="32" t="str">
        <f t="shared" ca="1" si="61"/>
        <v>hipotecario</v>
      </c>
      <c r="H35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355" t="str">
        <f t="shared" ca="1" si="62"/>
        <v>Sí</v>
      </c>
      <c r="J35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55" s="32">
        <f ca="1">IF(Tabla2[[#This Row],[¿cliente deuda abierta?]]="Sí", Tabla2[[#This Row],[Deuda actual]]*Tabla2[[#This Row],[diferencia de días]], "0")</f>
        <v>12421.44</v>
      </c>
      <c r="L35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5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5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55">
        <f t="shared" ca="1" si="63"/>
        <v>1106.26</v>
      </c>
      <c r="P355">
        <f t="shared" ca="1" si="64"/>
        <v>81146.02</v>
      </c>
      <c r="Q355">
        <f t="shared" ca="1" si="65"/>
        <v>2</v>
      </c>
      <c r="R355">
        <f ca="1">((Tabla2[[#This Row],[Fantasma Comunicación]]+1)/(Tabla2[[#This Row],[Fantasma Comunicación]]+RANDBETWEEN(0,5)+2))-0.5</f>
        <v>-0.16666666666666669</v>
      </c>
      <c r="S355" s="51">
        <f ca="1">1+MAX(0,Tabla2[[#This Row],[Deuda actual]]/Tabla2[[#This Row],[Liquidez]]+Tabla2[[#This Row],[Liquidez]]/(Tabla2[[#This Row],[Activos]]+Tabla2[[#This Row],[Liquidez]])+Tabla2[[#This Row],[Comunicación]])</f>
        <v>1.4705784212246729</v>
      </c>
      <c r="T355">
        <f ca="1">Tabla2[[#This Row],[Deuda actual]]*EXP(Tabla2[[#This Row],[Ki]]*Tabla2[[#This Row],[diferencia de días]])*(1+Tabla2[[#This Row],[Hg]])</f>
        <v>729.81983117345351</v>
      </c>
    </row>
    <row r="356" spans="1:20" ht="14.5" x14ac:dyDescent="0.35">
      <c r="A356" t="e">
        <f t="shared" si="55"/>
        <v>#VALUE!</v>
      </c>
      <c r="B356" s="21">
        <f t="shared" ca="1" si="56"/>
        <v>46089</v>
      </c>
      <c r="C356" s="21">
        <f t="shared" ca="1" si="57"/>
        <v>46157</v>
      </c>
      <c r="D356">
        <f t="shared" ca="1" si="58"/>
        <v>10</v>
      </c>
      <c r="E356">
        <f t="shared" ca="1" si="59"/>
        <v>1.3014917641782087E-2</v>
      </c>
      <c r="F356" s="47">
        <f t="shared" ca="1" si="60"/>
        <v>4304.2700000000004</v>
      </c>
      <c r="G356" s="32" t="str">
        <f t="shared" ca="1" si="61"/>
        <v>personal</v>
      </c>
      <c r="H35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56" t="str">
        <f t="shared" ca="1" si="62"/>
        <v>Sí</v>
      </c>
      <c r="J35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56" s="32">
        <f ca="1">IF(Tabla2[[#This Row],[¿cliente deuda abierta?]]="Sí", Tabla2[[#This Row],[Deuda actual]]*Tabla2[[#This Row],[diferencia de días]], "0")</f>
        <v>43042.700000000004</v>
      </c>
      <c r="L35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35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56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356">
        <f t="shared" ca="1" si="63"/>
        <v>1813.46</v>
      </c>
      <c r="P356">
        <f t="shared" ca="1" si="64"/>
        <v>125643.88</v>
      </c>
      <c r="Q356">
        <f t="shared" ca="1" si="65"/>
        <v>5</v>
      </c>
      <c r="R356">
        <f ca="1">((Tabla2[[#This Row],[Fantasma Comunicación]]+1)/(Tabla2[[#This Row],[Fantasma Comunicación]]+RANDBETWEEN(0,5)+2))-0.5</f>
        <v>0</v>
      </c>
      <c r="S356" s="51">
        <f ca="1">1+MAX(0,Tabla2[[#This Row],[Deuda actual]]/Tabla2[[#This Row],[Liquidez]]+Tabla2[[#This Row],[Liquidez]]/(Tabla2[[#This Row],[Activos]]+Tabla2[[#This Row],[Liquidez]])+Tabla2[[#This Row],[Comunicación]])</f>
        <v>3.3877404881933706</v>
      </c>
      <c r="T356">
        <f ca="1">Tabla2[[#This Row],[Deuda actual]]*EXP(Tabla2[[#This Row],[Ki]]*Tabla2[[#This Row],[diferencia de días]])*(1+Tabla2[[#This Row],[Hg]])</f>
        <v>4744.1758697100877</v>
      </c>
    </row>
    <row r="357" spans="1:20" ht="14.5" x14ac:dyDescent="0.35">
      <c r="A357" t="e">
        <f t="shared" si="55"/>
        <v>#VALUE!</v>
      </c>
      <c r="B357" s="21">
        <f t="shared" ca="1" si="56"/>
        <v>46086</v>
      </c>
      <c r="C357" s="21">
        <f t="shared" ca="1" si="57"/>
        <v>46157</v>
      </c>
      <c r="D357">
        <f t="shared" ca="1" si="58"/>
        <v>5</v>
      </c>
      <c r="E357">
        <f t="shared" ca="1" si="59"/>
        <v>0.99463922524628479</v>
      </c>
      <c r="F357" s="47">
        <f t="shared" ca="1" si="60"/>
        <v>4407.13</v>
      </c>
      <c r="G357" s="32" t="str">
        <f t="shared" ca="1" si="61"/>
        <v>hipotecario</v>
      </c>
      <c r="H35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57" t="str">
        <f t="shared" ca="1" si="62"/>
        <v>Sí</v>
      </c>
      <c r="J35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57" s="32">
        <f ca="1">IF(Tabla2[[#This Row],[¿cliente deuda abierta?]]="Sí", Tabla2[[#This Row],[Deuda actual]]*Tabla2[[#This Row],[diferencia de días]], "0")</f>
        <v>22035.65</v>
      </c>
      <c r="L35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5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5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57">
        <f t="shared" ca="1" si="63"/>
        <v>1699.57</v>
      </c>
      <c r="P357">
        <f t="shared" ca="1" si="64"/>
        <v>422464.67</v>
      </c>
      <c r="Q357">
        <f t="shared" ca="1" si="65"/>
        <v>5</v>
      </c>
      <c r="R357">
        <f ca="1">((Tabla2[[#This Row],[Fantasma Comunicación]]+1)/(Tabla2[[#This Row],[Fantasma Comunicación]]+RANDBETWEEN(0,5)+2))-0.5</f>
        <v>9.9999999999999978E-2</v>
      </c>
      <c r="S357" s="51">
        <f ca="1">1+MAX(0,Tabla2[[#This Row],[Deuda actual]]/Tabla2[[#This Row],[Liquidez]]+Tabla2[[#This Row],[Liquidez]]/(Tabla2[[#This Row],[Activos]]+Tabla2[[#This Row],[Liquidez]])+Tabla2[[#This Row],[Comunicación]])</f>
        <v>3.6970921775307493</v>
      </c>
      <c r="T357">
        <f ca="1">Tabla2[[#This Row],[Deuda actual]]*EXP(Tabla2[[#This Row],[Ki]]*Tabla2[[#This Row],[diferencia de días]])*(1+Tabla2[[#This Row],[Hg]])</f>
        <v>4632.1163010146911</v>
      </c>
    </row>
    <row r="358" spans="1:20" ht="14.5" x14ac:dyDescent="0.35">
      <c r="A358" t="e">
        <f t="shared" si="55"/>
        <v>#VALUE!</v>
      </c>
      <c r="B358" s="21">
        <f t="shared" ca="1" si="56"/>
        <v>46141</v>
      </c>
      <c r="C358" s="21">
        <f t="shared" ca="1" si="57"/>
        <v>46157</v>
      </c>
      <c r="D358">
        <f t="shared" ca="1" si="58"/>
        <v>4</v>
      </c>
      <c r="E358">
        <f t="shared" ca="1" si="59"/>
        <v>0.15818884261496158</v>
      </c>
      <c r="F358" s="47">
        <f t="shared" ca="1" si="60"/>
        <v>168.84</v>
      </c>
      <c r="G358" s="32" t="str">
        <f t="shared" ca="1" si="61"/>
        <v>personal</v>
      </c>
      <c r="H35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58" t="str">
        <f t="shared" ca="1" si="62"/>
        <v>Sí</v>
      </c>
      <c r="J35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58" s="32">
        <f ca="1">IF(Tabla2[[#This Row],[¿cliente deuda abierta?]]="Sí", Tabla2[[#This Row],[Deuda actual]]*Tabla2[[#This Row],[diferencia de días]], "0")</f>
        <v>675.36</v>
      </c>
      <c r="L35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5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5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58">
        <f t="shared" ca="1" si="63"/>
        <v>1316.97</v>
      </c>
      <c r="P358">
        <f t="shared" ca="1" si="64"/>
        <v>156055.1</v>
      </c>
      <c r="Q358">
        <f t="shared" ca="1" si="65"/>
        <v>4</v>
      </c>
      <c r="R358">
        <f ca="1">((Tabla2[[#This Row],[Fantasma Comunicación]]+1)/(Tabla2[[#This Row],[Fantasma Comunicación]]+RANDBETWEEN(0,5)+2))-0.5</f>
        <v>0.125</v>
      </c>
      <c r="S358" s="51">
        <f ca="1">1+MAX(0,Tabla2[[#This Row],[Deuda actual]]/Tabla2[[#This Row],[Liquidez]]+Tabla2[[#This Row],[Liquidez]]/(Tabla2[[#This Row],[Activos]]+Tabla2[[#This Row],[Liquidez]])+Tabla2[[#This Row],[Comunicación]])</f>
        <v>1.261571887573619</v>
      </c>
      <c r="T358">
        <f ca="1">Tabla2[[#This Row],[Deuda actual]]*EXP(Tabla2[[#This Row],[Ki]]*Tabla2[[#This Row],[diferencia de días]])*(1+Tabla2[[#This Row],[Hg]])</f>
        <v>177.42388234537111</v>
      </c>
    </row>
    <row r="359" spans="1:20" ht="14.5" x14ac:dyDescent="0.35">
      <c r="A359" t="e">
        <f t="shared" si="55"/>
        <v>#VALUE!</v>
      </c>
      <c r="B359" s="21">
        <f t="shared" ca="1" si="56"/>
        <v>46106</v>
      </c>
      <c r="C359" s="21">
        <f t="shared" ca="1" si="57"/>
        <v>46157</v>
      </c>
      <c r="D359">
        <f t="shared" ca="1" si="58"/>
        <v>26</v>
      </c>
      <c r="E359">
        <f t="shared" ca="1" si="59"/>
        <v>0.50326759378293395</v>
      </c>
      <c r="F359" s="47">
        <f t="shared" ca="1" si="60"/>
        <v>3147.66</v>
      </c>
      <c r="G359" s="32" t="str">
        <f t="shared" ca="1" si="61"/>
        <v>hipotecario</v>
      </c>
      <c r="H35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359" t="str">
        <f t="shared" ca="1" si="62"/>
        <v>Sí</v>
      </c>
      <c r="J35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59" s="32">
        <f ca="1">IF(Tabla2[[#This Row],[¿cliente deuda abierta?]]="Sí", Tabla2[[#This Row],[Deuda actual]]*Tabla2[[#This Row],[diferencia de días]], "0")</f>
        <v>81839.16</v>
      </c>
      <c r="L35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35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59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359">
        <f t="shared" ca="1" si="63"/>
        <v>1793.53</v>
      </c>
      <c r="P359">
        <f t="shared" ca="1" si="64"/>
        <v>387176.26</v>
      </c>
      <c r="Q359">
        <f t="shared" ca="1" si="65"/>
        <v>2</v>
      </c>
      <c r="R359">
        <f ca="1">((Tabla2[[#This Row],[Fantasma Comunicación]]+1)/(Tabla2[[#This Row],[Fantasma Comunicación]]+RANDBETWEEN(0,5)+2))-0.5</f>
        <v>0.25</v>
      </c>
      <c r="S359" s="51">
        <f ca="1">1+MAX(0,Tabla2[[#This Row],[Deuda actual]]/Tabla2[[#This Row],[Liquidez]]+Tabla2[[#This Row],[Liquidez]]/(Tabla2[[#This Row],[Activos]]+Tabla2[[#This Row],[Liquidez]])+Tabla2[[#This Row],[Comunicación]])</f>
        <v>3.0096192548191274</v>
      </c>
      <c r="T359">
        <f ca="1">Tabla2[[#This Row],[Deuda actual]]*EXP(Tabla2[[#This Row],[Ki]]*Tabla2[[#This Row],[diferencia de días]])*(1+Tabla2[[#This Row],[Hg]])</f>
        <v>3657.651453270978</v>
      </c>
    </row>
    <row r="360" spans="1:20" ht="14.5" x14ac:dyDescent="0.35">
      <c r="A360" t="e">
        <f t="shared" si="55"/>
        <v>#VALUE!</v>
      </c>
      <c r="B360" s="21">
        <f t="shared" ca="1" si="56"/>
        <v>46143</v>
      </c>
      <c r="C360" s="21">
        <f t="shared" ca="1" si="57"/>
        <v>46157</v>
      </c>
      <c r="D360">
        <f t="shared" ca="1" si="58"/>
        <v>20</v>
      </c>
      <c r="E360">
        <f t="shared" ca="1" si="59"/>
        <v>0.49580071399596892</v>
      </c>
      <c r="F360" s="47">
        <f t="shared" ca="1" si="60"/>
        <v>767.73</v>
      </c>
      <c r="G360" s="32" t="str">
        <f t="shared" ca="1" si="61"/>
        <v>hipotecario</v>
      </c>
      <c r="H36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360" t="str">
        <f t="shared" ca="1" si="62"/>
        <v>No</v>
      </c>
      <c r="J36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164999.09277104886</v>
      </c>
      <c r="K360" s="32" t="str">
        <f ca="1">IF(Tabla2[[#This Row],[¿cliente deuda abierta?]]="Sí", Tabla2[[#This Row],[Deuda actual]]*Tabla2[[#This Row],[diferencia de días]], "0")</f>
        <v>0</v>
      </c>
      <c r="L36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6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6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60">
        <f t="shared" ca="1" si="63"/>
        <v>2036.06</v>
      </c>
      <c r="P360">
        <f t="shared" ca="1" si="64"/>
        <v>86951.59</v>
      </c>
      <c r="Q360">
        <f t="shared" ca="1" si="65"/>
        <v>1</v>
      </c>
      <c r="R360">
        <f ca="1">((Tabla2[[#This Row],[Fantasma Comunicación]]+1)/(Tabla2[[#This Row],[Fantasma Comunicación]]+RANDBETWEEN(0,5)+2))-0.5</f>
        <v>-0.16666666666666669</v>
      </c>
      <c r="S360" s="51">
        <f ca="1">1+MAX(0,Tabla2[[#This Row],[Deuda actual]]/Tabla2[[#This Row],[Liquidez]]+Tabla2[[#This Row],[Liquidez]]/(Tabla2[[#This Row],[Activos]]+Tabla2[[#This Row],[Liquidez]])+Tabla2[[#This Row],[Comunicación]])</f>
        <v>1.2332800781058664</v>
      </c>
      <c r="T360">
        <f ca="1">Tabla2[[#This Row],[Deuda actual]]*EXP(Tabla2[[#This Row],[Ki]]*Tabla2[[#This Row],[diferencia de días]])*(1+Tabla2[[#This Row],[Hg]])</f>
        <v>619.11717840335677</v>
      </c>
    </row>
    <row r="361" spans="1:20" ht="14.5" x14ac:dyDescent="0.35">
      <c r="A361" t="e">
        <f t="shared" si="55"/>
        <v>#VALUE!</v>
      </c>
      <c r="B361" s="21">
        <f t="shared" ca="1" si="56"/>
        <v>46106</v>
      </c>
      <c r="C361" s="21">
        <f t="shared" ca="1" si="57"/>
        <v>46157</v>
      </c>
      <c r="D361">
        <f t="shared" ca="1" si="58"/>
        <v>19</v>
      </c>
      <c r="E361">
        <f t="shared" ca="1" si="59"/>
        <v>0.23492556315423774</v>
      </c>
      <c r="F361" s="47">
        <f t="shared" ca="1" si="60"/>
        <v>130.88</v>
      </c>
      <c r="G361" s="32" t="str">
        <f t="shared" ca="1" si="61"/>
        <v>personal</v>
      </c>
      <c r="H36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361" t="str">
        <f t="shared" ca="1" si="62"/>
        <v>Sí</v>
      </c>
      <c r="J36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61" s="32">
        <f ca="1">IF(Tabla2[[#This Row],[¿cliente deuda abierta?]]="Sí", Tabla2[[#This Row],[Deuda actual]]*Tabla2[[#This Row],[diferencia de días]], "0")</f>
        <v>2486.7199999999998</v>
      </c>
      <c r="L36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6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6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61">
        <f t="shared" ca="1" si="63"/>
        <v>1339.43</v>
      </c>
      <c r="P361">
        <f t="shared" ca="1" si="64"/>
        <v>238044.95</v>
      </c>
      <c r="Q361">
        <f t="shared" ca="1" si="65"/>
        <v>3</v>
      </c>
      <c r="R361">
        <f ca="1">((Tabla2[[#This Row],[Fantasma Comunicación]]+1)/(Tabla2[[#This Row],[Fantasma Comunicación]]+RANDBETWEEN(0,5)+2))-0.5</f>
        <v>-5.555555555555558E-2</v>
      </c>
      <c r="S361" s="51">
        <f ca="1">1+MAX(0,Tabla2[[#This Row],[Deuda actual]]/Tabla2[[#This Row],[Liquidez]]+Tabla2[[#This Row],[Liquidez]]/(Tabla2[[#This Row],[Activos]]+Tabla2[[#This Row],[Liquidez]])+Tabla2[[#This Row],[Comunicación]])</f>
        <v>1.0477529615800842</v>
      </c>
      <c r="T361">
        <f ca="1">Tabla2[[#This Row],[Deuda actual]]*EXP(Tabla2[[#This Row],[Ki]]*Tabla2[[#This Row],[diferencia de días]])*(1+Tabla2[[#This Row],[Hg]])</f>
        <v>138.47240127855858</v>
      </c>
    </row>
    <row r="362" spans="1:20" ht="14.5" x14ac:dyDescent="0.35">
      <c r="A362" t="e">
        <f t="shared" si="55"/>
        <v>#VALUE!</v>
      </c>
      <c r="B362" s="21">
        <f t="shared" ca="1" si="56"/>
        <v>46112</v>
      </c>
      <c r="C362" s="21">
        <f t="shared" ca="1" si="57"/>
        <v>46157</v>
      </c>
      <c r="D362">
        <f t="shared" ca="1" si="58"/>
        <v>14</v>
      </c>
      <c r="E362">
        <f t="shared" ca="1" si="59"/>
        <v>0.41347556285455977</v>
      </c>
      <c r="F362" s="47">
        <f t="shared" ca="1" si="60"/>
        <v>4305.1499999999996</v>
      </c>
      <c r="G362" s="32" t="str">
        <f t="shared" ca="1" si="61"/>
        <v>hipotecario</v>
      </c>
      <c r="H36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62" t="str">
        <f t="shared" ca="1" si="62"/>
        <v>No</v>
      </c>
      <c r="J36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164999.35907897714</v>
      </c>
      <c r="K362" s="32" t="str">
        <f ca="1">IF(Tabla2[[#This Row],[¿cliente deuda abierta?]]="Sí", Tabla2[[#This Row],[Deuda actual]]*Tabla2[[#This Row],[diferencia de días]], "0")</f>
        <v>0</v>
      </c>
      <c r="L36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6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6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62">
        <f t="shared" ca="1" si="63"/>
        <v>1509.47</v>
      </c>
      <c r="P362">
        <f t="shared" ca="1" si="64"/>
        <v>77781.710000000006</v>
      </c>
      <c r="Q362">
        <f t="shared" ca="1" si="65"/>
        <v>1</v>
      </c>
      <c r="R362">
        <f ca="1">((Tabla2[[#This Row],[Fantasma Comunicación]]+1)/(Tabla2[[#This Row],[Fantasma Comunicación]]+RANDBETWEEN(0,5)+2))-0.5</f>
        <v>-9.9999999999999978E-2</v>
      </c>
      <c r="S362" s="51">
        <f ca="1">1+MAX(0,Tabla2[[#This Row],[Deuda actual]]/Tabla2[[#This Row],[Liquidez]]+Tabla2[[#This Row],[Liquidez]]/(Tabla2[[#This Row],[Activos]]+Tabla2[[#This Row],[Liquidez]])+Tabla2[[#This Row],[Comunicación]])</f>
        <v>3.7711308292655543</v>
      </c>
      <c r="T362">
        <f ca="1">Tabla2[[#This Row],[Deuda actual]]*EXP(Tabla2[[#This Row],[Ki]]*Tabla2[[#This Row],[diferencia de días]])*(1+Tabla2[[#This Row],[Hg]])</f>
        <v>3453.7770495601126</v>
      </c>
    </row>
    <row r="363" spans="1:20" ht="14.5" x14ac:dyDescent="0.35">
      <c r="A363" t="e">
        <f t="shared" si="55"/>
        <v>#VALUE!</v>
      </c>
      <c r="B363" s="21">
        <f t="shared" ca="1" si="56"/>
        <v>46090</v>
      </c>
      <c r="C363" s="21">
        <f t="shared" ca="1" si="57"/>
        <v>46157</v>
      </c>
      <c r="D363">
        <f t="shared" ca="1" si="58"/>
        <v>4</v>
      </c>
      <c r="E363">
        <f t="shared" ca="1" si="59"/>
        <v>0.22273038711079796</v>
      </c>
      <c r="F363" s="47">
        <f t="shared" ca="1" si="60"/>
        <v>314.08</v>
      </c>
      <c r="G363" s="32" t="str">
        <f t="shared" ca="1" si="61"/>
        <v>hipotecario</v>
      </c>
      <c r="H36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63" t="str">
        <f t="shared" ca="1" si="62"/>
        <v>Sí</v>
      </c>
      <c r="J36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63" s="32">
        <f ca="1">IF(Tabla2[[#This Row],[¿cliente deuda abierta?]]="Sí", Tabla2[[#This Row],[Deuda actual]]*Tabla2[[#This Row],[diferencia de días]], "0")</f>
        <v>1256.32</v>
      </c>
      <c r="L36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6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6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63">
        <f t="shared" ca="1" si="63"/>
        <v>1179.43</v>
      </c>
      <c r="P363">
        <f t="shared" ca="1" si="64"/>
        <v>143828.38</v>
      </c>
      <c r="Q363">
        <f t="shared" ca="1" si="65"/>
        <v>3</v>
      </c>
      <c r="R363">
        <f ca="1">((Tabla2[[#This Row],[Fantasma Comunicación]]+1)/(Tabla2[[#This Row],[Fantasma Comunicación]]+RANDBETWEEN(0,5)+2))-0.5</f>
        <v>-9.9999999999999978E-2</v>
      </c>
      <c r="S363" s="51">
        <f ca="1">1+MAX(0,Tabla2[[#This Row],[Deuda actual]]/Tabla2[[#This Row],[Liquidez]]+Tabla2[[#This Row],[Liquidez]]/(Tabla2[[#This Row],[Activos]]+Tabla2[[#This Row],[Liquidez]])+Tabla2[[#This Row],[Comunicación]])</f>
        <v>1.1744316889709046</v>
      </c>
      <c r="T363">
        <f ca="1">Tabla2[[#This Row],[Deuda actual]]*EXP(Tabla2[[#This Row],[Ki]]*Tabla2[[#This Row],[diferencia de días]])*(1+Tabla2[[#This Row],[Hg]])</f>
        <v>330.04793275902722</v>
      </c>
    </row>
    <row r="364" spans="1:20" ht="14.5" x14ac:dyDescent="0.35">
      <c r="A364" t="e">
        <f t="shared" si="55"/>
        <v>#VALUE!</v>
      </c>
      <c r="B364" s="21">
        <f t="shared" ca="1" si="56"/>
        <v>46122</v>
      </c>
      <c r="C364" s="21">
        <f t="shared" ca="1" si="57"/>
        <v>46157</v>
      </c>
      <c r="D364">
        <f t="shared" ca="1" si="58"/>
        <v>0</v>
      </c>
      <c r="E364">
        <f t="shared" ca="1" si="59"/>
        <v>0.59157899514936318</v>
      </c>
      <c r="F364" s="47">
        <f t="shared" ca="1" si="60"/>
        <v>933.97</v>
      </c>
      <c r="G364" s="32" t="str">
        <f t="shared" ca="1" si="61"/>
        <v>personal</v>
      </c>
      <c r="H36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64" t="str">
        <f t="shared" ca="1" si="62"/>
        <v>Sí</v>
      </c>
      <c r="J36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64" s="32">
        <f ca="1">IF(Tabla2[[#This Row],[¿cliente deuda abierta?]]="Sí", Tabla2[[#This Row],[Deuda actual]]*Tabla2[[#This Row],[diferencia de días]], "0")</f>
        <v>0</v>
      </c>
      <c r="L36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6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64" s="32">
        <f ca="1">MAX(Tabla2[[#This Row],[VALORES DE Hg para actuales deudores]:[Valores de HG para deudores cerrados]])*IF(Tabla2[[#This Row],[VALORES DE Hg para actuales deudores]]&gt;Tabla2[[#This Row],[Valores de HG para deudores cerrados]],-1,1)</f>
        <v>0</v>
      </c>
      <c r="O364">
        <f t="shared" ca="1" si="63"/>
        <v>1817.55</v>
      </c>
      <c r="P364">
        <f t="shared" ca="1" si="64"/>
        <v>263068.34000000003</v>
      </c>
      <c r="Q364">
        <f t="shared" ca="1" si="65"/>
        <v>1</v>
      </c>
      <c r="R364">
        <f ca="1">((Tabla2[[#This Row],[Fantasma Comunicación]]+1)/(Tabla2[[#This Row],[Fantasma Comunicación]]+RANDBETWEEN(0,5)+2))-0.5</f>
        <v>-0.16666666666666669</v>
      </c>
      <c r="S364" s="51">
        <f ca="1">1+MAX(0,Tabla2[[#This Row],[Deuda actual]]/Tabla2[[#This Row],[Liquidez]]+Tabla2[[#This Row],[Liquidez]]/(Tabla2[[#This Row],[Activos]]+Tabla2[[#This Row],[Liquidez]])+Tabla2[[#This Row],[Comunicación]])</f>
        <v>1.354057034292369</v>
      </c>
      <c r="T364">
        <f ca="1">Tabla2[[#This Row],[Deuda actual]]*EXP(Tabla2[[#This Row],[Ki]]*Tabla2[[#This Row],[diferencia de días]])*(1+Tabla2[[#This Row],[Hg]])</f>
        <v>933.97</v>
      </c>
    </row>
    <row r="365" spans="1:20" ht="14.5" x14ac:dyDescent="0.35">
      <c r="A365" t="e">
        <f t="shared" si="55"/>
        <v>#VALUE!</v>
      </c>
      <c r="B365" s="21">
        <f t="shared" ca="1" si="56"/>
        <v>46089</v>
      </c>
      <c r="C365" s="21">
        <f t="shared" ca="1" si="57"/>
        <v>46157</v>
      </c>
      <c r="D365">
        <f t="shared" ca="1" si="58"/>
        <v>40</v>
      </c>
      <c r="E365">
        <f t="shared" ca="1" si="59"/>
        <v>0.13207944886298451</v>
      </c>
      <c r="F365" s="47">
        <f t="shared" ca="1" si="60"/>
        <v>1330.98</v>
      </c>
      <c r="G365" s="32" t="str">
        <f t="shared" ca="1" si="61"/>
        <v>hipotecario</v>
      </c>
      <c r="H36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365" t="str">
        <f t="shared" ca="1" si="62"/>
        <v>Sí</v>
      </c>
      <c r="J36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65" s="32">
        <f ca="1">IF(Tabla2[[#This Row],[¿cliente deuda abierta?]]="Sí", Tabla2[[#This Row],[Deuda actual]]*Tabla2[[#This Row],[diferencia de días]], "0")</f>
        <v>53239.199999999997</v>
      </c>
      <c r="L36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36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65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365">
        <f t="shared" ca="1" si="63"/>
        <v>2203.08</v>
      </c>
      <c r="P365">
        <f t="shared" ca="1" si="64"/>
        <v>43984.61</v>
      </c>
      <c r="Q365">
        <f t="shared" ca="1" si="65"/>
        <v>5</v>
      </c>
      <c r="R365">
        <f ca="1">((Tabla2[[#This Row],[Fantasma Comunicación]]+1)/(Tabla2[[#This Row],[Fantasma Comunicación]]+RANDBETWEEN(0,5)+2))-0.5</f>
        <v>0</v>
      </c>
      <c r="S365" s="51">
        <f ca="1">1+MAX(0,Tabla2[[#This Row],[Deuda actual]]/Tabla2[[#This Row],[Liquidez]]+Tabla2[[#This Row],[Liquidez]]/(Tabla2[[#This Row],[Activos]]+Tabla2[[#This Row],[Liquidez]])+Tabla2[[#This Row],[Comunicación]])</f>
        <v>1.6518435294835805</v>
      </c>
      <c r="T365">
        <f ca="1">Tabla2[[#This Row],[Deuda actual]]*EXP(Tabla2[[#This Row],[Ki]]*Tabla2[[#This Row],[diferencia de días]])*(1+Tabla2[[#This Row],[Hg]])</f>
        <v>1523.8281566580436</v>
      </c>
    </row>
    <row r="366" spans="1:20" ht="14.5" x14ac:dyDescent="0.35">
      <c r="A366" t="e">
        <f t="shared" si="55"/>
        <v>#VALUE!</v>
      </c>
      <c r="B366" s="21">
        <f t="shared" ca="1" si="56"/>
        <v>46140</v>
      </c>
      <c r="C366" s="21">
        <f t="shared" ca="1" si="57"/>
        <v>46157</v>
      </c>
      <c r="D366">
        <f t="shared" ca="1" si="58"/>
        <v>9</v>
      </c>
      <c r="E366">
        <f t="shared" ca="1" si="59"/>
        <v>0.42522305437664232</v>
      </c>
      <c r="F366" s="47">
        <f t="shared" ca="1" si="60"/>
        <v>4668.29</v>
      </c>
      <c r="G366" s="32" t="str">
        <f t="shared" ca="1" si="61"/>
        <v>personal</v>
      </c>
      <c r="H36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66" t="str">
        <f t="shared" ca="1" si="62"/>
        <v>Sí</v>
      </c>
      <c r="J36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66" s="32">
        <f ca="1">IF(Tabla2[[#This Row],[¿cliente deuda abierta?]]="Sí", Tabla2[[#This Row],[Deuda actual]]*Tabla2[[#This Row],[diferencia de días]], "0")</f>
        <v>42014.61</v>
      </c>
      <c r="L36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36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66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366">
        <f t="shared" ca="1" si="63"/>
        <v>1676.76</v>
      </c>
      <c r="P366">
        <f t="shared" ca="1" si="64"/>
        <v>92625.78</v>
      </c>
      <c r="Q366">
        <f t="shared" ca="1" si="65"/>
        <v>3</v>
      </c>
      <c r="R366">
        <f ca="1">((Tabla2[[#This Row],[Fantasma Comunicación]]+1)/(Tabla2[[#This Row],[Fantasma Comunicación]]+RANDBETWEEN(0,5)+2))-0.5</f>
        <v>0</v>
      </c>
      <c r="S366" s="51">
        <f ca="1">1+MAX(0,Tabla2[[#This Row],[Deuda actual]]/Tabla2[[#This Row],[Liquidez]]+Tabla2[[#This Row],[Liquidez]]/(Tabla2[[#This Row],[Activos]]+Tabla2[[#This Row],[Liquidez]])+Tabla2[[#This Row],[Comunicación]])</f>
        <v>3.8018940543387925</v>
      </c>
      <c r="T366">
        <f ca="1">Tabla2[[#This Row],[Deuda actual]]*EXP(Tabla2[[#This Row],[Ki]]*Tabla2[[#This Row],[diferencia de días]])*(1+Tabla2[[#This Row],[Hg]])</f>
        <v>5144.370538086363</v>
      </c>
    </row>
    <row r="367" spans="1:20" ht="14.5" x14ac:dyDescent="0.35">
      <c r="A367" t="e">
        <f t="shared" si="55"/>
        <v>#VALUE!</v>
      </c>
      <c r="B367" s="21">
        <f t="shared" ca="1" si="56"/>
        <v>46082</v>
      </c>
      <c r="C367" s="21">
        <f t="shared" ca="1" si="57"/>
        <v>46157</v>
      </c>
      <c r="D367">
        <f t="shared" ca="1" si="58"/>
        <v>32</v>
      </c>
      <c r="E367">
        <f t="shared" ca="1" si="59"/>
        <v>0.26005098224633905</v>
      </c>
      <c r="F367" s="47">
        <f t="shared" ca="1" si="60"/>
        <v>3781.49</v>
      </c>
      <c r="G367" s="32" t="str">
        <f t="shared" ca="1" si="61"/>
        <v>hipotecario</v>
      </c>
      <c r="H36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367" t="str">
        <f t="shared" ca="1" si="62"/>
        <v>Sí</v>
      </c>
      <c r="J36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67" s="32">
        <f ca="1">IF(Tabla2[[#This Row],[¿cliente deuda abierta?]]="Sí", Tabla2[[#This Row],[Deuda actual]]*Tabla2[[#This Row],[diferencia de días]], "0")</f>
        <v>121007.67999999999</v>
      </c>
      <c r="L36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36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67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367">
        <f t="shared" ca="1" si="63"/>
        <v>1832.98</v>
      </c>
      <c r="P367">
        <f t="shared" ca="1" si="64"/>
        <v>80046.86</v>
      </c>
      <c r="Q367">
        <f t="shared" ca="1" si="65"/>
        <v>2</v>
      </c>
      <c r="R367">
        <f ca="1">((Tabla2[[#This Row],[Fantasma Comunicación]]+1)/(Tabla2[[#This Row],[Fantasma Comunicación]]+RANDBETWEEN(0,5)+2))-0.5</f>
        <v>-0.125</v>
      </c>
      <c r="S367" s="51">
        <f ca="1">1+MAX(0,Tabla2[[#This Row],[Deuda actual]]/Tabla2[[#This Row],[Liquidez]]+Tabla2[[#This Row],[Liquidez]]/(Tabla2[[#This Row],[Activos]]+Tabla2[[#This Row],[Liquidez]])+Tabla2[[#This Row],[Comunicación]])</f>
        <v>2.9604147295839089</v>
      </c>
      <c r="T367">
        <f ca="1">Tabla2[[#This Row],[Deuda actual]]*EXP(Tabla2[[#This Row],[Ki]]*Tabla2[[#This Row],[diferencia de días]])*(1+Tabla2[[#This Row],[Hg]])</f>
        <v>4490.1228143066892</v>
      </c>
    </row>
    <row r="368" spans="1:20" ht="14.5" x14ac:dyDescent="0.35">
      <c r="A368" t="e">
        <f t="shared" si="55"/>
        <v>#VALUE!</v>
      </c>
      <c r="B368" s="21">
        <f t="shared" ca="1" si="56"/>
        <v>46143</v>
      </c>
      <c r="C368" s="21">
        <f t="shared" ca="1" si="57"/>
        <v>46157</v>
      </c>
      <c r="D368">
        <f t="shared" ca="1" si="58"/>
        <v>54</v>
      </c>
      <c r="E368">
        <f t="shared" ca="1" si="59"/>
        <v>0.66929058361893179</v>
      </c>
      <c r="F368" s="47">
        <f t="shared" ca="1" si="60"/>
        <v>866.1</v>
      </c>
      <c r="G368" s="32" t="str">
        <f t="shared" ca="1" si="61"/>
        <v>personal</v>
      </c>
      <c r="H36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1.5E-3</v>
      </c>
      <c r="I368" t="str">
        <f t="shared" ca="1" si="62"/>
        <v>Sí</v>
      </c>
      <c r="J36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68" s="32">
        <f ca="1">IF(Tabla2[[#This Row],[¿cliente deuda abierta?]]="Sí", Tabla2[[#This Row],[Deuda actual]]*Tabla2[[#This Row],[diferencia de días]], "0")</f>
        <v>46769.4</v>
      </c>
      <c r="L36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36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68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368">
        <f t="shared" ca="1" si="63"/>
        <v>1549.53</v>
      </c>
      <c r="P368">
        <f t="shared" ca="1" si="64"/>
        <v>181782.29</v>
      </c>
      <c r="Q368">
        <f t="shared" ca="1" si="65"/>
        <v>4</v>
      </c>
      <c r="R368">
        <f ca="1">((Tabla2[[#This Row],[Fantasma Comunicación]]+1)/(Tabla2[[#This Row],[Fantasma Comunicación]]+RANDBETWEEN(0,5)+2))-0.5</f>
        <v>5.555555555555558E-2</v>
      </c>
      <c r="S368" s="51">
        <f ca="1">1+MAX(0,Tabla2[[#This Row],[Deuda actual]]/Tabla2[[#This Row],[Liquidez]]+Tabla2[[#This Row],[Liquidez]]/(Tabla2[[#This Row],[Activos]]+Tabla2[[#This Row],[Liquidez]])+Tabla2[[#This Row],[Comunicación]])</f>
        <v>1.6229512868380054</v>
      </c>
      <c r="T368">
        <f ca="1">Tabla2[[#This Row],[Deuda actual]]*EXP(Tabla2[[#This Row],[Ki]]*Tabla2[[#This Row],[diferencia de días]])*(1+Tabla2[[#This Row],[Hg]])</f>
        <v>1033.0909968681185</v>
      </c>
    </row>
    <row r="369" spans="1:20" ht="14.5" x14ac:dyDescent="0.35">
      <c r="A369" t="e">
        <f t="shared" si="55"/>
        <v>#VALUE!</v>
      </c>
      <c r="B369" s="21">
        <f t="shared" ca="1" si="56"/>
        <v>46123</v>
      </c>
      <c r="C369" s="21">
        <f t="shared" ca="1" si="57"/>
        <v>46157</v>
      </c>
      <c r="D369">
        <f t="shared" ca="1" si="58"/>
        <v>1</v>
      </c>
      <c r="E369">
        <f t="shared" ca="1" si="59"/>
        <v>0.84554457902657498</v>
      </c>
      <c r="F369" s="47">
        <f t="shared" ca="1" si="60"/>
        <v>10000</v>
      </c>
      <c r="G369" s="32" t="str">
        <f t="shared" ca="1" si="61"/>
        <v>personal</v>
      </c>
      <c r="H36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69" t="str">
        <f t="shared" ca="1" si="62"/>
        <v>Sí</v>
      </c>
      <c r="J36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69" s="32">
        <f ca="1">IF(Tabla2[[#This Row],[¿cliente deuda abierta?]]="Sí", Tabla2[[#This Row],[Deuda actual]]*Tabla2[[#This Row],[diferencia de días]], "0")</f>
        <v>10000</v>
      </c>
      <c r="L36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6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6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69">
        <f t="shared" ca="1" si="63"/>
        <v>1987.52</v>
      </c>
      <c r="P369">
        <f t="shared" ca="1" si="64"/>
        <v>134174.70000000001</v>
      </c>
      <c r="Q369">
        <f t="shared" ca="1" si="65"/>
        <v>0</v>
      </c>
      <c r="R369">
        <f ca="1">((Tabla2[[#This Row],[Fantasma Comunicación]]+1)/(Tabla2[[#This Row],[Fantasma Comunicación]]+RANDBETWEEN(0,5)+2))-0.5</f>
        <v>-0.16666666666666669</v>
      </c>
      <c r="S369" s="51">
        <f ca="1">1+MAX(0,Tabla2[[#This Row],[Deuda actual]]/Tabla2[[#This Row],[Liquidez]]+Tabla2[[#This Row],[Liquidez]]/(Tabla2[[#This Row],[Activos]]+Tabla2[[#This Row],[Liquidez]])+Tabla2[[#This Row],[Comunicación]])</f>
        <v>5.8793259505958106</v>
      </c>
      <c r="T369">
        <f ca="1">Tabla2[[#This Row],[Deuda actual]]*EXP(Tabla2[[#This Row],[Ki]]*Tabla2[[#This Row],[diferencia de días]])*(1+Tabla2[[#This Row],[Hg]])</f>
        <v>10502.100210014003</v>
      </c>
    </row>
    <row r="370" spans="1:20" ht="14.5" x14ac:dyDescent="0.35">
      <c r="A370" t="e">
        <f t="shared" si="55"/>
        <v>#VALUE!</v>
      </c>
      <c r="B370" s="21">
        <f t="shared" ca="1" si="56"/>
        <v>46125</v>
      </c>
      <c r="C370" s="21">
        <f t="shared" ca="1" si="57"/>
        <v>46157</v>
      </c>
      <c r="D370">
        <f t="shared" ca="1" si="58"/>
        <v>30</v>
      </c>
      <c r="E370">
        <f t="shared" ca="1" si="59"/>
        <v>0.11999965423902381</v>
      </c>
      <c r="F370" s="47">
        <f t="shared" ca="1" si="60"/>
        <v>1213.1099999999999</v>
      </c>
      <c r="G370" s="32" t="str">
        <f t="shared" ca="1" si="61"/>
        <v>hipotecario</v>
      </c>
      <c r="H37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370" t="str">
        <f t="shared" ca="1" si="62"/>
        <v>No</v>
      </c>
      <c r="J37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165000.66012441411</v>
      </c>
      <c r="K370" s="32" t="str">
        <f ca="1">IF(Tabla2[[#This Row],[¿cliente deuda abierta?]]="Sí", Tabla2[[#This Row],[Deuda actual]]*Tabla2[[#This Row],[diferencia de días]], "0")</f>
        <v>0</v>
      </c>
      <c r="L37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7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7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70">
        <f t="shared" ca="1" si="63"/>
        <v>2083.14</v>
      </c>
      <c r="P370">
        <f t="shared" ca="1" si="64"/>
        <v>53427.66</v>
      </c>
      <c r="Q370">
        <f t="shared" ca="1" si="65"/>
        <v>3</v>
      </c>
      <c r="R370">
        <f ca="1">((Tabla2[[#This Row],[Fantasma Comunicación]]+1)/(Tabla2[[#This Row],[Fantasma Comunicación]]+RANDBETWEEN(0,5)+2))-0.5</f>
        <v>0.16666666666666663</v>
      </c>
      <c r="S370" s="51">
        <f ca="1">1+MAX(0,Tabla2[[#This Row],[Deuda actual]]/Tabla2[[#This Row],[Liquidez]]+Tabla2[[#This Row],[Liquidez]]/(Tabla2[[#This Row],[Activos]]+Tabla2[[#This Row],[Liquidez]])+Tabla2[[#This Row],[Comunicación]])</f>
        <v>1.7865402600046341</v>
      </c>
      <c r="T370">
        <f ca="1">Tabla2[[#This Row],[Deuda actual]]*EXP(Tabla2[[#This Row],[Ki]]*Tabla2[[#This Row],[diferencia de días]])*(1+Tabla2[[#This Row],[Hg]])</f>
        <v>1000.0437597474807</v>
      </c>
    </row>
    <row r="371" spans="1:20" ht="14.5" x14ac:dyDescent="0.35">
      <c r="A371" t="e">
        <f t="shared" si="55"/>
        <v>#VALUE!</v>
      </c>
      <c r="B371" s="21">
        <f t="shared" ca="1" si="56"/>
        <v>46085</v>
      </c>
      <c r="C371" s="21">
        <f t="shared" ca="1" si="57"/>
        <v>46157</v>
      </c>
      <c r="D371">
        <f t="shared" ca="1" si="58"/>
        <v>11</v>
      </c>
      <c r="E371">
        <f t="shared" ca="1" si="59"/>
        <v>0.94493761985606928</v>
      </c>
      <c r="F371" s="47">
        <f t="shared" ca="1" si="60"/>
        <v>295.66000000000003</v>
      </c>
      <c r="G371" s="32" t="str">
        <f t="shared" ca="1" si="61"/>
        <v>personal</v>
      </c>
      <c r="H37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71" t="str">
        <f t="shared" ca="1" si="62"/>
        <v>No</v>
      </c>
      <c r="J37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12001.74123939852</v>
      </c>
      <c r="K371" s="32" t="str">
        <f ca="1">IF(Tabla2[[#This Row],[¿cliente deuda abierta?]]="Sí", Tabla2[[#This Row],[Deuda actual]]*Tabla2[[#This Row],[diferencia de días]], "0")</f>
        <v>0</v>
      </c>
      <c r="L37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7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37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371">
        <f t="shared" ca="1" si="63"/>
        <v>1642.91</v>
      </c>
      <c r="P371">
        <f t="shared" ca="1" si="64"/>
        <v>183560.6</v>
      </c>
      <c r="Q371">
        <f t="shared" ca="1" si="65"/>
        <v>5</v>
      </c>
      <c r="R371">
        <f ca="1">((Tabla2[[#This Row],[Fantasma Comunicación]]+1)/(Tabla2[[#This Row],[Fantasma Comunicación]]+RANDBETWEEN(0,5)+2))-0.5</f>
        <v>0.3571428571428571</v>
      </c>
      <c r="S371" s="51">
        <f ca="1">1+MAX(0,Tabla2[[#This Row],[Deuda actual]]/Tabla2[[#This Row],[Liquidez]]+Tabla2[[#This Row],[Liquidez]]/(Tabla2[[#This Row],[Activos]]+Tabla2[[#This Row],[Liquidez]])+Tabla2[[#This Row],[Comunicación]])</f>
        <v>1.5459748598049503</v>
      </c>
      <c r="T371">
        <f ca="1">Tabla2[[#This Row],[Deuda actual]]*EXP(Tabla2[[#This Row],[Ki]]*Tabla2[[#This Row],[diferencia de días]])*(1+Tabla2[[#This Row],[Hg]])</f>
        <v>266.68005121996799</v>
      </c>
    </row>
    <row r="372" spans="1:20" ht="14.5" x14ac:dyDescent="0.35">
      <c r="A372" t="e">
        <f t="shared" si="55"/>
        <v>#VALUE!</v>
      </c>
      <c r="B372" s="21">
        <f t="shared" ca="1" si="56"/>
        <v>46140</v>
      </c>
      <c r="C372" s="21">
        <f t="shared" ca="1" si="57"/>
        <v>46157</v>
      </c>
      <c r="D372">
        <f t="shared" ca="1" si="58"/>
        <v>1</v>
      </c>
      <c r="E372">
        <f t="shared" ca="1" si="59"/>
        <v>0.1177847583608419</v>
      </c>
      <c r="F372" s="47">
        <f t="shared" ca="1" si="60"/>
        <v>437.2</v>
      </c>
      <c r="G372" s="32" t="str">
        <f t="shared" ca="1" si="61"/>
        <v>hipotecario</v>
      </c>
      <c r="H37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72" t="str">
        <f t="shared" ca="1" si="62"/>
        <v>No</v>
      </c>
      <c r="J37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164999.96813847395</v>
      </c>
      <c r="K372" s="32" t="str">
        <f ca="1">IF(Tabla2[[#This Row],[¿cliente deuda abierta?]]="Sí", Tabla2[[#This Row],[Deuda actual]]*Tabla2[[#This Row],[diferencia de días]], "0")</f>
        <v>0</v>
      </c>
      <c r="L37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7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7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72">
        <f t="shared" ca="1" si="63"/>
        <v>1119.8900000000001</v>
      </c>
      <c r="P372">
        <f t="shared" ca="1" si="64"/>
        <v>211726.92</v>
      </c>
      <c r="Q372">
        <f t="shared" ca="1" si="65"/>
        <v>3</v>
      </c>
      <c r="R372">
        <f ca="1">((Tabla2[[#This Row],[Fantasma Comunicación]]+1)/(Tabla2[[#This Row],[Fantasma Comunicación]]+RANDBETWEEN(0,5)+2))-0.5</f>
        <v>0</v>
      </c>
      <c r="S372" s="51">
        <f ca="1">1+MAX(0,Tabla2[[#This Row],[Deuda actual]]/Tabla2[[#This Row],[Liquidez]]+Tabla2[[#This Row],[Liquidez]]/(Tabla2[[#This Row],[Activos]]+Tabla2[[#This Row],[Liquidez]])+Tabla2[[#This Row],[Comunicación]])</f>
        <v>1.3956569688702767</v>
      </c>
      <c r="T372">
        <f ca="1">Tabla2[[#This Row],[Deuda actual]]*EXP(Tabla2[[#This Row],[Ki]]*Tabla2[[#This Row],[diferencia de días]])*(1+Tabla2[[#This Row],[Hg]])</f>
        <v>349.8299589956664</v>
      </c>
    </row>
    <row r="373" spans="1:20" ht="14.5" x14ac:dyDescent="0.35">
      <c r="A373" t="e">
        <f t="shared" si="55"/>
        <v>#VALUE!</v>
      </c>
      <c r="B373" s="21">
        <f t="shared" ca="1" si="56"/>
        <v>46107</v>
      </c>
      <c r="C373" s="21">
        <f t="shared" ca="1" si="57"/>
        <v>46157</v>
      </c>
      <c r="D373">
        <f t="shared" ca="1" si="58"/>
        <v>3</v>
      </c>
      <c r="E373">
        <f t="shared" ca="1" si="59"/>
        <v>0.3165837615432544</v>
      </c>
      <c r="F373" s="47">
        <f t="shared" ca="1" si="60"/>
        <v>3380.51</v>
      </c>
      <c r="G373" s="32" t="str">
        <f t="shared" ca="1" si="61"/>
        <v>personal</v>
      </c>
      <c r="H37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73" t="str">
        <f t="shared" ca="1" si="62"/>
        <v>Sí</v>
      </c>
      <c r="J37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73" s="32">
        <f ca="1">IF(Tabla2[[#This Row],[¿cliente deuda abierta?]]="Sí", Tabla2[[#This Row],[Deuda actual]]*Tabla2[[#This Row],[diferencia de días]], "0")</f>
        <v>10141.530000000001</v>
      </c>
      <c r="L37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7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7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73">
        <f t="shared" ca="1" si="63"/>
        <v>1374.58</v>
      </c>
      <c r="P373">
        <f t="shared" ca="1" si="64"/>
        <v>144829.1</v>
      </c>
      <c r="Q373">
        <f t="shared" ca="1" si="65"/>
        <v>4</v>
      </c>
      <c r="R373">
        <f ca="1">((Tabla2[[#This Row],[Fantasma Comunicación]]+1)/(Tabla2[[#This Row],[Fantasma Comunicación]]+RANDBETWEEN(0,5)+2))-0.5</f>
        <v>0</v>
      </c>
      <c r="S373" s="51">
        <f ca="1">1+MAX(0,Tabla2[[#This Row],[Deuda actual]]/Tabla2[[#This Row],[Liquidez]]+Tabla2[[#This Row],[Liquidez]]/(Tabla2[[#This Row],[Activos]]+Tabla2[[#This Row],[Liquidez]])+Tabla2[[#This Row],[Comunicación]])</f>
        <v>3.46870574816817</v>
      </c>
      <c r="T373">
        <f ca="1">Tabla2[[#This Row],[Deuda actual]]*EXP(Tabla2[[#This Row],[Ki]]*Tabla2[[#This Row],[diferencia de días]])*(1+Tabla2[[#This Row],[Hg]])</f>
        <v>3551.6658603441929</v>
      </c>
    </row>
    <row r="374" spans="1:20" ht="14.5" x14ac:dyDescent="0.35">
      <c r="A374" t="e">
        <f t="shared" si="55"/>
        <v>#VALUE!</v>
      </c>
      <c r="B374" s="21">
        <f t="shared" ca="1" si="56"/>
        <v>46139</v>
      </c>
      <c r="C374" s="21">
        <f t="shared" ca="1" si="57"/>
        <v>46157</v>
      </c>
      <c r="D374">
        <f t="shared" ca="1" si="58"/>
        <v>5</v>
      </c>
      <c r="E374">
        <f t="shared" ca="1" si="59"/>
        <v>4.5222848824827633E-2</v>
      </c>
      <c r="F374" s="47">
        <f t="shared" ca="1" si="60"/>
        <v>1082.8900000000001</v>
      </c>
      <c r="G374" s="32" t="str">
        <f t="shared" ca="1" si="61"/>
        <v>hipotecario</v>
      </c>
      <c r="H37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74" t="str">
        <f t="shared" ca="1" si="62"/>
        <v>Sí</v>
      </c>
      <c r="J37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74" s="32">
        <f ca="1">IF(Tabla2[[#This Row],[¿cliente deuda abierta?]]="Sí", Tabla2[[#This Row],[Deuda actual]]*Tabla2[[#This Row],[diferencia de días]], "0")</f>
        <v>5414.4500000000007</v>
      </c>
      <c r="L37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7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7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74">
        <f t="shared" ca="1" si="63"/>
        <v>1256.3900000000001</v>
      </c>
      <c r="P374">
        <f t="shared" ca="1" si="64"/>
        <v>74035.7</v>
      </c>
      <c r="Q374">
        <f t="shared" ca="1" si="65"/>
        <v>5</v>
      </c>
      <c r="R374">
        <f ca="1">((Tabla2[[#This Row],[Fantasma Comunicación]]+1)/(Tabla2[[#This Row],[Fantasma Comunicación]]+RANDBETWEEN(0,5)+2))-0.5</f>
        <v>4.5454545454545414E-2</v>
      </c>
      <c r="S374" s="51">
        <f ca="1">1+MAX(0,Tabla2[[#This Row],[Deuda actual]]/Tabla2[[#This Row],[Liquidez]]+Tabla2[[#This Row],[Liquidez]]/(Tabla2[[#This Row],[Activos]]+Tabla2[[#This Row],[Liquidez]])+Tabla2[[#This Row],[Comunicación]])</f>
        <v>1.9240473613653024</v>
      </c>
      <c r="T374">
        <f ca="1">Tabla2[[#This Row],[Deuda actual]]*EXP(Tabla2[[#This Row],[Ki]]*Tabla2[[#This Row],[diferencia de días]])*(1+Tabla2[[#This Row],[Hg]])</f>
        <v>1138.1721032068033</v>
      </c>
    </row>
    <row r="375" spans="1:20" ht="14.5" x14ac:dyDescent="0.35">
      <c r="A375" t="e">
        <f t="shared" si="55"/>
        <v>#VALUE!</v>
      </c>
      <c r="B375" s="21">
        <f t="shared" ca="1" si="56"/>
        <v>46085</v>
      </c>
      <c r="C375" s="21">
        <f t="shared" ca="1" si="57"/>
        <v>46157</v>
      </c>
      <c r="D375">
        <f t="shared" ca="1" si="58"/>
        <v>10</v>
      </c>
      <c r="E375">
        <f t="shared" ca="1" si="59"/>
        <v>0.88020418207127893</v>
      </c>
      <c r="F375" s="47">
        <f t="shared" ca="1" si="60"/>
        <v>1304.71</v>
      </c>
      <c r="G375" s="32" t="str">
        <f t="shared" ca="1" si="61"/>
        <v>hipotecario</v>
      </c>
      <c r="H37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75" t="str">
        <f t="shared" ca="1" si="62"/>
        <v>Sí</v>
      </c>
      <c r="J37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75" s="32">
        <f ca="1">IF(Tabla2[[#This Row],[¿cliente deuda abierta?]]="Sí", Tabla2[[#This Row],[Deuda actual]]*Tabla2[[#This Row],[diferencia de días]], "0")</f>
        <v>13047.1</v>
      </c>
      <c r="L37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7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7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75">
        <f t="shared" ca="1" si="63"/>
        <v>1787.29</v>
      </c>
      <c r="P375">
        <f t="shared" ca="1" si="64"/>
        <v>377131.89</v>
      </c>
      <c r="Q375">
        <f t="shared" ca="1" si="65"/>
        <v>4</v>
      </c>
      <c r="R375">
        <f ca="1">((Tabla2[[#This Row],[Fantasma Comunicación]]+1)/(Tabla2[[#This Row],[Fantasma Comunicación]]+RANDBETWEEN(0,5)+2))-0.5</f>
        <v>5.555555555555558E-2</v>
      </c>
      <c r="S375" s="51">
        <f ca="1">1+MAX(0,Tabla2[[#This Row],[Deuda actual]]/Tabla2[[#This Row],[Liquidez]]+Tabla2[[#This Row],[Liquidez]]/(Tabla2[[#This Row],[Activos]]+Tabla2[[#This Row],[Liquidez]])+Tabla2[[#This Row],[Comunicación]])</f>
        <v>1.790265819919362</v>
      </c>
      <c r="T375">
        <f ca="1">Tabla2[[#This Row],[Deuda actual]]*EXP(Tabla2[[#This Row],[Ki]]*Tabla2[[#This Row],[diferencia de días]])*(1+Tabla2[[#This Row],[Hg]])</f>
        <v>1372.6881327185079</v>
      </c>
    </row>
    <row r="376" spans="1:20" ht="14.5" x14ac:dyDescent="0.35">
      <c r="A376" t="e">
        <f t="shared" si="55"/>
        <v>#VALUE!</v>
      </c>
      <c r="B376" s="21">
        <f t="shared" ca="1" si="56"/>
        <v>46138</v>
      </c>
      <c r="C376" s="21">
        <f t="shared" ca="1" si="57"/>
        <v>46157</v>
      </c>
      <c r="D376">
        <f t="shared" ca="1" si="58"/>
        <v>9</v>
      </c>
      <c r="E376">
        <f t="shared" ca="1" si="59"/>
        <v>1.4406661062097093E-2</v>
      </c>
      <c r="F376" s="47">
        <f t="shared" ca="1" si="60"/>
        <v>948.56</v>
      </c>
      <c r="G376" s="32" t="str">
        <f t="shared" ca="1" si="61"/>
        <v>hipotecario</v>
      </c>
      <c r="H37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76" t="str">
        <f t="shared" ca="1" si="62"/>
        <v>No</v>
      </c>
      <c r="J37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164999.54144593308</v>
      </c>
      <c r="K376" s="32" t="str">
        <f ca="1">IF(Tabla2[[#This Row],[¿cliente deuda abierta?]]="Sí", Tabla2[[#This Row],[Deuda actual]]*Tabla2[[#This Row],[diferencia de días]], "0")</f>
        <v>0</v>
      </c>
      <c r="L37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7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7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76">
        <f t="shared" ca="1" si="63"/>
        <v>1321.38</v>
      </c>
      <c r="P376">
        <f t="shared" ca="1" si="64"/>
        <v>115641.84</v>
      </c>
      <c r="Q376">
        <f t="shared" ca="1" si="65"/>
        <v>1</v>
      </c>
      <c r="R376">
        <f ca="1">((Tabla2[[#This Row],[Fantasma Comunicación]]+1)/(Tabla2[[#This Row],[Fantasma Comunicación]]+RANDBETWEEN(0,5)+2))-0.5</f>
        <v>0.16666666666666663</v>
      </c>
      <c r="S376" s="51">
        <f ca="1">1+MAX(0,Tabla2[[#This Row],[Deuda actual]]/Tabla2[[#This Row],[Liquidez]]+Tabla2[[#This Row],[Liquidez]]/(Tabla2[[#This Row],[Activos]]+Tabla2[[#This Row],[Liquidez]])+Tabla2[[#This Row],[Comunicación]])</f>
        <v>1.8958196394907874</v>
      </c>
      <c r="T376">
        <f ca="1">Tabla2[[#This Row],[Deuda actual]]*EXP(Tabla2[[#This Row],[Ki]]*Tabla2[[#This Row],[diferencia de días]])*(1+Tabla2[[#This Row],[Hg]])</f>
        <v>760.21515647169235</v>
      </c>
    </row>
    <row r="377" spans="1:20" ht="14.5" x14ac:dyDescent="0.35">
      <c r="A377" t="e">
        <f t="shared" si="55"/>
        <v>#VALUE!</v>
      </c>
      <c r="B377" s="21">
        <f t="shared" ca="1" si="56"/>
        <v>46143</v>
      </c>
      <c r="C377" s="21">
        <f t="shared" ca="1" si="57"/>
        <v>46157</v>
      </c>
      <c r="D377">
        <f t="shared" ca="1" si="58"/>
        <v>21</v>
      </c>
      <c r="E377">
        <f t="shared" ca="1" si="59"/>
        <v>0.55196244665876515</v>
      </c>
      <c r="F377" s="47">
        <f t="shared" ca="1" si="60"/>
        <v>86.59</v>
      </c>
      <c r="G377" s="32" t="str">
        <f t="shared" ca="1" si="61"/>
        <v>hipotecario</v>
      </c>
      <c r="H37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377" t="str">
        <f t="shared" ca="1" si="62"/>
        <v>Sí</v>
      </c>
      <c r="J37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77" s="32">
        <f ca="1">IF(Tabla2[[#This Row],[¿cliente deuda abierta?]]="Sí", Tabla2[[#This Row],[Deuda actual]]*Tabla2[[#This Row],[diferencia de días]], "0")</f>
        <v>1818.39</v>
      </c>
      <c r="L37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7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7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77">
        <f t="shared" ca="1" si="63"/>
        <v>1472.56</v>
      </c>
      <c r="P377">
        <f t="shared" ca="1" si="64"/>
        <v>55171.68</v>
      </c>
      <c r="Q377">
        <f t="shared" ca="1" si="65"/>
        <v>1</v>
      </c>
      <c r="R377">
        <f ca="1">((Tabla2[[#This Row],[Fantasma Comunicación]]+1)/(Tabla2[[#This Row],[Fantasma Comunicación]]+RANDBETWEEN(0,5)+2))-0.5</f>
        <v>-0.2142857142857143</v>
      </c>
      <c r="S377" s="51">
        <f ca="1">1+MAX(0,Tabla2[[#This Row],[Deuda actual]]/Tabla2[[#This Row],[Liquidez]]+Tabla2[[#This Row],[Liquidez]]/(Tabla2[[#This Row],[Activos]]+Tabla2[[#This Row],[Liquidez]])+Tabla2[[#This Row],[Comunicación]])</f>
        <v>1</v>
      </c>
      <c r="T377">
        <f ca="1">Tabla2[[#This Row],[Deuda actual]]*EXP(Tabla2[[#This Row],[Ki]]*Tabla2[[#This Row],[diferencia de días]])*(1+Tabla2[[#This Row],[Hg]])</f>
        <v>91.686440440244567</v>
      </c>
    </row>
    <row r="378" spans="1:20" ht="14.5" x14ac:dyDescent="0.35">
      <c r="A378" t="e">
        <f t="shared" si="55"/>
        <v>#VALUE!</v>
      </c>
      <c r="B378" s="21">
        <f t="shared" ca="1" si="56"/>
        <v>46109</v>
      </c>
      <c r="C378" s="21">
        <f t="shared" ca="1" si="57"/>
        <v>46157</v>
      </c>
      <c r="D378">
        <f t="shared" ca="1" si="58"/>
        <v>27</v>
      </c>
      <c r="E378">
        <f t="shared" ca="1" si="59"/>
        <v>0.35210665916492134</v>
      </c>
      <c r="F378" s="47">
        <f t="shared" ca="1" si="60"/>
        <v>2532.48</v>
      </c>
      <c r="G378" s="32" t="str">
        <f t="shared" ca="1" si="61"/>
        <v>hipotecario</v>
      </c>
      <c r="H37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378" t="str">
        <f t="shared" ca="1" si="62"/>
        <v>No</v>
      </c>
      <c r="J37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165000.09366231761</v>
      </c>
      <c r="K378" s="32" t="str">
        <f ca="1">IF(Tabla2[[#This Row],[¿cliente deuda abierta?]]="Sí", Tabla2[[#This Row],[Deuda actual]]*Tabla2[[#This Row],[diferencia de días]], "0")</f>
        <v>0</v>
      </c>
      <c r="L37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7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7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78">
        <f t="shared" ca="1" si="63"/>
        <v>1769.33</v>
      </c>
      <c r="P378">
        <f t="shared" ca="1" si="64"/>
        <v>104077.78</v>
      </c>
      <c r="Q378">
        <f t="shared" ca="1" si="65"/>
        <v>2</v>
      </c>
      <c r="R378">
        <f ca="1">((Tabla2[[#This Row],[Fantasma Comunicación]]+1)/(Tabla2[[#This Row],[Fantasma Comunicación]]+RANDBETWEEN(0,5)+2))-0.5</f>
        <v>0</v>
      </c>
      <c r="S378" s="51">
        <f ca="1">1+MAX(0,Tabla2[[#This Row],[Deuda actual]]/Tabla2[[#This Row],[Liquidez]]+Tabla2[[#This Row],[Liquidez]]/(Tabla2[[#This Row],[Activos]]+Tabla2[[#This Row],[Liquidez]])+Tabla2[[#This Row],[Comunicación]])</f>
        <v>2.4480373634430301</v>
      </c>
      <c r="T378">
        <f ca="1">Tabla2[[#This Row],[Deuda actual]]*EXP(Tabla2[[#This Row],[Ki]]*Tabla2[[#This Row],[diferencia de días]])*(1+Tabla2[[#This Row],[Hg]])</f>
        <v>2047.9832090972284</v>
      </c>
    </row>
    <row r="379" spans="1:20" ht="14.5" x14ac:dyDescent="0.35">
      <c r="A379" t="e">
        <f t="shared" si="55"/>
        <v>#VALUE!</v>
      </c>
      <c r="B379" s="21">
        <f t="shared" ca="1" si="56"/>
        <v>46131</v>
      </c>
      <c r="C379" s="21">
        <f t="shared" ca="1" si="57"/>
        <v>46157</v>
      </c>
      <c r="D379">
        <f t="shared" ca="1" si="58"/>
        <v>8</v>
      </c>
      <c r="E379">
        <f t="shared" ca="1" si="59"/>
        <v>0.36548230911741553</v>
      </c>
      <c r="F379" s="47">
        <f t="shared" ca="1" si="60"/>
        <v>284.58</v>
      </c>
      <c r="G379" s="32" t="str">
        <f t="shared" ca="1" si="61"/>
        <v>personal</v>
      </c>
      <c r="H37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79" t="str">
        <f t="shared" ca="1" si="62"/>
        <v>Sí</v>
      </c>
      <c r="J37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79" s="32">
        <f ca="1">IF(Tabla2[[#This Row],[¿cliente deuda abierta?]]="Sí", Tabla2[[#This Row],[Deuda actual]]*Tabla2[[#This Row],[diferencia de días]], "0")</f>
        <v>2276.64</v>
      </c>
      <c r="L37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7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7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79">
        <f t="shared" ca="1" si="63"/>
        <v>1397.53</v>
      </c>
      <c r="P379">
        <f t="shared" ca="1" si="64"/>
        <v>177363.35</v>
      </c>
      <c r="Q379">
        <f t="shared" ca="1" si="65"/>
        <v>3</v>
      </c>
      <c r="R379">
        <f ca="1">((Tabla2[[#This Row],[Fantasma Comunicación]]+1)/(Tabla2[[#This Row],[Fantasma Comunicación]]+RANDBETWEEN(0,5)+2))-0.5</f>
        <v>-5.555555555555558E-2</v>
      </c>
      <c r="S379" s="51">
        <f ca="1">1+MAX(0,Tabla2[[#This Row],[Deuda actual]]/Tabla2[[#This Row],[Liquidez]]+Tabla2[[#This Row],[Liquidez]]/(Tabla2[[#This Row],[Activos]]+Tabla2[[#This Row],[Liquidez]])+Tabla2[[#This Row],[Comunicación]])</f>
        <v>1.1558930095342943</v>
      </c>
      <c r="T379">
        <f ca="1">Tabla2[[#This Row],[Deuda actual]]*EXP(Tabla2[[#This Row],[Ki]]*Tabla2[[#This Row],[diferencia de días]])*(1+Tabla2[[#This Row],[Hg]])</f>
        <v>299.28747707958848</v>
      </c>
    </row>
    <row r="380" spans="1:20" ht="14.5" x14ac:dyDescent="0.35">
      <c r="A380" t="e">
        <f t="shared" si="55"/>
        <v>#VALUE!</v>
      </c>
      <c r="B380" s="21">
        <f t="shared" ca="1" si="56"/>
        <v>46140</v>
      </c>
      <c r="C380" s="21">
        <f t="shared" ca="1" si="57"/>
        <v>46157</v>
      </c>
      <c r="D380">
        <f t="shared" ca="1" si="58"/>
        <v>40</v>
      </c>
      <c r="E380">
        <f t="shared" ca="1" si="59"/>
        <v>0.53689210697015488</v>
      </c>
      <c r="F380" s="47">
        <f t="shared" ca="1" si="60"/>
        <v>10000</v>
      </c>
      <c r="G380" s="32" t="str">
        <f t="shared" ca="1" si="61"/>
        <v>hipotecario</v>
      </c>
      <c r="H38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380" t="str">
        <f t="shared" ca="1" si="62"/>
        <v>No</v>
      </c>
      <c r="J38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164999.98600046255</v>
      </c>
      <c r="K380" s="32" t="str">
        <f ca="1">IF(Tabla2[[#This Row],[¿cliente deuda abierta?]]="Sí", Tabla2[[#This Row],[Deuda actual]]*Tabla2[[#This Row],[diferencia de días]], "0")</f>
        <v>0</v>
      </c>
      <c r="L38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8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8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80">
        <f t="shared" ca="1" si="63"/>
        <v>2368.96</v>
      </c>
      <c r="P380">
        <f t="shared" ca="1" si="64"/>
        <v>175170.67</v>
      </c>
      <c r="Q380">
        <f t="shared" ca="1" si="65"/>
        <v>4</v>
      </c>
      <c r="R380">
        <f ca="1">((Tabla2[[#This Row],[Fantasma Comunicación]]+1)/(Tabla2[[#This Row],[Fantasma Comunicación]]+RANDBETWEEN(0,5)+2))-0.5</f>
        <v>0.33333333333333337</v>
      </c>
      <c r="S380" s="51">
        <f ca="1">1+MAX(0,Tabla2[[#This Row],[Deuda actual]]/Tabla2[[#This Row],[Liquidez]]+Tabla2[[#This Row],[Liquidez]]/(Tabla2[[#This Row],[Activos]]+Tabla2[[#This Row],[Liquidez]])+Tabla2[[#This Row],[Comunicación]])</f>
        <v>5.5679382584156887</v>
      </c>
      <c r="T380">
        <f ca="1">Tabla2[[#This Row],[Deuda actual]]*EXP(Tabla2[[#This Row],[Ki]]*Tabla2[[#This Row],[diferencia de días]])*(1+Tabla2[[#This Row],[Hg]])</f>
        <v>8326.4861935391073</v>
      </c>
    </row>
    <row r="381" spans="1:20" ht="14.5" x14ac:dyDescent="0.35">
      <c r="A381" t="e">
        <f t="shared" si="55"/>
        <v>#VALUE!</v>
      </c>
      <c r="B381" s="21">
        <f t="shared" ca="1" si="56"/>
        <v>46142</v>
      </c>
      <c r="C381" s="21">
        <f t="shared" ca="1" si="57"/>
        <v>46157</v>
      </c>
      <c r="D381">
        <f t="shared" ca="1" si="58"/>
        <v>22</v>
      </c>
      <c r="E381">
        <f t="shared" ca="1" si="59"/>
        <v>0.6095016695939991</v>
      </c>
      <c r="F381" s="47">
        <f t="shared" ca="1" si="60"/>
        <v>6465.66</v>
      </c>
      <c r="G381" s="32" t="str">
        <f t="shared" ca="1" si="61"/>
        <v>personal</v>
      </c>
      <c r="H38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381" t="str">
        <f t="shared" ca="1" si="62"/>
        <v>Sí</v>
      </c>
      <c r="J38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81" s="32">
        <f ca="1">IF(Tabla2[[#This Row],[¿cliente deuda abierta?]]="Sí", Tabla2[[#This Row],[Deuda actual]]*Tabla2[[#This Row],[diferencia de días]], "0")</f>
        <v>142244.51999999999</v>
      </c>
      <c r="L38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38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81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381">
        <f t="shared" ca="1" si="63"/>
        <v>1204.78</v>
      </c>
      <c r="P381">
        <f t="shared" ca="1" si="64"/>
        <v>218387.04</v>
      </c>
      <c r="Q381">
        <f t="shared" ca="1" si="65"/>
        <v>1</v>
      </c>
      <c r="R381">
        <f ca="1">((Tabla2[[#This Row],[Fantasma Comunicación]]+1)/(Tabla2[[#This Row],[Fantasma Comunicación]]+RANDBETWEEN(0,5)+2))-0.5</f>
        <v>-0.25</v>
      </c>
      <c r="S381" s="51">
        <f ca="1">1+MAX(0,Tabla2[[#This Row],[Deuda actual]]/Tabla2[[#This Row],[Liquidez]]+Tabla2[[#This Row],[Liquidez]]/(Tabla2[[#This Row],[Activos]]+Tabla2[[#This Row],[Liquidez]])+Tabla2[[#This Row],[Comunicación]])</f>
        <v>6.1221592056227401</v>
      </c>
      <c r="T381">
        <f ca="1">Tabla2[[#This Row],[Deuda actual]]*EXP(Tabla2[[#This Row],[Ki]]*Tabla2[[#This Row],[diferencia de días]])*(1+Tabla2[[#This Row],[Hg]])</f>
        <v>7501.2302284848856</v>
      </c>
    </row>
    <row r="382" spans="1:20" ht="14.5" x14ac:dyDescent="0.35">
      <c r="A382" t="e">
        <f t="shared" si="55"/>
        <v>#VALUE!</v>
      </c>
      <c r="B382" s="21">
        <f t="shared" ca="1" si="56"/>
        <v>46092</v>
      </c>
      <c r="C382" s="21">
        <f t="shared" ca="1" si="57"/>
        <v>46157</v>
      </c>
      <c r="D382">
        <f t="shared" ca="1" si="58"/>
        <v>10</v>
      </c>
      <c r="E382">
        <f t="shared" ca="1" si="59"/>
        <v>0.66161010484025462</v>
      </c>
      <c r="F382" s="47">
        <f t="shared" ca="1" si="60"/>
        <v>536.30999999999995</v>
      </c>
      <c r="G382" s="32" t="str">
        <f t="shared" ca="1" si="61"/>
        <v>personal</v>
      </c>
      <c r="H38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82" t="str">
        <f t="shared" ca="1" si="62"/>
        <v>Sí</v>
      </c>
      <c r="J38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82" s="32">
        <f ca="1">IF(Tabla2[[#This Row],[¿cliente deuda abierta?]]="Sí", Tabla2[[#This Row],[Deuda actual]]*Tabla2[[#This Row],[diferencia de días]], "0")</f>
        <v>5363.0999999999995</v>
      </c>
      <c r="L38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8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8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82">
        <f t="shared" ca="1" si="63"/>
        <v>1665.58</v>
      </c>
      <c r="P382">
        <f t="shared" ca="1" si="64"/>
        <v>374871.51</v>
      </c>
      <c r="Q382">
        <f t="shared" ca="1" si="65"/>
        <v>4</v>
      </c>
      <c r="R382">
        <f ca="1">((Tabla2[[#This Row],[Fantasma Comunicación]]+1)/(Tabla2[[#This Row],[Fantasma Comunicación]]+RANDBETWEEN(0,5)+2))-0.5</f>
        <v>0</v>
      </c>
      <c r="S382" s="51">
        <f ca="1">1+MAX(0,Tabla2[[#This Row],[Deuda actual]]/Tabla2[[#This Row],[Liquidez]]+Tabla2[[#This Row],[Liquidez]]/(Tabla2[[#This Row],[Activos]]+Tabla2[[#This Row],[Liquidez]])+Tabla2[[#This Row],[Comunicación]])</f>
        <v>1.3264193568531495</v>
      </c>
      <c r="T382">
        <f ca="1">Tabla2[[#This Row],[Deuda actual]]*EXP(Tabla2[[#This Row],[Ki]]*Tabla2[[#This Row],[diferencia de días]])*(1+Tabla2[[#This Row],[Hg]])</f>
        <v>564.25287800220963</v>
      </c>
    </row>
    <row r="383" spans="1:20" ht="14.5" x14ac:dyDescent="0.35">
      <c r="A383" t="e">
        <f t="shared" si="55"/>
        <v>#VALUE!</v>
      </c>
      <c r="B383" s="21">
        <f t="shared" ca="1" si="56"/>
        <v>46137</v>
      </c>
      <c r="C383" s="21">
        <f t="shared" ca="1" si="57"/>
        <v>46157</v>
      </c>
      <c r="D383">
        <f t="shared" ca="1" si="58"/>
        <v>1</v>
      </c>
      <c r="E383">
        <f t="shared" ca="1" si="59"/>
        <v>0.65898267320150683</v>
      </c>
      <c r="F383" s="47">
        <f t="shared" ca="1" si="60"/>
        <v>191.22</v>
      </c>
      <c r="G383" s="32" t="str">
        <f t="shared" ca="1" si="61"/>
        <v>personal</v>
      </c>
      <c r="H38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83" t="str">
        <f t="shared" ca="1" si="62"/>
        <v>Sí</v>
      </c>
      <c r="J38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83" s="32">
        <f ca="1">IF(Tabla2[[#This Row],[¿cliente deuda abierta?]]="Sí", Tabla2[[#This Row],[Deuda actual]]*Tabla2[[#This Row],[diferencia de días]], "0")</f>
        <v>191.22</v>
      </c>
      <c r="L38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8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8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83">
        <f t="shared" ca="1" si="63"/>
        <v>1432.98</v>
      </c>
      <c r="P383">
        <f t="shared" ca="1" si="64"/>
        <v>77998.720000000001</v>
      </c>
      <c r="Q383">
        <f t="shared" ca="1" si="65"/>
        <v>1</v>
      </c>
      <c r="R383">
        <f ca="1">((Tabla2[[#This Row],[Fantasma Comunicación]]+1)/(Tabla2[[#This Row],[Fantasma Comunicación]]+RANDBETWEEN(0,5)+2))-0.5</f>
        <v>-0.2142857142857143</v>
      </c>
      <c r="S383" s="51">
        <f ca="1">1+MAX(0,Tabla2[[#This Row],[Deuda actual]]/Tabla2[[#This Row],[Liquidez]]+Tabla2[[#This Row],[Liquidez]]/(Tabla2[[#This Row],[Activos]]+Tabla2[[#This Row],[Liquidez]])+Tabla2[[#This Row],[Comunicación]])</f>
        <v>1</v>
      </c>
      <c r="T383">
        <f ca="1">Tabla2[[#This Row],[Deuda actual]]*EXP(Tabla2[[#This Row],[Ki]]*Tabla2[[#This Row],[diferencia de días]])*(1+Tabla2[[#This Row],[Hg]])</f>
        <v>200.82116021588772</v>
      </c>
    </row>
    <row r="384" spans="1:20" ht="14.5" x14ac:dyDescent="0.35">
      <c r="A384" t="e">
        <f t="shared" si="55"/>
        <v>#VALUE!</v>
      </c>
      <c r="B384" s="21">
        <f t="shared" ca="1" si="56"/>
        <v>46115</v>
      </c>
      <c r="C384" s="21">
        <f t="shared" ca="1" si="57"/>
        <v>46157</v>
      </c>
      <c r="D384">
        <f t="shared" ca="1" si="58"/>
        <v>7</v>
      </c>
      <c r="E384">
        <f t="shared" ca="1" si="59"/>
        <v>5.734945263731539E-2</v>
      </c>
      <c r="F384" s="47">
        <f t="shared" ca="1" si="60"/>
        <v>3326.14</v>
      </c>
      <c r="G384" s="32" t="str">
        <f t="shared" ca="1" si="61"/>
        <v>hipotecario</v>
      </c>
      <c r="H38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84" t="str">
        <f t="shared" ca="1" si="62"/>
        <v>Sí</v>
      </c>
      <c r="J38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84" s="32">
        <f ca="1">IF(Tabla2[[#This Row],[¿cliente deuda abierta?]]="Sí", Tabla2[[#This Row],[Deuda actual]]*Tabla2[[#This Row],[diferencia de días]], "0")</f>
        <v>23282.98</v>
      </c>
      <c r="L38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8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8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84">
        <f t="shared" ca="1" si="63"/>
        <v>1190.1300000000001</v>
      </c>
      <c r="P384">
        <f t="shared" ca="1" si="64"/>
        <v>114858.9</v>
      </c>
      <c r="Q384">
        <f t="shared" ca="1" si="65"/>
        <v>4</v>
      </c>
      <c r="R384">
        <f ca="1">((Tabla2[[#This Row],[Fantasma Comunicación]]+1)/(Tabla2[[#This Row],[Fantasma Comunicación]]+RANDBETWEEN(0,5)+2))-0.5</f>
        <v>5.555555555555558E-2</v>
      </c>
      <c r="S384" s="51">
        <f ca="1">1+MAX(0,Tabla2[[#This Row],[Deuda actual]]/Tabla2[[#This Row],[Liquidez]]+Tabla2[[#This Row],[Liquidez]]/(Tabla2[[#This Row],[Activos]]+Tabla2[[#This Row],[Liquidez]])+Tabla2[[#This Row],[Comunicación]])</f>
        <v>3.8605812814661862</v>
      </c>
      <c r="T384">
        <f ca="1">Tabla2[[#This Row],[Deuda actual]]*EXP(Tabla2[[#This Row],[Ki]]*Tabla2[[#This Row],[diferencia de días]])*(1+Tabla2[[#This Row],[Hg]])</f>
        <v>3497.3398499958316</v>
      </c>
    </row>
    <row r="385" spans="1:20" ht="14.5" x14ac:dyDescent="0.35">
      <c r="A385" t="e">
        <f t="shared" si="55"/>
        <v>#VALUE!</v>
      </c>
      <c r="B385" s="21">
        <f t="shared" ca="1" si="56"/>
        <v>46093</v>
      </c>
      <c r="C385" s="21">
        <f t="shared" ca="1" si="57"/>
        <v>46157</v>
      </c>
      <c r="D385">
        <f t="shared" ca="1" si="58"/>
        <v>19</v>
      </c>
      <c r="E385">
        <f t="shared" ca="1" si="59"/>
        <v>0.65482170459783062</v>
      </c>
      <c r="F385" s="47">
        <f t="shared" ca="1" si="60"/>
        <v>252.01</v>
      </c>
      <c r="G385" s="32" t="str">
        <f t="shared" ca="1" si="61"/>
        <v>personal</v>
      </c>
      <c r="H38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385" t="str">
        <f t="shared" ca="1" si="62"/>
        <v>No</v>
      </c>
      <c r="J38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12000.54023907515</v>
      </c>
      <c r="K385" s="32" t="str">
        <f ca="1">IF(Tabla2[[#This Row],[¿cliente deuda abierta?]]="Sí", Tabla2[[#This Row],[Deuda actual]]*Tabla2[[#This Row],[diferencia de días]], "0")</f>
        <v>0</v>
      </c>
      <c r="L38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8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38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385">
        <f t="shared" ca="1" si="63"/>
        <v>2328.89</v>
      </c>
      <c r="P385">
        <f t="shared" ca="1" si="64"/>
        <v>198293.99</v>
      </c>
      <c r="Q385">
        <f t="shared" ca="1" si="65"/>
        <v>3</v>
      </c>
      <c r="R385">
        <f ca="1">((Tabla2[[#This Row],[Fantasma Comunicación]]+1)/(Tabla2[[#This Row],[Fantasma Comunicación]]+RANDBETWEEN(0,5)+2))-0.5</f>
        <v>0.16666666666666663</v>
      </c>
      <c r="S385" s="51">
        <f ca="1">1+MAX(0,Tabla2[[#This Row],[Deuda actual]]/Tabla2[[#This Row],[Liquidez]]+Tabla2[[#This Row],[Liquidez]]/(Tabla2[[#This Row],[Activos]]+Tabla2[[#This Row],[Liquidez]])+Tabla2[[#This Row],[Comunicación]])</f>
        <v>1.2864853129224016</v>
      </c>
      <c r="T385">
        <f ca="1">Tabla2[[#This Row],[Deuda actual]]*EXP(Tabla2[[#This Row],[Ki]]*Tabla2[[#This Row],[diferencia de días]])*(1+Tabla2[[#This Row],[Hg]])</f>
        <v>228.53931526944777</v>
      </c>
    </row>
    <row r="386" spans="1:20" ht="14.5" x14ac:dyDescent="0.35">
      <c r="A386" t="e">
        <f t="shared" ref="A386:A449" si="66">A385+1</f>
        <v>#VALUE!</v>
      </c>
      <c r="B386" s="21">
        <f t="shared" ref="B386:B449" ca="1" si="67">RANDBETWEEN(DATE(2026,3,1), DATE(2026,5,1))</f>
        <v>46128</v>
      </c>
      <c r="C386" s="21">
        <f t="shared" ref="C386:C449" ca="1" si="68">TODAY()</f>
        <v>46157</v>
      </c>
      <c r="D386">
        <f t="shared" ref="D386:D449" ca="1" si="69">ROUND((-(15) * LN(RAND())),0)</f>
        <v>1</v>
      </c>
      <c r="E386">
        <f t="shared" ref="E386:E449" ca="1" si="70">RAND()</f>
        <v>0.33793779640128629</v>
      </c>
      <c r="F386" s="47">
        <f t="shared" ref="F386:F449" ca="1" si="71">ROUND(MIN(10000, _xlfn.LOGNORM.INV(RAND(), 69/10, 13/10)),2)</f>
        <v>1548.86</v>
      </c>
      <c r="G386" s="32" t="str">
        <f t="shared" ref="G386:G449" ca="1" si="72">IF(RAND()&lt;=0.5,"personal","hipotecario")</f>
        <v>personal</v>
      </c>
      <c r="H38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86" t="str">
        <f t="shared" ref="I386:I449" ca="1" si="73">IF(RAND()&lt;=0.65, "Sí", "No")</f>
        <v>Sí</v>
      </c>
      <c r="J38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86" s="32">
        <f ca="1">IF(Tabla2[[#This Row],[¿cliente deuda abierta?]]="Sí", Tabla2[[#This Row],[Deuda actual]]*Tabla2[[#This Row],[diferencia de días]], "0")</f>
        <v>1548.86</v>
      </c>
      <c r="L38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8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8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86">
        <f t="shared" ref="O386:O449" ca="1" si="74">ROUND(1000*(_xlfn.LOGNORM.INV(RAND(), 0.5, 0.2)),2)</f>
        <v>1597.06</v>
      </c>
      <c r="P386">
        <f t="shared" ref="P386:P449" ca="1" si="75">ROUND(50000*(_xlfn.LOGNORM.INV(RAND(), 1, 0.75)),2)</f>
        <v>51189.81</v>
      </c>
      <c r="Q386">
        <f t="shared" ref="Q386:Q449" ca="1" si="76">RANDBETWEEN(0,5)</f>
        <v>0</v>
      </c>
      <c r="R386">
        <f ca="1">((Tabla2[[#This Row],[Fantasma Comunicación]]+1)/(Tabla2[[#This Row],[Fantasma Comunicación]]+RANDBETWEEN(0,5)+2))-0.5</f>
        <v>-0.33333333333333337</v>
      </c>
      <c r="S386" s="51">
        <f ca="1">1+MAX(0,Tabla2[[#This Row],[Deuda actual]]/Tabla2[[#This Row],[Liquidez]]+Tabla2[[#This Row],[Liquidez]]/(Tabla2[[#This Row],[Activos]]+Tabla2[[#This Row],[Liquidez]])+Tabla2[[#This Row],[Comunicación]])</f>
        <v>1.66674108216993</v>
      </c>
      <c r="T386">
        <f ca="1">Tabla2[[#This Row],[Deuda actual]]*EXP(Tabla2[[#This Row],[Ki]]*Tabla2[[#This Row],[diferencia de días]])*(1+Tabla2[[#This Row],[Hg]])</f>
        <v>1626.6282931282287</v>
      </c>
    </row>
    <row r="387" spans="1:20" ht="14.5" x14ac:dyDescent="0.35">
      <c r="A387" t="e">
        <f t="shared" si="66"/>
        <v>#VALUE!</v>
      </c>
      <c r="B387" s="21">
        <f t="shared" ca="1" si="67"/>
        <v>46111</v>
      </c>
      <c r="C387" s="21">
        <f t="shared" ca="1" si="68"/>
        <v>46157</v>
      </c>
      <c r="D387">
        <f t="shared" ca="1" si="69"/>
        <v>15</v>
      </c>
      <c r="E387">
        <f t="shared" ca="1" si="70"/>
        <v>0.29978496971843593</v>
      </c>
      <c r="F387" s="47">
        <f t="shared" ca="1" si="71"/>
        <v>4315.92</v>
      </c>
      <c r="G387" s="32" t="str">
        <f t="shared" ca="1" si="72"/>
        <v>hipotecario</v>
      </c>
      <c r="H38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387" t="str">
        <f t="shared" ca="1" si="73"/>
        <v>No</v>
      </c>
      <c r="J38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165000.37213683932</v>
      </c>
      <c r="K387" s="32" t="str">
        <f ca="1">IF(Tabla2[[#This Row],[¿cliente deuda abierta?]]="Sí", Tabla2[[#This Row],[Deuda actual]]*Tabla2[[#This Row],[diferencia de días]], "0")</f>
        <v>0</v>
      </c>
      <c r="L38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8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8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87">
        <f t="shared" ca="1" si="74"/>
        <v>1905.51</v>
      </c>
      <c r="P387">
        <f t="shared" ca="1" si="75"/>
        <v>41944.74</v>
      </c>
      <c r="Q387">
        <f t="shared" ca="1" si="76"/>
        <v>4</v>
      </c>
      <c r="R387">
        <f ca="1">((Tabla2[[#This Row],[Fantasma Comunicación]]+1)/(Tabla2[[#This Row],[Fantasma Comunicación]]+RANDBETWEEN(0,5)+2))-0.5</f>
        <v>0</v>
      </c>
      <c r="S387" s="51">
        <f ca="1">1+MAX(0,Tabla2[[#This Row],[Deuda actual]]/Tabla2[[#This Row],[Liquidez]]+Tabla2[[#This Row],[Liquidez]]/(Tabla2[[#This Row],[Activos]]+Tabla2[[#This Row],[Liquidez]])+Tabla2[[#This Row],[Comunicación]])</f>
        <v>3.3084233740414115</v>
      </c>
      <c r="T387">
        <f ca="1">Tabla2[[#This Row],[Deuda actual]]*EXP(Tabla2[[#This Row],[Ki]]*Tabla2[[#This Row],[diferencia de días]])*(1+Tabla2[[#This Row],[Hg]])</f>
        <v>3473.5146897331683</v>
      </c>
    </row>
    <row r="388" spans="1:20" ht="14.5" x14ac:dyDescent="0.35">
      <c r="A388" t="e">
        <f t="shared" si="66"/>
        <v>#VALUE!</v>
      </c>
      <c r="B388" s="21">
        <f t="shared" ca="1" si="67"/>
        <v>46136</v>
      </c>
      <c r="C388" s="21">
        <f t="shared" ca="1" si="68"/>
        <v>46157</v>
      </c>
      <c r="D388">
        <f t="shared" ca="1" si="69"/>
        <v>6</v>
      </c>
      <c r="E388">
        <f t="shared" ca="1" si="70"/>
        <v>0.89921284343395047</v>
      </c>
      <c r="F388" s="47">
        <f t="shared" ca="1" si="71"/>
        <v>1262.92</v>
      </c>
      <c r="G388" s="32" t="str">
        <f t="shared" ca="1" si="72"/>
        <v>hipotecario</v>
      </c>
      <c r="H38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88" t="str">
        <f t="shared" ca="1" si="73"/>
        <v>No</v>
      </c>
      <c r="J38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164999.09176749602</v>
      </c>
      <c r="K388" s="32" t="str">
        <f ca="1">IF(Tabla2[[#This Row],[¿cliente deuda abierta?]]="Sí", Tabla2[[#This Row],[Deuda actual]]*Tabla2[[#This Row],[diferencia de días]], "0")</f>
        <v>0</v>
      </c>
      <c r="L38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8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8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88">
        <f t="shared" ca="1" si="74"/>
        <v>1620.01</v>
      </c>
      <c r="P388">
        <f t="shared" ca="1" si="75"/>
        <v>165208.34</v>
      </c>
      <c r="Q388">
        <f t="shared" ca="1" si="76"/>
        <v>0</v>
      </c>
      <c r="R388">
        <f ca="1">((Tabla2[[#This Row],[Fantasma Comunicación]]+1)/(Tabla2[[#This Row],[Fantasma Comunicación]]+RANDBETWEEN(0,5)+2))-0.5</f>
        <v>0</v>
      </c>
      <c r="S388" s="51">
        <f ca="1">1+MAX(0,Tabla2[[#This Row],[Deuda actual]]/Tabla2[[#This Row],[Liquidez]]+Tabla2[[#This Row],[Liquidez]]/(Tabla2[[#This Row],[Activos]]+Tabla2[[#This Row],[Liquidez]])+Tabla2[[#This Row],[Comunicación]])</f>
        <v>1.7892860744279577</v>
      </c>
      <c r="T388">
        <f ca="1">Tabla2[[#This Row],[Deuda actual]]*EXP(Tabla2[[#This Row],[Ki]]*Tabla2[[#This Row],[diferencia de días]])*(1+Tabla2[[#This Row],[Hg]])</f>
        <v>1011.5491309329841</v>
      </c>
    </row>
    <row r="389" spans="1:20" ht="14.5" x14ac:dyDescent="0.35">
      <c r="A389" t="e">
        <f t="shared" si="66"/>
        <v>#VALUE!</v>
      </c>
      <c r="B389" s="21">
        <f t="shared" ca="1" si="67"/>
        <v>46119</v>
      </c>
      <c r="C389" s="21">
        <f t="shared" ca="1" si="68"/>
        <v>46157</v>
      </c>
      <c r="D389">
        <f t="shared" ca="1" si="69"/>
        <v>26</v>
      </c>
      <c r="E389">
        <f t="shared" ca="1" si="70"/>
        <v>0.5299217787312599</v>
      </c>
      <c r="F389" s="47">
        <f t="shared" ca="1" si="71"/>
        <v>10000</v>
      </c>
      <c r="G389" s="32" t="str">
        <f t="shared" ca="1" si="72"/>
        <v>personal</v>
      </c>
      <c r="H38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389" t="str">
        <f t="shared" ca="1" si="73"/>
        <v>Sí</v>
      </c>
      <c r="J38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89" s="32">
        <f ca="1">IF(Tabla2[[#This Row],[¿cliente deuda abierta?]]="Sí", Tabla2[[#This Row],[Deuda actual]]*Tabla2[[#This Row],[diferencia de días]], "0")</f>
        <v>260000</v>
      </c>
      <c r="L38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0.2</v>
      </c>
      <c r="M38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89" s="32">
        <f ca="1">MAX(Tabla2[[#This Row],[VALORES DE Hg para actuales deudores]:[Valores de HG para deudores cerrados]])*IF(Tabla2[[#This Row],[VALORES DE Hg para actuales deudores]]&gt;Tabla2[[#This Row],[Valores de HG para deudores cerrados]],-1,1)</f>
        <v>0.2</v>
      </c>
      <c r="O389">
        <f t="shared" ca="1" si="74"/>
        <v>1544.99</v>
      </c>
      <c r="P389">
        <f t="shared" ca="1" si="75"/>
        <v>165357.84</v>
      </c>
      <c r="Q389">
        <f t="shared" ca="1" si="76"/>
        <v>0</v>
      </c>
      <c r="R389">
        <f ca="1">((Tabla2[[#This Row],[Fantasma Comunicación]]+1)/(Tabla2[[#This Row],[Fantasma Comunicación]]+RANDBETWEEN(0,5)+2))-0.5</f>
        <v>-0.3</v>
      </c>
      <c r="S389" s="51">
        <f ca="1">1+MAX(0,Tabla2[[#This Row],[Deuda actual]]/Tabla2[[#This Row],[Liquidez]]+Tabla2[[#This Row],[Liquidez]]/(Tabla2[[#This Row],[Activos]]+Tabla2[[#This Row],[Liquidez]])+Tabla2[[#This Row],[Comunicación]])</f>
        <v>7.1817906260743527</v>
      </c>
      <c r="T389">
        <f ca="1">Tabla2[[#This Row],[Deuda actual]]*EXP(Tabla2[[#This Row],[Ki]]*Tabla2[[#This Row],[diferencia de días]])*(1+Tabla2[[#This Row],[Hg]])</f>
        <v>12125.451215589479</v>
      </c>
    </row>
    <row r="390" spans="1:20" ht="14.5" x14ac:dyDescent="0.35">
      <c r="A390" t="e">
        <f t="shared" si="66"/>
        <v>#VALUE!</v>
      </c>
      <c r="B390" s="21">
        <f t="shared" ca="1" si="67"/>
        <v>46121</v>
      </c>
      <c r="C390" s="21">
        <f t="shared" ca="1" si="68"/>
        <v>46157</v>
      </c>
      <c r="D390">
        <f t="shared" ca="1" si="69"/>
        <v>9</v>
      </c>
      <c r="E390">
        <f t="shared" ca="1" si="70"/>
        <v>0.30924900571485869</v>
      </c>
      <c r="F390" s="47">
        <f t="shared" ca="1" si="71"/>
        <v>2147.52</v>
      </c>
      <c r="G390" s="32" t="str">
        <f t="shared" ca="1" si="72"/>
        <v>hipotecario</v>
      </c>
      <c r="H39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90" t="str">
        <f t="shared" ca="1" si="73"/>
        <v>No</v>
      </c>
      <c r="J39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165000.66734708796</v>
      </c>
      <c r="K390" s="32" t="str">
        <f ca="1">IF(Tabla2[[#This Row],[¿cliente deuda abierta?]]="Sí", Tabla2[[#This Row],[Deuda actual]]*Tabla2[[#This Row],[diferencia de días]], "0")</f>
        <v>0</v>
      </c>
      <c r="L39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9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9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90">
        <f t="shared" ca="1" si="74"/>
        <v>1185.04</v>
      </c>
      <c r="P390">
        <f t="shared" ca="1" si="75"/>
        <v>190288.97</v>
      </c>
      <c r="Q390">
        <f t="shared" ca="1" si="76"/>
        <v>1</v>
      </c>
      <c r="R390">
        <f ca="1">((Tabla2[[#This Row],[Fantasma Comunicación]]+1)/(Tabla2[[#This Row],[Fantasma Comunicación]]+RANDBETWEEN(0,5)+2))-0.5</f>
        <v>0</v>
      </c>
      <c r="S390" s="51">
        <f ca="1">1+MAX(0,Tabla2[[#This Row],[Deuda actual]]/Tabla2[[#This Row],[Liquidez]]+Tabla2[[#This Row],[Liquidez]]/(Tabla2[[#This Row],[Activos]]+Tabla2[[#This Row],[Liquidez]])+Tabla2[[#This Row],[Comunicación]])</f>
        <v>2.8183810319166369</v>
      </c>
      <c r="T390">
        <f ca="1">Tabla2[[#This Row],[Deuda actual]]*EXP(Tabla2[[#This Row],[Ki]]*Tabla2[[#This Row],[diferencia de días]])*(1+Tabla2[[#This Row],[Hg]])</f>
        <v>1721.1112136565835</v>
      </c>
    </row>
    <row r="391" spans="1:20" ht="14.5" x14ac:dyDescent="0.35">
      <c r="A391" t="e">
        <f t="shared" si="66"/>
        <v>#VALUE!</v>
      </c>
      <c r="B391" s="21">
        <f t="shared" ca="1" si="67"/>
        <v>46115</v>
      </c>
      <c r="C391" s="21">
        <f t="shared" ca="1" si="68"/>
        <v>46157</v>
      </c>
      <c r="D391">
        <f t="shared" ca="1" si="69"/>
        <v>53</v>
      </c>
      <c r="E391">
        <f t="shared" ca="1" si="70"/>
        <v>0.11645632099980774</v>
      </c>
      <c r="F391" s="47">
        <f t="shared" ca="1" si="71"/>
        <v>4615.7</v>
      </c>
      <c r="G391" s="32" t="str">
        <f t="shared" ca="1" si="72"/>
        <v>hipotecario</v>
      </c>
      <c r="H39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1.5E-3</v>
      </c>
      <c r="I391" t="str">
        <f t="shared" ca="1" si="73"/>
        <v>Sí</v>
      </c>
      <c r="J39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91" s="32">
        <f ca="1">IF(Tabla2[[#This Row],[¿cliente deuda abierta?]]="Sí", Tabla2[[#This Row],[Deuda actual]]*Tabla2[[#This Row],[diferencia de días]], "0")</f>
        <v>244632.09999999998</v>
      </c>
      <c r="L39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0.2</v>
      </c>
      <c r="M39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91" s="32">
        <f ca="1">MAX(Tabla2[[#This Row],[VALORES DE Hg para actuales deudores]:[Valores de HG para deudores cerrados]])*IF(Tabla2[[#This Row],[VALORES DE Hg para actuales deudores]]&gt;Tabla2[[#This Row],[Valores de HG para deudores cerrados]],-1,1)</f>
        <v>0.2</v>
      </c>
      <c r="O391">
        <f t="shared" ca="1" si="74"/>
        <v>1779.79</v>
      </c>
      <c r="P391">
        <f t="shared" ca="1" si="75"/>
        <v>56252.78</v>
      </c>
      <c r="Q391">
        <f t="shared" ca="1" si="76"/>
        <v>4</v>
      </c>
      <c r="R391">
        <f ca="1">((Tabla2[[#This Row],[Fantasma Comunicación]]+1)/(Tabla2[[#This Row],[Fantasma Comunicación]]+RANDBETWEEN(0,5)+2))-0.5</f>
        <v>-4.545454545454547E-2</v>
      </c>
      <c r="S391" s="51">
        <f ca="1">1+MAX(0,Tabla2[[#This Row],[Deuda actual]]/Tabla2[[#This Row],[Liquidez]]+Tabla2[[#This Row],[Liquidez]]/(Tabla2[[#This Row],[Activos]]+Tabla2[[#This Row],[Liquidez]])+Tabla2[[#This Row],[Comunicación]])</f>
        <v>3.5786101169759554</v>
      </c>
      <c r="T391">
        <f ca="1">Tabla2[[#This Row],[Deuda actual]]*EXP(Tabla2[[#This Row],[Ki]]*Tabla2[[#This Row],[diferencia de días]])*(1+Tabla2[[#This Row],[Hg]])</f>
        <v>5997.1544149440369</v>
      </c>
    </row>
    <row r="392" spans="1:20" ht="14.5" x14ac:dyDescent="0.35">
      <c r="A392" t="e">
        <f t="shared" si="66"/>
        <v>#VALUE!</v>
      </c>
      <c r="B392" s="21">
        <f t="shared" ca="1" si="67"/>
        <v>46104</v>
      </c>
      <c r="C392" s="21">
        <f t="shared" ca="1" si="68"/>
        <v>46157</v>
      </c>
      <c r="D392">
        <f t="shared" ca="1" si="69"/>
        <v>7</v>
      </c>
      <c r="E392">
        <f t="shared" ca="1" si="70"/>
        <v>0.45580753066867497</v>
      </c>
      <c r="F392" s="47">
        <f t="shared" ca="1" si="71"/>
        <v>2780.66</v>
      </c>
      <c r="G392" s="32" t="str">
        <f t="shared" ca="1" si="72"/>
        <v>personal</v>
      </c>
      <c r="H39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92" t="str">
        <f t="shared" ca="1" si="73"/>
        <v>Sí</v>
      </c>
      <c r="J39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92" s="32">
        <f ca="1">IF(Tabla2[[#This Row],[¿cliente deuda abierta?]]="Sí", Tabla2[[#This Row],[Deuda actual]]*Tabla2[[#This Row],[diferencia de días]], "0")</f>
        <v>19464.62</v>
      </c>
      <c r="L39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9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9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92">
        <f t="shared" ca="1" si="74"/>
        <v>2380.5</v>
      </c>
      <c r="P392">
        <f t="shared" ca="1" si="75"/>
        <v>240529.14</v>
      </c>
      <c r="Q392">
        <f t="shared" ca="1" si="76"/>
        <v>4</v>
      </c>
      <c r="R392">
        <f ca="1">((Tabla2[[#This Row],[Fantasma Comunicación]]+1)/(Tabla2[[#This Row],[Fantasma Comunicación]]+RANDBETWEEN(0,5)+2))-0.5</f>
        <v>0.125</v>
      </c>
      <c r="S392" s="51">
        <f ca="1">1+MAX(0,Tabla2[[#This Row],[Deuda actual]]/Tabla2[[#This Row],[Liquidez]]+Tabla2[[#This Row],[Liquidez]]/(Tabla2[[#This Row],[Activos]]+Tabla2[[#This Row],[Liquidez]])+Tabla2[[#This Row],[Comunicación]])</f>
        <v>2.302899079258669</v>
      </c>
      <c r="T392">
        <f ca="1">Tabla2[[#This Row],[Deuda actual]]*EXP(Tabla2[[#This Row],[Ki]]*Tabla2[[#This Row],[diferencia de días]])*(1+Tabla2[[#This Row],[Hg]])</f>
        <v>2923.7834328348804</v>
      </c>
    </row>
    <row r="393" spans="1:20" ht="14.5" x14ac:dyDescent="0.35">
      <c r="A393" t="e">
        <f t="shared" si="66"/>
        <v>#VALUE!</v>
      </c>
      <c r="B393" s="21">
        <f t="shared" ca="1" si="67"/>
        <v>46125</v>
      </c>
      <c r="C393" s="21">
        <f t="shared" ca="1" si="68"/>
        <v>46157</v>
      </c>
      <c r="D393">
        <f t="shared" ca="1" si="69"/>
        <v>21</v>
      </c>
      <c r="E393">
        <f t="shared" ca="1" si="70"/>
        <v>0.97084445785082174</v>
      </c>
      <c r="F393" s="47">
        <f t="shared" ca="1" si="71"/>
        <v>4039.11</v>
      </c>
      <c r="G393" s="32" t="str">
        <f t="shared" ca="1" si="72"/>
        <v>hipotecario</v>
      </c>
      <c r="H39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393" t="str">
        <f t="shared" ca="1" si="73"/>
        <v>No</v>
      </c>
      <c r="J39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164998.83608701013</v>
      </c>
      <c r="K393" s="32" t="str">
        <f ca="1">IF(Tabla2[[#This Row],[¿cliente deuda abierta?]]="Sí", Tabla2[[#This Row],[Deuda actual]]*Tabla2[[#This Row],[diferencia de días]], "0")</f>
        <v>0</v>
      </c>
      <c r="L39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9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9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93">
        <f t="shared" ca="1" si="74"/>
        <v>1456.6</v>
      </c>
      <c r="P393">
        <f t="shared" ca="1" si="75"/>
        <v>409948.12</v>
      </c>
      <c r="Q393">
        <f t="shared" ca="1" si="76"/>
        <v>5</v>
      </c>
      <c r="R393">
        <f ca="1">((Tabla2[[#This Row],[Fantasma Comunicación]]+1)/(Tabla2[[#This Row],[Fantasma Comunicación]]+RANDBETWEEN(0,5)+2))-0.5</f>
        <v>0</v>
      </c>
      <c r="S393" s="51">
        <f ca="1">1+MAX(0,Tabla2[[#This Row],[Deuda actual]]/Tabla2[[#This Row],[Liquidez]]+Tabla2[[#This Row],[Liquidez]]/(Tabla2[[#This Row],[Activos]]+Tabla2[[#This Row],[Liquidez]])+Tabla2[[#This Row],[Comunicación]])</f>
        <v>3.7765118555103814</v>
      </c>
      <c r="T393">
        <f ca="1">Tabla2[[#This Row],[Deuda actual]]*EXP(Tabla2[[#This Row],[Ki]]*Tabla2[[#This Row],[diferencia de días]])*(1+Tabla2[[#This Row],[Hg]])</f>
        <v>3258.5451389116411</v>
      </c>
    </row>
    <row r="394" spans="1:20" ht="14.5" x14ac:dyDescent="0.35">
      <c r="A394" t="e">
        <f t="shared" si="66"/>
        <v>#VALUE!</v>
      </c>
      <c r="B394" s="21">
        <f t="shared" ca="1" si="67"/>
        <v>46087</v>
      </c>
      <c r="C394" s="21">
        <f t="shared" ca="1" si="68"/>
        <v>46157</v>
      </c>
      <c r="D394">
        <f t="shared" ca="1" si="69"/>
        <v>9</v>
      </c>
      <c r="E394">
        <f t="shared" ca="1" si="70"/>
        <v>0.9005648226166908</v>
      </c>
      <c r="F394" s="47">
        <f t="shared" ca="1" si="71"/>
        <v>215.65</v>
      </c>
      <c r="G394" s="32" t="str">
        <f t="shared" ca="1" si="72"/>
        <v>personal</v>
      </c>
      <c r="H39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94" t="str">
        <f t="shared" ca="1" si="73"/>
        <v>Sí</v>
      </c>
      <c r="J39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94" s="32">
        <f ca="1">IF(Tabla2[[#This Row],[¿cliente deuda abierta?]]="Sí", Tabla2[[#This Row],[Deuda actual]]*Tabla2[[#This Row],[diferencia de días]], "0")</f>
        <v>1940.8500000000001</v>
      </c>
      <c r="L39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9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9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94">
        <f t="shared" ca="1" si="74"/>
        <v>1869.3</v>
      </c>
      <c r="P394">
        <f t="shared" ca="1" si="75"/>
        <v>70644.66</v>
      </c>
      <c r="Q394">
        <f t="shared" ca="1" si="76"/>
        <v>3</v>
      </c>
      <c r="R394">
        <f ca="1">((Tabla2[[#This Row],[Fantasma Comunicación]]+1)/(Tabla2[[#This Row],[Fantasma Comunicación]]+RANDBETWEEN(0,5)+2))-0.5</f>
        <v>0</v>
      </c>
      <c r="S394" s="51">
        <f ca="1">1+MAX(0,Tabla2[[#This Row],[Deuda actual]]/Tabla2[[#This Row],[Liquidez]]+Tabla2[[#This Row],[Liquidez]]/(Tabla2[[#This Row],[Activos]]+Tabla2[[#This Row],[Liquidez]])+Tabla2[[#This Row],[Comunicación]])</f>
        <v>1.1411425245991886</v>
      </c>
      <c r="T394">
        <f ca="1">Tabla2[[#This Row],[Deuda actual]]*EXP(Tabla2[[#This Row],[Ki]]*Tabla2[[#This Row],[diferencia de días]])*(1+Tabla2[[#This Row],[Hg]])</f>
        <v>226.8404455408415</v>
      </c>
    </row>
    <row r="395" spans="1:20" ht="14.5" x14ac:dyDescent="0.35">
      <c r="A395" t="e">
        <f t="shared" si="66"/>
        <v>#VALUE!</v>
      </c>
      <c r="B395" s="21">
        <f t="shared" ca="1" si="67"/>
        <v>46102</v>
      </c>
      <c r="C395" s="21">
        <f t="shared" ca="1" si="68"/>
        <v>46157</v>
      </c>
      <c r="D395">
        <f t="shared" ca="1" si="69"/>
        <v>7</v>
      </c>
      <c r="E395">
        <f t="shared" ca="1" si="70"/>
        <v>0.35847424662212146</v>
      </c>
      <c r="F395" s="47">
        <f t="shared" ca="1" si="71"/>
        <v>6486.47</v>
      </c>
      <c r="G395" s="32" t="str">
        <f t="shared" ca="1" si="72"/>
        <v>personal</v>
      </c>
      <c r="H39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95" t="str">
        <f t="shared" ca="1" si="73"/>
        <v>No</v>
      </c>
      <c r="J39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12000.397882159135</v>
      </c>
      <c r="K395" s="32" t="str">
        <f ca="1">IF(Tabla2[[#This Row],[¿cliente deuda abierta?]]="Sí", Tabla2[[#This Row],[Deuda actual]]*Tabla2[[#This Row],[diferencia de días]], "0")</f>
        <v>0</v>
      </c>
      <c r="L39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9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39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395">
        <f t="shared" ca="1" si="74"/>
        <v>1554.28</v>
      </c>
      <c r="P395">
        <f t="shared" ca="1" si="75"/>
        <v>120685.83</v>
      </c>
      <c r="Q395">
        <f t="shared" ca="1" si="76"/>
        <v>1</v>
      </c>
      <c r="R395">
        <f ca="1">((Tabla2[[#This Row],[Fantasma Comunicación]]+1)/(Tabla2[[#This Row],[Fantasma Comunicación]]+RANDBETWEEN(0,5)+2))-0.5</f>
        <v>-9.9999999999999978E-2</v>
      </c>
      <c r="S395" s="51">
        <f ca="1">1+MAX(0,Tabla2[[#This Row],[Deuda actual]]/Tabla2[[#This Row],[Liquidez]]+Tabla2[[#This Row],[Liquidez]]/(Tabla2[[#This Row],[Activos]]+Tabla2[[#This Row],[Liquidez]])+Tabla2[[#This Row],[Comunicación]])</f>
        <v>5.0860106493503352</v>
      </c>
      <c r="T395">
        <f ca="1">Tabla2[[#This Row],[Deuda actual]]*EXP(Tabla2[[#This Row],[Ki]]*Tabla2[[#This Row],[diferencia de días]])*(1+Tabla2[[#This Row],[Hg]])</f>
        <v>5846.0016759373066</v>
      </c>
    </row>
    <row r="396" spans="1:20" ht="14.5" x14ac:dyDescent="0.35">
      <c r="A396" t="e">
        <f t="shared" si="66"/>
        <v>#VALUE!</v>
      </c>
      <c r="B396" s="21">
        <f t="shared" ca="1" si="67"/>
        <v>46142</v>
      </c>
      <c r="C396" s="21">
        <f t="shared" ca="1" si="68"/>
        <v>46157</v>
      </c>
      <c r="D396">
        <f t="shared" ca="1" si="69"/>
        <v>14</v>
      </c>
      <c r="E396">
        <f t="shared" ca="1" si="70"/>
        <v>0.97687244768533843</v>
      </c>
      <c r="F396" s="47">
        <f t="shared" ca="1" si="71"/>
        <v>310.52999999999997</v>
      </c>
      <c r="G396" s="32" t="str">
        <f t="shared" ca="1" si="72"/>
        <v>hipotecario</v>
      </c>
      <c r="H39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96" t="str">
        <f t="shared" ca="1" si="73"/>
        <v>Sí</v>
      </c>
      <c r="J39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396" s="32">
        <f ca="1">IF(Tabla2[[#This Row],[¿cliente deuda abierta?]]="Sí", Tabla2[[#This Row],[Deuda actual]]*Tabla2[[#This Row],[diferencia de días]], "0")</f>
        <v>4347.42</v>
      </c>
      <c r="L39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39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39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396">
        <f t="shared" ca="1" si="74"/>
        <v>2085.46</v>
      </c>
      <c r="P396">
        <f t="shared" ca="1" si="75"/>
        <v>56782.82</v>
      </c>
      <c r="Q396">
        <f t="shared" ca="1" si="76"/>
        <v>2</v>
      </c>
      <c r="R396">
        <f ca="1">((Tabla2[[#This Row],[Fantasma Comunicación]]+1)/(Tabla2[[#This Row],[Fantasma Comunicación]]+RANDBETWEEN(0,5)+2))-0.5</f>
        <v>-7.1428571428571452E-2</v>
      </c>
      <c r="S396" s="51">
        <f ca="1">1+MAX(0,Tabla2[[#This Row],[Deuda actual]]/Tabla2[[#This Row],[Liquidez]]+Tabla2[[#This Row],[Liquidez]]/(Tabla2[[#This Row],[Activos]]+Tabla2[[#This Row],[Liquidez]])+Tabla2[[#This Row],[Comunicación]])</f>
        <v>1.1128996984166533</v>
      </c>
      <c r="T396">
        <f ca="1">Tabla2[[#This Row],[Deuda actual]]*EXP(Tabla2[[#This Row],[Ki]]*Tabla2[[#This Row],[diferencia de días]])*(1+Tabla2[[#This Row],[Hg]])</f>
        <v>326.97073753524751</v>
      </c>
    </row>
    <row r="397" spans="1:20" ht="14.5" x14ac:dyDescent="0.35">
      <c r="A397" t="e">
        <f t="shared" si="66"/>
        <v>#VALUE!</v>
      </c>
      <c r="B397" s="21">
        <f t="shared" ca="1" si="67"/>
        <v>46136</v>
      </c>
      <c r="C397" s="21">
        <f t="shared" ca="1" si="68"/>
        <v>46157</v>
      </c>
      <c r="D397">
        <f t="shared" ca="1" si="69"/>
        <v>13</v>
      </c>
      <c r="E397">
        <f t="shared" ca="1" si="70"/>
        <v>0.94271035712976969</v>
      </c>
      <c r="F397" s="47">
        <f t="shared" ca="1" si="71"/>
        <v>1327.61</v>
      </c>
      <c r="G397" s="32" t="str">
        <f t="shared" ca="1" si="72"/>
        <v>hipotecario</v>
      </c>
      <c r="H39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97" t="str">
        <f t="shared" ca="1" si="73"/>
        <v>No</v>
      </c>
      <c r="J39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164999.47396090912</v>
      </c>
      <c r="K397" s="32" t="str">
        <f ca="1">IF(Tabla2[[#This Row],[¿cliente deuda abierta?]]="Sí", Tabla2[[#This Row],[Deuda actual]]*Tabla2[[#This Row],[diferencia de días]], "0")</f>
        <v>0</v>
      </c>
      <c r="L39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9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39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397">
        <f t="shared" ca="1" si="74"/>
        <v>1142.6199999999999</v>
      </c>
      <c r="P397">
        <f t="shared" ca="1" si="75"/>
        <v>225959.39</v>
      </c>
      <c r="Q397">
        <f t="shared" ca="1" si="76"/>
        <v>4</v>
      </c>
      <c r="R397">
        <f ca="1">((Tabla2[[#This Row],[Fantasma Comunicación]]+1)/(Tabla2[[#This Row],[Fantasma Comunicación]]+RANDBETWEEN(0,5)+2))-0.5</f>
        <v>5.555555555555558E-2</v>
      </c>
      <c r="S397" s="51">
        <f ca="1">1+MAX(0,Tabla2[[#This Row],[Deuda actual]]/Tabla2[[#This Row],[Liquidez]]+Tabla2[[#This Row],[Liquidez]]/(Tabla2[[#This Row],[Activos]]+Tabla2[[#This Row],[Liquidez]])+Tabla2[[#This Row],[Comunicación]])</f>
        <v>2.2224867070698942</v>
      </c>
      <c r="T397">
        <f ca="1">Tabla2[[#This Row],[Deuda actual]]*EXP(Tabla2[[#This Row],[Ki]]*Tabla2[[#This Row],[diferencia de días]])*(1+Tabla2[[#This Row],[Hg]])</f>
        <v>1064.853021770673</v>
      </c>
    </row>
    <row r="398" spans="1:20" ht="14.5" x14ac:dyDescent="0.35">
      <c r="A398" t="e">
        <f t="shared" si="66"/>
        <v>#VALUE!</v>
      </c>
      <c r="B398" s="21">
        <f t="shared" ca="1" si="67"/>
        <v>46118</v>
      </c>
      <c r="C398" s="21">
        <f t="shared" ca="1" si="68"/>
        <v>46157</v>
      </c>
      <c r="D398">
        <f t="shared" ca="1" si="69"/>
        <v>15</v>
      </c>
      <c r="E398">
        <f t="shared" ca="1" si="70"/>
        <v>0.27743410476074204</v>
      </c>
      <c r="F398" s="47">
        <f t="shared" ca="1" si="71"/>
        <v>238.53</v>
      </c>
      <c r="G398" s="32" t="str">
        <f t="shared" ca="1" si="72"/>
        <v>personal</v>
      </c>
      <c r="H39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398" t="str">
        <f t="shared" ca="1" si="73"/>
        <v>No</v>
      </c>
      <c r="J39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11999.68518698092</v>
      </c>
      <c r="K398" s="32" t="str">
        <f ca="1">IF(Tabla2[[#This Row],[¿cliente deuda abierta?]]="Sí", Tabla2[[#This Row],[Deuda actual]]*Tabla2[[#This Row],[diferencia de días]], "0")</f>
        <v>0</v>
      </c>
      <c r="L39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9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39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398">
        <f t="shared" ca="1" si="74"/>
        <v>1520.21</v>
      </c>
      <c r="P398">
        <f t="shared" ca="1" si="75"/>
        <v>172771.34</v>
      </c>
      <c r="Q398">
        <f t="shared" ca="1" si="76"/>
        <v>2</v>
      </c>
      <c r="R398">
        <f ca="1">((Tabla2[[#This Row],[Fantasma Comunicación]]+1)/(Tabla2[[#This Row],[Fantasma Comunicación]]+RANDBETWEEN(0,5)+2))-0.5</f>
        <v>0.25</v>
      </c>
      <c r="S398" s="51">
        <f ca="1">1+MAX(0,Tabla2[[#This Row],[Deuda actual]]/Tabla2[[#This Row],[Liquidez]]+Tabla2[[#This Row],[Liquidez]]/(Tabla2[[#This Row],[Activos]]+Tabla2[[#This Row],[Liquidez]])+Tabla2[[#This Row],[Comunicación]])</f>
        <v>1.4156281781246154</v>
      </c>
      <c r="T398">
        <f ca="1">Tabla2[[#This Row],[Deuda actual]]*EXP(Tabla2[[#This Row],[Ki]]*Tabla2[[#This Row],[diferencia de días]])*(1+Tabla2[[#This Row],[Hg]])</f>
        <v>215.96893392597849</v>
      </c>
    </row>
    <row r="399" spans="1:20" ht="14.5" x14ac:dyDescent="0.35">
      <c r="A399" t="e">
        <f t="shared" si="66"/>
        <v>#VALUE!</v>
      </c>
      <c r="B399" s="21">
        <f t="shared" ca="1" si="67"/>
        <v>46093</v>
      </c>
      <c r="C399" s="21">
        <f t="shared" ca="1" si="68"/>
        <v>46157</v>
      </c>
      <c r="D399">
        <f t="shared" ca="1" si="69"/>
        <v>0</v>
      </c>
      <c r="E399">
        <f t="shared" ca="1" si="70"/>
        <v>0.5864011958709402</v>
      </c>
      <c r="F399" s="47">
        <f t="shared" ca="1" si="71"/>
        <v>10000</v>
      </c>
      <c r="G399" s="32" t="str">
        <f t="shared" ca="1" si="72"/>
        <v>personal</v>
      </c>
      <c r="H39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399" t="str">
        <f t="shared" ca="1" si="73"/>
        <v>No</v>
      </c>
      <c r="J39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12001.330283084453</v>
      </c>
      <c r="K399" s="32" t="str">
        <f ca="1">IF(Tabla2[[#This Row],[¿cliente deuda abierta?]]="Sí", Tabla2[[#This Row],[Deuda actual]]*Tabla2[[#This Row],[diferencia de días]], "0")</f>
        <v>0</v>
      </c>
      <c r="L39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39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39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399">
        <f t="shared" ca="1" si="74"/>
        <v>1922.02</v>
      </c>
      <c r="P399">
        <f t="shared" ca="1" si="75"/>
        <v>113422.31</v>
      </c>
      <c r="Q399">
        <f t="shared" ca="1" si="76"/>
        <v>1</v>
      </c>
      <c r="R399">
        <f ca="1">((Tabla2[[#This Row],[Fantasma Comunicación]]+1)/(Tabla2[[#This Row],[Fantasma Comunicación]]+RANDBETWEEN(0,5)+2))-0.5</f>
        <v>-0.16666666666666669</v>
      </c>
      <c r="S399" s="51">
        <f ca="1">1+MAX(0,Tabla2[[#This Row],[Deuda actual]]/Tabla2[[#This Row],[Liquidez]]+Tabla2[[#This Row],[Liquidez]]/(Tabla2[[#This Row],[Activos]]+Tabla2[[#This Row],[Liquidez]])+Tabla2[[#This Row],[Comunicación]])</f>
        <v>6.0528561494096866</v>
      </c>
      <c r="T399">
        <f ca="1">Tabla2[[#This Row],[Deuda actual]]*EXP(Tabla2[[#This Row],[Ki]]*Tabla2[[#This Row],[diferencia de días]])*(1+Tabla2[[#This Row],[Hg]])</f>
        <v>9000</v>
      </c>
    </row>
    <row r="400" spans="1:20" ht="14.5" x14ac:dyDescent="0.35">
      <c r="A400" t="e">
        <f t="shared" si="66"/>
        <v>#VALUE!</v>
      </c>
      <c r="B400" s="21">
        <f t="shared" ca="1" si="67"/>
        <v>46092</v>
      </c>
      <c r="C400" s="21">
        <f t="shared" ca="1" si="68"/>
        <v>46157</v>
      </c>
      <c r="D400">
        <f t="shared" ca="1" si="69"/>
        <v>77</v>
      </c>
      <c r="E400">
        <f t="shared" ca="1" si="70"/>
        <v>0.94951698728151324</v>
      </c>
      <c r="F400" s="47">
        <f t="shared" ca="1" si="71"/>
        <v>1264.8800000000001</v>
      </c>
      <c r="G400" s="32" t="str">
        <f t="shared" ca="1" si="72"/>
        <v>hipotecario</v>
      </c>
      <c r="H40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400" t="str">
        <f t="shared" ca="1" si="73"/>
        <v>No</v>
      </c>
      <c r="J40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165000.67143702172</v>
      </c>
      <c r="K400" s="32" t="str">
        <f ca="1">IF(Tabla2[[#This Row],[¿cliente deuda abierta?]]="Sí", Tabla2[[#This Row],[Deuda actual]]*Tabla2[[#This Row],[diferencia de días]], "0")</f>
        <v>0</v>
      </c>
      <c r="L40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0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40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400">
        <f t="shared" ca="1" si="74"/>
        <v>1706.4</v>
      </c>
      <c r="P400">
        <f t="shared" ca="1" si="75"/>
        <v>57081.82</v>
      </c>
      <c r="Q400">
        <f t="shared" ca="1" si="76"/>
        <v>5</v>
      </c>
      <c r="R400">
        <f ca="1">((Tabla2[[#This Row],[Fantasma Comunicación]]+1)/(Tabla2[[#This Row],[Fantasma Comunicación]]+RANDBETWEEN(0,5)+2))-0.5</f>
        <v>0.16666666666666663</v>
      </c>
      <c r="S400" s="51">
        <f ca="1">1+MAX(0,Tabla2[[#This Row],[Deuda actual]]/Tabla2[[#This Row],[Liquidez]]+Tabla2[[#This Row],[Liquidez]]/(Tabla2[[#This Row],[Activos]]+Tabla2[[#This Row],[Liquidez]])+Tabla2[[#This Row],[Comunicación]])</f>
        <v>1.9369493362671908</v>
      </c>
      <c r="T400">
        <f ca="1">Tabla2[[#This Row],[Deuda actual]]*EXP(Tabla2[[#This Row],[Ki]]*Tabla2[[#This Row],[diferencia de días]])*(1+Tabla2[[#This Row],[Hg]])</f>
        <v>1092.8988972699781</v>
      </c>
    </row>
    <row r="401" spans="1:20" ht="14.5" x14ac:dyDescent="0.35">
      <c r="A401" t="e">
        <f t="shared" si="66"/>
        <v>#VALUE!</v>
      </c>
      <c r="B401" s="21">
        <f t="shared" ca="1" si="67"/>
        <v>46096</v>
      </c>
      <c r="C401" s="21">
        <f t="shared" ca="1" si="68"/>
        <v>46157</v>
      </c>
      <c r="D401">
        <f t="shared" ca="1" si="69"/>
        <v>28</v>
      </c>
      <c r="E401">
        <f t="shared" ca="1" si="70"/>
        <v>0.8079466639586127</v>
      </c>
      <c r="F401" s="47">
        <f t="shared" ca="1" si="71"/>
        <v>4858.53</v>
      </c>
      <c r="G401" s="32" t="str">
        <f t="shared" ca="1" si="72"/>
        <v>personal</v>
      </c>
      <c r="H40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01" t="str">
        <f t="shared" ca="1" si="73"/>
        <v>No</v>
      </c>
      <c r="J40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12000.002847507441</v>
      </c>
      <c r="K401" s="32" t="str">
        <f ca="1">IF(Tabla2[[#This Row],[¿cliente deuda abierta?]]="Sí", Tabla2[[#This Row],[Deuda actual]]*Tabla2[[#This Row],[diferencia de días]], "0")</f>
        <v>0</v>
      </c>
      <c r="L40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0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40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401">
        <f t="shared" ca="1" si="74"/>
        <v>1659.13</v>
      </c>
      <c r="P401">
        <f t="shared" ca="1" si="75"/>
        <v>320325.92</v>
      </c>
      <c r="Q401">
        <f t="shared" ca="1" si="76"/>
        <v>1</v>
      </c>
      <c r="R401">
        <f ca="1">((Tabla2[[#This Row],[Fantasma Comunicación]]+1)/(Tabla2[[#This Row],[Fantasma Comunicación]]+RANDBETWEEN(0,5)+2))-0.5</f>
        <v>0</v>
      </c>
      <c r="S401" s="51">
        <f ca="1">1+MAX(0,Tabla2[[#This Row],[Deuda actual]]/Tabla2[[#This Row],[Liquidez]]+Tabla2[[#This Row],[Liquidez]]/(Tabla2[[#This Row],[Activos]]+Tabla2[[#This Row],[Liquidez]])+Tabla2[[#This Row],[Comunicación]])</f>
        <v>3.9335128609971863</v>
      </c>
      <c r="T401">
        <f ca="1">Tabla2[[#This Row],[Deuda actual]]*EXP(Tabla2[[#This Row],[Ki]]*Tabla2[[#This Row],[diferencia de días]])*(1+Tabla2[[#This Row],[Hg]])</f>
        <v>4421.9262634574707</v>
      </c>
    </row>
    <row r="402" spans="1:20" ht="14.5" x14ac:dyDescent="0.35">
      <c r="A402" t="e">
        <f t="shared" si="66"/>
        <v>#VALUE!</v>
      </c>
      <c r="B402" s="21">
        <f t="shared" ca="1" si="67"/>
        <v>46095</v>
      </c>
      <c r="C402" s="21">
        <f t="shared" ca="1" si="68"/>
        <v>46157</v>
      </c>
      <c r="D402">
        <f t="shared" ca="1" si="69"/>
        <v>20</v>
      </c>
      <c r="E402">
        <f t="shared" ca="1" si="70"/>
        <v>0.40997308415006795</v>
      </c>
      <c r="F402" s="47">
        <f t="shared" ca="1" si="71"/>
        <v>336.32</v>
      </c>
      <c r="G402" s="32" t="str">
        <f t="shared" ca="1" si="72"/>
        <v>personal</v>
      </c>
      <c r="H40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02" t="str">
        <f t="shared" ca="1" si="73"/>
        <v>No</v>
      </c>
      <c r="J40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12000.117421914125</v>
      </c>
      <c r="K402" s="32" t="str">
        <f ca="1">IF(Tabla2[[#This Row],[¿cliente deuda abierta?]]="Sí", Tabla2[[#This Row],[Deuda actual]]*Tabla2[[#This Row],[diferencia de días]], "0")</f>
        <v>0</v>
      </c>
      <c r="L40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0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40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402">
        <f t="shared" ca="1" si="74"/>
        <v>2250.33</v>
      </c>
      <c r="P402">
        <f t="shared" ca="1" si="75"/>
        <v>50851.81</v>
      </c>
      <c r="Q402">
        <f t="shared" ca="1" si="76"/>
        <v>3</v>
      </c>
      <c r="R402">
        <f ca="1">((Tabla2[[#This Row],[Fantasma Comunicación]]+1)/(Tabla2[[#This Row],[Fantasma Comunicación]]+RANDBETWEEN(0,5)+2))-0.5</f>
        <v>0</v>
      </c>
      <c r="S402" s="51">
        <f ca="1">1+MAX(0,Tabla2[[#This Row],[Deuda actual]]/Tabla2[[#This Row],[Liquidez]]+Tabla2[[#This Row],[Liquidez]]/(Tabla2[[#This Row],[Activos]]+Tabla2[[#This Row],[Liquidez]])+Tabla2[[#This Row],[Comunicación]])</f>
        <v>1.1918310238695771</v>
      </c>
      <c r="T402">
        <f ca="1">Tabla2[[#This Row],[Deuda actual]]*EXP(Tabla2[[#This Row],[Ki]]*Tabla2[[#This Row],[diferencia de días]])*(1+Tabla2[[#This Row],[Hg]])</f>
        <v>305.11921589711756</v>
      </c>
    </row>
    <row r="403" spans="1:20" ht="14.5" x14ac:dyDescent="0.35">
      <c r="A403" t="e">
        <f t="shared" si="66"/>
        <v>#VALUE!</v>
      </c>
      <c r="B403" s="21">
        <f t="shared" ca="1" si="67"/>
        <v>46143</v>
      </c>
      <c r="C403" s="21">
        <f t="shared" ca="1" si="68"/>
        <v>46157</v>
      </c>
      <c r="D403">
        <f t="shared" ca="1" si="69"/>
        <v>9</v>
      </c>
      <c r="E403">
        <f t="shared" ca="1" si="70"/>
        <v>0.43985154976151897</v>
      </c>
      <c r="F403" s="47">
        <f t="shared" ca="1" si="71"/>
        <v>2343.4299999999998</v>
      </c>
      <c r="G403" s="32" t="str">
        <f t="shared" ca="1" si="72"/>
        <v>personal</v>
      </c>
      <c r="H40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03" t="str">
        <f t="shared" ca="1" si="73"/>
        <v>Sí</v>
      </c>
      <c r="J40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03" s="32">
        <f ca="1">IF(Tabla2[[#This Row],[¿cliente deuda abierta?]]="Sí", Tabla2[[#This Row],[Deuda actual]]*Tabla2[[#This Row],[diferencia de días]], "0")</f>
        <v>21090.87</v>
      </c>
      <c r="L40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0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0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03">
        <f t="shared" ca="1" si="74"/>
        <v>1020.31</v>
      </c>
      <c r="P403">
        <f t="shared" ca="1" si="75"/>
        <v>173083.07</v>
      </c>
      <c r="Q403">
        <f t="shared" ca="1" si="76"/>
        <v>3</v>
      </c>
      <c r="R403">
        <f ca="1">((Tabla2[[#This Row],[Fantasma Comunicación]]+1)/(Tabla2[[#This Row],[Fantasma Comunicación]]+RANDBETWEEN(0,5)+2))-0.5</f>
        <v>-9.9999999999999978E-2</v>
      </c>
      <c r="S403" s="51">
        <f ca="1">1+MAX(0,Tabla2[[#This Row],[Deuda actual]]/Tabla2[[#This Row],[Liquidez]]+Tabla2[[#This Row],[Liquidez]]/(Tabla2[[#This Row],[Activos]]+Tabla2[[#This Row],[Liquidez]])+Tabla2[[#This Row],[Comunicación]])</f>
        <v>3.202642719169488</v>
      </c>
      <c r="T403">
        <f ca="1">Tabla2[[#This Row],[Deuda actual]]*EXP(Tabla2[[#This Row],[Ki]]*Tabla2[[#This Row],[diferencia de días]])*(1+Tabla2[[#This Row],[Hg]])</f>
        <v>2465.0345712672115</v>
      </c>
    </row>
    <row r="404" spans="1:20" ht="14.5" x14ac:dyDescent="0.35">
      <c r="A404" t="e">
        <f t="shared" si="66"/>
        <v>#VALUE!</v>
      </c>
      <c r="B404" s="21">
        <f t="shared" ca="1" si="67"/>
        <v>46125</v>
      </c>
      <c r="C404" s="21">
        <f t="shared" ca="1" si="68"/>
        <v>46157</v>
      </c>
      <c r="D404">
        <f t="shared" ca="1" si="69"/>
        <v>11</v>
      </c>
      <c r="E404">
        <f t="shared" ca="1" si="70"/>
        <v>2.8715202003337659E-2</v>
      </c>
      <c r="F404" s="47">
        <f t="shared" ca="1" si="71"/>
        <v>2635.91</v>
      </c>
      <c r="G404" s="32" t="str">
        <f t="shared" ca="1" si="72"/>
        <v>personal</v>
      </c>
      <c r="H40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04" t="str">
        <f t="shared" ca="1" si="73"/>
        <v>No</v>
      </c>
      <c r="J40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11998.681993018632</v>
      </c>
      <c r="K404" s="32" t="str">
        <f ca="1">IF(Tabla2[[#This Row],[¿cliente deuda abierta?]]="Sí", Tabla2[[#This Row],[Deuda actual]]*Tabla2[[#This Row],[diferencia de días]], "0")</f>
        <v>0</v>
      </c>
      <c r="L40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0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40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404">
        <f t="shared" ca="1" si="74"/>
        <v>1337.27</v>
      </c>
      <c r="P404">
        <f t="shared" ca="1" si="75"/>
        <v>536585.22</v>
      </c>
      <c r="Q404">
        <f t="shared" ca="1" si="76"/>
        <v>3</v>
      </c>
      <c r="R404">
        <f ca="1">((Tabla2[[#This Row],[Fantasma Comunicación]]+1)/(Tabla2[[#This Row],[Fantasma Comunicación]]+RANDBETWEEN(0,5)+2))-0.5</f>
        <v>-5.555555555555558E-2</v>
      </c>
      <c r="S404" s="51">
        <f ca="1">1+MAX(0,Tabla2[[#This Row],[Deuda actual]]/Tabla2[[#This Row],[Liquidez]]+Tabla2[[#This Row],[Liquidez]]/(Tabla2[[#This Row],[Activos]]+Tabla2[[#This Row],[Liquidez]])+Tabla2[[#This Row],[Comunicación]])</f>
        <v>2.9180432240619067</v>
      </c>
      <c r="T404">
        <f ca="1">Tabla2[[#This Row],[Deuda actual]]*EXP(Tabla2[[#This Row],[Ki]]*Tabla2[[#This Row],[diferencia de días]])*(1+Tabla2[[#This Row],[Hg]])</f>
        <v>2377.5438470243721</v>
      </c>
    </row>
    <row r="405" spans="1:20" ht="14.5" x14ac:dyDescent="0.35">
      <c r="A405" t="e">
        <f t="shared" si="66"/>
        <v>#VALUE!</v>
      </c>
      <c r="B405" s="21">
        <f t="shared" ca="1" si="67"/>
        <v>46131</v>
      </c>
      <c r="C405" s="21">
        <f t="shared" ca="1" si="68"/>
        <v>46157</v>
      </c>
      <c r="D405">
        <f t="shared" ca="1" si="69"/>
        <v>14</v>
      </c>
      <c r="E405">
        <f t="shared" ca="1" si="70"/>
        <v>0.48615979377643614</v>
      </c>
      <c r="F405" s="47">
        <f t="shared" ca="1" si="71"/>
        <v>8425.7099999999991</v>
      </c>
      <c r="G405" s="32" t="str">
        <f t="shared" ca="1" si="72"/>
        <v>personal</v>
      </c>
      <c r="H40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05" t="str">
        <f t="shared" ca="1" si="73"/>
        <v>Sí</v>
      </c>
      <c r="J40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05" s="32">
        <f ca="1">IF(Tabla2[[#This Row],[¿cliente deuda abierta?]]="Sí", Tabla2[[#This Row],[Deuda actual]]*Tabla2[[#This Row],[diferencia de días]], "0")</f>
        <v>117959.93999999999</v>
      </c>
      <c r="L40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40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05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405">
        <f t="shared" ca="1" si="74"/>
        <v>1515.04</v>
      </c>
      <c r="P405">
        <f t="shared" ca="1" si="75"/>
        <v>187630.32</v>
      </c>
      <c r="Q405">
        <f t="shared" ca="1" si="76"/>
        <v>3</v>
      </c>
      <c r="R405">
        <f ca="1">((Tabla2[[#This Row],[Fantasma Comunicación]]+1)/(Tabla2[[#This Row],[Fantasma Comunicación]]+RANDBETWEEN(0,5)+2))-0.5</f>
        <v>-5.555555555555558E-2</v>
      </c>
      <c r="S405" s="51">
        <f ca="1">1+MAX(0,Tabla2[[#This Row],[Deuda actual]]/Tabla2[[#This Row],[Liquidez]]+Tabla2[[#This Row],[Liquidez]]/(Tabla2[[#This Row],[Activos]]+Tabla2[[#This Row],[Liquidez]])+Tabla2[[#This Row],[Comunicación]])</f>
        <v>6.513832286078296</v>
      </c>
      <c r="T405">
        <f ca="1">Tabla2[[#This Row],[Deuda actual]]*EXP(Tabla2[[#This Row],[Ki]]*Tabla2[[#This Row],[diferencia de días]])*(1+Tabla2[[#This Row],[Hg]])</f>
        <v>9716.7353047764009</v>
      </c>
    </row>
    <row r="406" spans="1:20" ht="14.5" x14ac:dyDescent="0.35">
      <c r="A406" t="e">
        <f t="shared" si="66"/>
        <v>#VALUE!</v>
      </c>
      <c r="B406" s="21">
        <f t="shared" ca="1" si="67"/>
        <v>46095</v>
      </c>
      <c r="C406" s="21">
        <f t="shared" ca="1" si="68"/>
        <v>46157</v>
      </c>
      <c r="D406">
        <f t="shared" ca="1" si="69"/>
        <v>1</v>
      </c>
      <c r="E406">
        <f t="shared" ca="1" si="70"/>
        <v>4.9185212534307299E-3</v>
      </c>
      <c r="F406" s="47">
        <f t="shared" ca="1" si="71"/>
        <v>706.71</v>
      </c>
      <c r="G406" s="32" t="str">
        <f t="shared" ca="1" si="72"/>
        <v>personal</v>
      </c>
      <c r="H40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06" t="str">
        <f t="shared" ca="1" si="73"/>
        <v>Sí</v>
      </c>
      <c r="J40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06" s="32">
        <f ca="1">IF(Tabla2[[#This Row],[¿cliente deuda abierta?]]="Sí", Tabla2[[#This Row],[Deuda actual]]*Tabla2[[#This Row],[diferencia de días]], "0")</f>
        <v>706.71</v>
      </c>
      <c r="L40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0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0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06">
        <f t="shared" ca="1" si="74"/>
        <v>1583.33</v>
      </c>
      <c r="P406">
        <f t="shared" ca="1" si="75"/>
        <v>788957.02</v>
      </c>
      <c r="Q406">
        <f t="shared" ca="1" si="76"/>
        <v>5</v>
      </c>
      <c r="R406">
        <f ca="1">((Tabla2[[#This Row],[Fantasma Comunicación]]+1)/(Tabla2[[#This Row],[Fantasma Comunicación]]+RANDBETWEEN(0,5)+2))-0.5</f>
        <v>0</v>
      </c>
      <c r="S406" s="51">
        <f ca="1">1+MAX(0,Tabla2[[#This Row],[Deuda actual]]/Tabla2[[#This Row],[Liquidez]]+Tabla2[[#This Row],[Liquidez]]/(Tabla2[[#This Row],[Activos]]+Tabla2[[#This Row],[Liquidez]])+Tabla2[[#This Row],[Comunicación]])</f>
        <v>1.4483469428355831</v>
      </c>
      <c r="T406">
        <f ca="1">Tabla2[[#This Row],[Deuda actual]]*EXP(Tabla2[[#This Row],[Ki]]*Tabla2[[#This Row],[diferencia de días]])*(1+Tabla2[[#This Row],[Hg]])</f>
        <v>742.19392394189958</v>
      </c>
    </row>
    <row r="407" spans="1:20" ht="14.5" x14ac:dyDescent="0.35">
      <c r="A407" t="e">
        <f t="shared" si="66"/>
        <v>#VALUE!</v>
      </c>
      <c r="B407" s="21">
        <f t="shared" ca="1" si="67"/>
        <v>46125</v>
      </c>
      <c r="C407" s="21">
        <f t="shared" ca="1" si="68"/>
        <v>46157</v>
      </c>
      <c r="D407">
        <f t="shared" ca="1" si="69"/>
        <v>26</v>
      </c>
      <c r="E407">
        <f t="shared" ca="1" si="70"/>
        <v>0.87251030026489951</v>
      </c>
      <c r="F407" s="47">
        <f t="shared" ca="1" si="71"/>
        <v>2774.79</v>
      </c>
      <c r="G407" s="32" t="str">
        <f t="shared" ca="1" si="72"/>
        <v>personal</v>
      </c>
      <c r="H40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07" t="str">
        <f t="shared" ca="1" si="73"/>
        <v>Sí</v>
      </c>
      <c r="J40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07" s="32">
        <f ca="1">IF(Tabla2[[#This Row],[¿cliente deuda abierta?]]="Sí", Tabla2[[#This Row],[Deuda actual]]*Tabla2[[#This Row],[diferencia de días]], "0")</f>
        <v>72144.539999999994</v>
      </c>
      <c r="L40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40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07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407">
        <f t="shared" ca="1" si="74"/>
        <v>2052.27</v>
      </c>
      <c r="P407">
        <f t="shared" ca="1" si="75"/>
        <v>80367.199999999997</v>
      </c>
      <c r="Q407">
        <f t="shared" ca="1" si="76"/>
        <v>3</v>
      </c>
      <c r="R407">
        <f ca="1">((Tabla2[[#This Row],[Fantasma Comunicación]]+1)/(Tabla2[[#This Row],[Fantasma Comunicación]]+RANDBETWEEN(0,5)+2))-0.5</f>
        <v>-9.9999999999999978E-2</v>
      </c>
      <c r="S407" s="51">
        <f ca="1">1+MAX(0,Tabla2[[#This Row],[Deuda actual]]/Tabla2[[#This Row],[Liquidez]]+Tabla2[[#This Row],[Liquidez]]/(Tabla2[[#This Row],[Activos]]+Tabla2[[#This Row],[Liquidez]])+Tabla2[[#This Row],[Comunicación]])</f>
        <v>2.2769592453298069</v>
      </c>
      <c r="T407">
        <f ca="1">Tabla2[[#This Row],[Deuda actual]]*EXP(Tabla2[[#This Row],[Ki]]*Tabla2[[#This Row],[diferencia de días]])*(1+Tabla2[[#This Row],[Hg]])</f>
        <v>3224.3681579401132</v>
      </c>
    </row>
    <row r="408" spans="1:20" ht="14.5" x14ac:dyDescent="0.35">
      <c r="A408" t="e">
        <f t="shared" si="66"/>
        <v>#VALUE!</v>
      </c>
      <c r="B408" s="21">
        <f t="shared" ca="1" si="67"/>
        <v>46121</v>
      </c>
      <c r="C408" s="21">
        <f t="shared" ca="1" si="68"/>
        <v>46157</v>
      </c>
      <c r="D408">
        <f t="shared" ca="1" si="69"/>
        <v>10</v>
      </c>
      <c r="E408">
        <f t="shared" ca="1" si="70"/>
        <v>0.65125538650788606</v>
      </c>
      <c r="F408" s="47">
        <f t="shared" ca="1" si="71"/>
        <v>151.78</v>
      </c>
      <c r="G408" s="32" t="str">
        <f t="shared" ca="1" si="72"/>
        <v>personal</v>
      </c>
      <c r="H40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08" t="str">
        <f t="shared" ca="1" si="73"/>
        <v>No</v>
      </c>
      <c r="J40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12000.481303051018</v>
      </c>
      <c r="K408" s="32" t="str">
        <f ca="1">IF(Tabla2[[#This Row],[¿cliente deuda abierta?]]="Sí", Tabla2[[#This Row],[Deuda actual]]*Tabla2[[#This Row],[diferencia de días]], "0")</f>
        <v>0</v>
      </c>
      <c r="L40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0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40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408">
        <f t="shared" ca="1" si="74"/>
        <v>1511.04</v>
      </c>
      <c r="P408">
        <f t="shared" ca="1" si="75"/>
        <v>112009.28</v>
      </c>
      <c r="Q408">
        <f t="shared" ca="1" si="76"/>
        <v>1</v>
      </c>
      <c r="R408">
        <f ca="1">((Tabla2[[#This Row],[Fantasma Comunicación]]+1)/(Tabla2[[#This Row],[Fantasma Comunicación]]+RANDBETWEEN(0,5)+2))-0.5</f>
        <v>0.16666666666666663</v>
      </c>
      <c r="S408" s="51">
        <f ca="1">1+MAX(0,Tabla2[[#This Row],[Deuda actual]]/Tabla2[[#This Row],[Liquidez]]+Tabla2[[#This Row],[Liquidez]]/(Tabla2[[#This Row],[Activos]]+Tabla2[[#This Row],[Liquidez]])+Tabla2[[#This Row],[Comunicación]])</f>
        <v>1.2804247853802726</v>
      </c>
      <c r="T408">
        <f ca="1">Tabla2[[#This Row],[Deuda actual]]*EXP(Tabla2[[#This Row],[Ki]]*Tabla2[[#This Row],[diferencia de días]])*(1+Tabla2[[#This Row],[Hg]])</f>
        <v>136.87547738622712</v>
      </c>
    </row>
    <row r="409" spans="1:20" ht="14.5" x14ac:dyDescent="0.35">
      <c r="A409" t="e">
        <f t="shared" si="66"/>
        <v>#VALUE!</v>
      </c>
      <c r="B409" s="21">
        <f t="shared" ca="1" si="67"/>
        <v>46099</v>
      </c>
      <c r="C409" s="21">
        <f t="shared" ca="1" si="68"/>
        <v>46157</v>
      </c>
      <c r="D409">
        <f t="shared" ca="1" si="69"/>
        <v>2</v>
      </c>
      <c r="E409">
        <f t="shared" ca="1" si="70"/>
        <v>7.5673402040562721E-2</v>
      </c>
      <c r="F409" s="47">
        <f t="shared" ca="1" si="71"/>
        <v>794.54</v>
      </c>
      <c r="G409" s="32" t="str">
        <f t="shared" ca="1" si="72"/>
        <v>hipotecario</v>
      </c>
      <c r="H40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09" t="str">
        <f t="shared" ca="1" si="73"/>
        <v>No</v>
      </c>
      <c r="J40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165001.32396962179</v>
      </c>
      <c r="K409" s="32" t="str">
        <f ca="1">IF(Tabla2[[#This Row],[¿cliente deuda abierta?]]="Sí", Tabla2[[#This Row],[Deuda actual]]*Tabla2[[#This Row],[diferencia de días]], "0")</f>
        <v>0</v>
      </c>
      <c r="L40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0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40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409">
        <f t="shared" ca="1" si="74"/>
        <v>1376.44</v>
      </c>
      <c r="P409">
        <f t="shared" ca="1" si="75"/>
        <v>85846.31</v>
      </c>
      <c r="Q409">
        <f t="shared" ca="1" si="76"/>
        <v>3</v>
      </c>
      <c r="R409">
        <f ca="1">((Tabla2[[#This Row],[Fantasma Comunicación]]+1)/(Tabla2[[#This Row],[Fantasma Comunicación]]+RANDBETWEEN(0,5)+2))-0.5</f>
        <v>7.1428571428571397E-2</v>
      </c>
      <c r="S409" s="51">
        <f ca="1">1+MAX(0,Tabla2[[#This Row],[Deuda actual]]/Tabla2[[#This Row],[Liquidez]]+Tabla2[[#This Row],[Liquidez]]/(Tabla2[[#This Row],[Activos]]+Tabla2[[#This Row],[Liquidez]])+Tabla2[[#This Row],[Comunicación]])</f>
        <v>1.6644520588507232</v>
      </c>
      <c r="T409">
        <f ca="1">Tabla2[[#This Row],[Deuda actual]]*EXP(Tabla2[[#This Row],[Ki]]*Tabla2[[#This Row],[diferencia de días]])*(1+Tabla2[[#This Row],[Hg]])</f>
        <v>635.88630365734082</v>
      </c>
    </row>
    <row r="410" spans="1:20" ht="14.5" x14ac:dyDescent="0.35">
      <c r="A410" t="e">
        <f t="shared" si="66"/>
        <v>#VALUE!</v>
      </c>
      <c r="B410" s="21">
        <f t="shared" ca="1" si="67"/>
        <v>46129</v>
      </c>
      <c r="C410" s="21">
        <f t="shared" ca="1" si="68"/>
        <v>46157</v>
      </c>
      <c r="D410">
        <f t="shared" ca="1" si="69"/>
        <v>8</v>
      </c>
      <c r="E410">
        <f t="shared" ca="1" si="70"/>
        <v>0.92522387586938704</v>
      </c>
      <c r="F410" s="47">
        <f t="shared" ca="1" si="71"/>
        <v>189.85</v>
      </c>
      <c r="G410" s="32" t="str">
        <f t="shared" ca="1" si="72"/>
        <v>hipotecario</v>
      </c>
      <c r="H41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10" t="str">
        <f t="shared" ca="1" si="73"/>
        <v>Sí</v>
      </c>
      <c r="J41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10" s="32">
        <f ca="1">IF(Tabla2[[#This Row],[¿cliente deuda abierta?]]="Sí", Tabla2[[#This Row],[Deuda actual]]*Tabla2[[#This Row],[diferencia de días]], "0")</f>
        <v>1518.8</v>
      </c>
      <c r="L41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1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1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10">
        <f t="shared" ca="1" si="74"/>
        <v>1709.48</v>
      </c>
      <c r="P410">
        <f t="shared" ca="1" si="75"/>
        <v>71145.440000000002</v>
      </c>
      <c r="Q410">
        <f t="shared" ca="1" si="76"/>
        <v>5</v>
      </c>
      <c r="R410">
        <f ca="1">((Tabla2[[#This Row],[Fantasma Comunicación]]+1)/(Tabla2[[#This Row],[Fantasma Comunicación]]+RANDBETWEEN(0,5)+2))-0.5</f>
        <v>9.9999999999999978E-2</v>
      </c>
      <c r="S410" s="51">
        <f ca="1">1+MAX(0,Tabla2[[#This Row],[Deuda actual]]/Tabla2[[#This Row],[Liquidez]]+Tabla2[[#This Row],[Liquidez]]/(Tabla2[[#This Row],[Activos]]+Tabla2[[#This Row],[Liquidez]])+Tabla2[[#This Row],[Comunicación]])</f>
        <v>1.2345213304494305</v>
      </c>
      <c r="T410">
        <f ca="1">Tabla2[[#This Row],[Deuda actual]]*EXP(Tabla2[[#This Row],[Ki]]*Tabla2[[#This Row],[diferencia de días]])*(1+Tabla2[[#This Row],[Hg]])</f>
        <v>199.66170329453891</v>
      </c>
    </row>
    <row r="411" spans="1:20" ht="14.5" x14ac:dyDescent="0.35">
      <c r="A411" t="e">
        <f t="shared" si="66"/>
        <v>#VALUE!</v>
      </c>
      <c r="B411" s="21">
        <f t="shared" ca="1" si="67"/>
        <v>46137</v>
      </c>
      <c r="C411" s="21">
        <f t="shared" ca="1" si="68"/>
        <v>46157</v>
      </c>
      <c r="D411">
        <f t="shared" ca="1" si="69"/>
        <v>4</v>
      </c>
      <c r="E411">
        <f t="shared" ca="1" si="70"/>
        <v>0.71927535749563709</v>
      </c>
      <c r="F411" s="47">
        <f t="shared" ca="1" si="71"/>
        <v>421.9</v>
      </c>
      <c r="G411" s="32" t="str">
        <f t="shared" ca="1" si="72"/>
        <v>hipotecario</v>
      </c>
      <c r="H41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11" t="str">
        <f t="shared" ca="1" si="73"/>
        <v>Sí</v>
      </c>
      <c r="J41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11" s="32">
        <f ca="1">IF(Tabla2[[#This Row],[¿cliente deuda abierta?]]="Sí", Tabla2[[#This Row],[Deuda actual]]*Tabla2[[#This Row],[diferencia de días]], "0")</f>
        <v>1687.6</v>
      </c>
      <c r="L41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1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1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11">
        <f t="shared" ca="1" si="74"/>
        <v>1970.72</v>
      </c>
      <c r="P411">
        <f t="shared" ca="1" si="75"/>
        <v>94616.06</v>
      </c>
      <c r="Q411">
        <f t="shared" ca="1" si="76"/>
        <v>4</v>
      </c>
      <c r="R411">
        <f ca="1">((Tabla2[[#This Row],[Fantasma Comunicación]]+1)/(Tabla2[[#This Row],[Fantasma Comunicación]]+RANDBETWEEN(0,5)+2))-0.5</f>
        <v>5.555555555555558E-2</v>
      </c>
      <c r="S411" s="51">
        <f ca="1">1+MAX(0,Tabla2[[#This Row],[Deuda actual]]/Tabla2[[#This Row],[Liquidez]]+Tabla2[[#This Row],[Liquidez]]/(Tabla2[[#This Row],[Activos]]+Tabla2[[#This Row],[Liquidez]])+Tabla2[[#This Row],[Comunicación]])</f>
        <v>1.2900433685889796</v>
      </c>
      <c r="T411">
        <f ca="1">Tabla2[[#This Row],[Deuda actual]]*EXP(Tabla2[[#This Row],[Ki]]*Tabla2[[#This Row],[diferencia de días]])*(1+Tabla2[[#This Row],[Hg]])</f>
        <v>443.34953779620975</v>
      </c>
    </row>
    <row r="412" spans="1:20" ht="14.5" x14ac:dyDescent="0.35">
      <c r="A412" t="e">
        <f t="shared" si="66"/>
        <v>#VALUE!</v>
      </c>
      <c r="B412" s="21">
        <f t="shared" ca="1" si="67"/>
        <v>46138</v>
      </c>
      <c r="C412" s="21">
        <f t="shared" ca="1" si="68"/>
        <v>46157</v>
      </c>
      <c r="D412">
        <f t="shared" ca="1" si="69"/>
        <v>5</v>
      </c>
      <c r="E412">
        <f t="shared" ca="1" si="70"/>
        <v>0.33121658892278305</v>
      </c>
      <c r="F412" s="47">
        <f t="shared" ca="1" si="71"/>
        <v>854.59</v>
      </c>
      <c r="G412" s="32" t="str">
        <f t="shared" ca="1" si="72"/>
        <v>personal</v>
      </c>
      <c r="H41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12" t="str">
        <f t="shared" ca="1" si="73"/>
        <v>Sí</v>
      </c>
      <c r="J41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12" s="32">
        <f ca="1">IF(Tabla2[[#This Row],[¿cliente deuda abierta?]]="Sí", Tabla2[[#This Row],[Deuda actual]]*Tabla2[[#This Row],[diferencia de días]], "0")</f>
        <v>4272.95</v>
      </c>
      <c r="L41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1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1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12">
        <f t="shared" ca="1" si="74"/>
        <v>1484.79</v>
      </c>
      <c r="P412">
        <f t="shared" ca="1" si="75"/>
        <v>85399.3</v>
      </c>
      <c r="Q412">
        <f t="shared" ca="1" si="76"/>
        <v>2</v>
      </c>
      <c r="R412">
        <f ca="1">((Tabla2[[#This Row],[Fantasma Comunicación]]+1)/(Tabla2[[#This Row],[Fantasma Comunicación]]+RANDBETWEEN(0,5)+2))-0.5</f>
        <v>-0.125</v>
      </c>
      <c r="S412" s="51">
        <f ca="1">1+MAX(0,Tabla2[[#This Row],[Deuda actual]]/Tabla2[[#This Row],[Liquidez]]+Tabla2[[#This Row],[Liquidez]]/(Tabla2[[#This Row],[Activos]]+Tabla2[[#This Row],[Liquidez]])+Tabla2[[#This Row],[Comunicación]])</f>
        <v>1.4676521940164395</v>
      </c>
      <c r="T412">
        <f ca="1">Tabla2[[#This Row],[Deuda actual]]*EXP(Tabla2[[#This Row],[Ki]]*Tabla2[[#This Row],[diferencia de días]])*(1+Tabla2[[#This Row],[Hg]])</f>
        <v>898.21726830934074</v>
      </c>
    </row>
    <row r="413" spans="1:20" ht="14.5" x14ac:dyDescent="0.35">
      <c r="A413" t="e">
        <f t="shared" si="66"/>
        <v>#VALUE!</v>
      </c>
      <c r="B413" s="21">
        <f t="shared" ca="1" si="67"/>
        <v>46094</v>
      </c>
      <c r="C413" s="21">
        <f t="shared" ca="1" si="68"/>
        <v>46157</v>
      </c>
      <c r="D413">
        <f t="shared" ca="1" si="69"/>
        <v>2</v>
      </c>
      <c r="E413">
        <f t="shared" ca="1" si="70"/>
        <v>0.32213773055600603</v>
      </c>
      <c r="F413" s="47">
        <f t="shared" ca="1" si="71"/>
        <v>865.29</v>
      </c>
      <c r="G413" s="32" t="str">
        <f t="shared" ca="1" si="72"/>
        <v>hipotecario</v>
      </c>
      <c r="H41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13" t="str">
        <f t="shared" ca="1" si="73"/>
        <v>Sí</v>
      </c>
      <c r="J41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13" s="32">
        <f ca="1">IF(Tabla2[[#This Row],[¿cliente deuda abierta?]]="Sí", Tabla2[[#This Row],[Deuda actual]]*Tabla2[[#This Row],[diferencia de días]], "0")</f>
        <v>1730.58</v>
      </c>
      <c r="L41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1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1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13">
        <f t="shared" ca="1" si="74"/>
        <v>1902.34</v>
      </c>
      <c r="P413">
        <f t="shared" ca="1" si="75"/>
        <v>26259.38</v>
      </c>
      <c r="Q413">
        <f t="shared" ca="1" si="76"/>
        <v>5</v>
      </c>
      <c r="R413">
        <f ca="1">((Tabla2[[#This Row],[Fantasma Comunicación]]+1)/(Tabla2[[#This Row],[Fantasma Comunicación]]+RANDBETWEEN(0,5)+2))-0.5</f>
        <v>0.3571428571428571</v>
      </c>
      <c r="S413" s="51">
        <f ca="1">1+MAX(0,Tabla2[[#This Row],[Deuda actual]]/Tabla2[[#This Row],[Liquidez]]+Tabla2[[#This Row],[Liquidez]]/(Tabla2[[#This Row],[Activos]]+Tabla2[[#This Row],[Liquidez]])+Tabla2[[#This Row],[Comunicación]])</f>
        <v>1.8795490175792566</v>
      </c>
      <c r="T413">
        <f ca="1">Tabla2[[#This Row],[Deuda actual]]*EXP(Tabla2[[#This Row],[Ki]]*Tabla2[[#This Row],[diferencia de días]])*(1+Tabla2[[#This Row],[Hg]])</f>
        <v>908.91799449405232</v>
      </c>
    </row>
    <row r="414" spans="1:20" ht="14.5" x14ac:dyDescent="0.35">
      <c r="A414" t="e">
        <f t="shared" si="66"/>
        <v>#VALUE!</v>
      </c>
      <c r="B414" s="21">
        <f t="shared" ca="1" si="67"/>
        <v>46136</v>
      </c>
      <c r="C414" s="21">
        <f t="shared" ca="1" si="68"/>
        <v>46157</v>
      </c>
      <c r="D414">
        <f t="shared" ca="1" si="69"/>
        <v>18</v>
      </c>
      <c r="E414">
        <f t="shared" ca="1" si="70"/>
        <v>0.81108360436344862</v>
      </c>
      <c r="F414" s="47">
        <f t="shared" ca="1" si="71"/>
        <v>8122.8</v>
      </c>
      <c r="G414" s="32" t="str">
        <f t="shared" ca="1" si="72"/>
        <v>personal</v>
      </c>
      <c r="H41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14" t="str">
        <f t="shared" ca="1" si="73"/>
        <v>No</v>
      </c>
      <c r="J41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12000.449696638369</v>
      </c>
      <c r="K414" s="32" t="str">
        <f ca="1">IF(Tabla2[[#This Row],[¿cliente deuda abierta?]]="Sí", Tabla2[[#This Row],[Deuda actual]]*Tabla2[[#This Row],[diferencia de días]], "0")</f>
        <v>0</v>
      </c>
      <c r="L41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1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41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414">
        <f t="shared" ca="1" si="74"/>
        <v>1766.91</v>
      </c>
      <c r="P414">
        <f t="shared" ca="1" si="75"/>
        <v>325218.42</v>
      </c>
      <c r="Q414">
        <f t="shared" ca="1" si="76"/>
        <v>0</v>
      </c>
      <c r="R414">
        <f ca="1">((Tabla2[[#This Row],[Fantasma Comunicación]]+1)/(Tabla2[[#This Row],[Fantasma Comunicación]]+RANDBETWEEN(0,5)+2))-0.5</f>
        <v>-0.35714285714285715</v>
      </c>
      <c r="S414" s="51">
        <f ca="1">1+MAX(0,Tabla2[[#This Row],[Deuda actual]]/Tabla2[[#This Row],[Liquidez]]+Tabla2[[#This Row],[Liquidez]]/(Tabla2[[#This Row],[Activos]]+Tabla2[[#This Row],[Liquidez]])+Tabla2[[#This Row],[Comunicación]])</f>
        <v>5.2454389042950682</v>
      </c>
      <c r="T414">
        <f ca="1">Tabla2[[#This Row],[Deuda actual]]*EXP(Tabla2[[#This Row],[Ki]]*Tabla2[[#This Row],[diferencia de días]])*(1+Tabla2[[#This Row],[Hg]])</f>
        <v>7363.3456882710007</v>
      </c>
    </row>
    <row r="415" spans="1:20" ht="14.5" x14ac:dyDescent="0.35">
      <c r="A415" t="e">
        <f t="shared" si="66"/>
        <v>#VALUE!</v>
      </c>
      <c r="B415" s="21">
        <f t="shared" ca="1" si="67"/>
        <v>46093</v>
      </c>
      <c r="C415" s="21">
        <f t="shared" ca="1" si="68"/>
        <v>46157</v>
      </c>
      <c r="D415">
        <f t="shared" ca="1" si="69"/>
        <v>15</v>
      </c>
      <c r="E415">
        <f t="shared" ca="1" si="70"/>
        <v>0.20423532049938686</v>
      </c>
      <c r="F415" s="47">
        <f t="shared" ca="1" si="71"/>
        <v>606.44000000000005</v>
      </c>
      <c r="G415" s="32" t="str">
        <f t="shared" ca="1" si="72"/>
        <v>personal</v>
      </c>
      <c r="H41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15" t="str">
        <f t="shared" ca="1" si="73"/>
        <v>Sí</v>
      </c>
      <c r="J41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15" s="32">
        <f ca="1">IF(Tabla2[[#This Row],[¿cliente deuda abierta?]]="Sí", Tabla2[[#This Row],[Deuda actual]]*Tabla2[[#This Row],[diferencia de días]], "0")</f>
        <v>9096.6</v>
      </c>
      <c r="L41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1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1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15">
        <f t="shared" ca="1" si="74"/>
        <v>2188.6799999999998</v>
      </c>
      <c r="P415">
        <f t="shared" ca="1" si="75"/>
        <v>113178.49</v>
      </c>
      <c r="Q415">
        <f t="shared" ca="1" si="76"/>
        <v>0</v>
      </c>
      <c r="R415">
        <f ca="1">((Tabla2[[#This Row],[Fantasma Comunicación]]+1)/(Tabla2[[#This Row],[Fantasma Comunicación]]+RANDBETWEEN(0,5)+2))-0.5</f>
        <v>-0.3</v>
      </c>
      <c r="S415" s="51">
        <f ca="1">1+MAX(0,Tabla2[[#This Row],[Deuda actual]]/Tabla2[[#This Row],[Liquidez]]+Tabla2[[#This Row],[Liquidez]]/(Tabla2[[#This Row],[Activos]]+Tabla2[[#This Row],[Liquidez]])+Tabla2[[#This Row],[Comunicación]])</f>
        <v>1</v>
      </c>
      <c r="T415">
        <f ca="1">Tabla2[[#This Row],[Deuda actual]]*EXP(Tabla2[[#This Row],[Ki]]*Tabla2[[#This Row],[diferencia de días]])*(1+Tabla2[[#This Row],[Hg]])</f>
        <v>640.59405667385852</v>
      </c>
    </row>
    <row r="416" spans="1:20" ht="14.5" x14ac:dyDescent="0.35">
      <c r="A416" t="e">
        <f t="shared" si="66"/>
        <v>#VALUE!</v>
      </c>
      <c r="B416" s="21">
        <f t="shared" ca="1" si="67"/>
        <v>46121</v>
      </c>
      <c r="C416" s="21">
        <f t="shared" ca="1" si="68"/>
        <v>46157</v>
      </c>
      <c r="D416">
        <f t="shared" ca="1" si="69"/>
        <v>22</v>
      </c>
      <c r="E416">
        <f t="shared" ca="1" si="70"/>
        <v>0.46153430225336201</v>
      </c>
      <c r="F416" s="47">
        <f t="shared" ca="1" si="71"/>
        <v>315.05</v>
      </c>
      <c r="G416" s="32" t="str">
        <f t="shared" ca="1" si="72"/>
        <v>hipotecario</v>
      </c>
      <c r="H41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16" t="str">
        <f t="shared" ca="1" si="73"/>
        <v>Sí</v>
      </c>
      <c r="J41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16" s="32">
        <f ca="1">IF(Tabla2[[#This Row],[¿cliente deuda abierta?]]="Sí", Tabla2[[#This Row],[Deuda actual]]*Tabla2[[#This Row],[diferencia de días]], "0")</f>
        <v>6931.1</v>
      </c>
      <c r="L41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1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1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16">
        <f t="shared" ca="1" si="74"/>
        <v>1679.37</v>
      </c>
      <c r="P416">
        <f t="shared" ca="1" si="75"/>
        <v>227070.26</v>
      </c>
      <c r="Q416">
        <f t="shared" ca="1" si="76"/>
        <v>3</v>
      </c>
      <c r="R416">
        <f ca="1">((Tabla2[[#This Row],[Fantasma Comunicación]]+1)/(Tabla2[[#This Row],[Fantasma Comunicación]]+RANDBETWEEN(0,5)+2))-0.5</f>
        <v>0.16666666666666663</v>
      </c>
      <c r="S416" s="51">
        <f ca="1">1+MAX(0,Tabla2[[#This Row],[Deuda actual]]/Tabla2[[#This Row],[Liquidez]]+Tabla2[[#This Row],[Liquidez]]/(Tabla2[[#This Row],[Activos]]+Tabla2[[#This Row],[Liquidez]])+Tabla2[[#This Row],[Comunicación]])</f>
        <v>1.3616082986849383</v>
      </c>
      <c r="T416">
        <f ca="1">Tabla2[[#This Row],[Deuda actual]]*EXP(Tabla2[[#This Row],[Ki]]*Tabla2[[#This Row],[diferencia de días]])*(1+Tabla2[[#This Row],[Hg]])</f>
        <v>333.72640832771128</v>
      </c>
    </row>
    <row r="417" spans="1:20" ht="14.5" x14ac:dyDescent="0.35">
      <c r="A417" t="e">
        <f t="shared" si="66"/>
        <v>#VALUE!</v>
      </c>
      <c r="B417" s="21">
        <f t="shared" ca="1" si="67"/>
        <v>46100</v>
      </c>
      <c r="C417" s="21">
        <f t="shared" ca="1" si="68"/>
        <v>46157</v>
      </c>
      <c r="D417">
        <f t="shared" ca="1" si="69"/>
        <v>18</v>
      </c>
      <c r="E417">
        <f t="shared" ca="1" si="70"/>
        <v>5.9677531409879525E-2</v>
      </c>
      <c r="F417" s="47">
        <f t="shared" ca="1" si="71"/>
        <v>4611.3</v>
      </c>
      <c r="G417" s="32" t="str">
        <f t="shared" ca="1" si="72"/>
        <v>personal</v>
      </c>
      <c r="H41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17" t="str">
        <f t="shared" ca="1" si="73"/>
        <v>Sí</v>
      </c>
      <c r="J41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17" s="32">
        <f ca="1">IF(Tabla2[[#This Row],[¿cliente deuda abierta?]]="Sí", Tabla2[[#This Row],[Deuda actual]]*Tabla2[[#This Row],[diferencia de días]], "0")</f>
        <v>83003.400000000009</v>
      </c>
      <c r="L41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41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17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417">
        <f t="shared" ca="1" si="74"/>
        <v>1222.22</v>
      </c>
      <c r="P417">
        <f t="shared" ca="1" si="75"/>
        <v>32608.48</v>
      </c>
      <c r="Q417">
        <f t="shared" ca="1" si="76"/>
        <v>0</v>
      </c>
      <c r="R417">
        <f ca="1">((Tabla2[[#This Row],[Fantasma Comunicación]]+1)/(Tabla2[[#This Row],[Fantasma Comunicación]]+RANDBETWEEN(0,5)+2))-0.5</f>
        <v>-0.35714285714285715</v>
      </c>
      <c r="S417" s="51">
        <f ca="1">1+MAX(0,Tabla2[[#This Row],[Deuda actual]]/Tabla2[[#This Row],[Liquidez]]+Tabla2[[#This Row],[Liquidez]]/(Tabla2[[#This Row],[Activos]]+Tabla2[[#This Row],[Liquidez]])+Tabla2[[#This Row],[Comunicación]])</f>
        <v>4.4518733617978734</v>
      </c>
      <c r="T417">
        <f ca="1">Tabla2[[#This Row],[Deuda actual]]*EXP(Tabla2[[#This Row],[Ki]]*Tabla2[[#This Row],[diferencia de días]])*(1+Tabla2[[#This Row],[Hg]])</f>
        <v>5341.3143481137695</v>
      </c>
    </row>
    <row r="418" spans="1:20" ht="14.5" x14ac:dyDescent="0.35">
      <c r="A418" t="e">
        <f t="shared" si="66"/>
        <v>#VALUE!</v>
      </c>
      <c r="B418" s="21">
        <f t="shared" ca="1" si="67"/>
        <v>46100</v>
      </c>
      <c r="C418" s="21">
        <f t="shared" ca="1" si="68"/>
        <v>46157</v>
      </c>
      <c r="D418">
        <f t="shared" ca="1" si="69"/>
        <v>9</v>
      </c>
      <c r="E418">
        <f t="shared" ca="1" si="70"/>
        <v>0.41608374474873566</v>
      </c>
      <c r="F418" s="47">
        <f t="shared" ca="1" si="71"/>
        <v>678.85</v>
      </c>
      <c r="G418" s="32" t="str">
        <f t="shared" ca="1" si="72"/>
        <v>personal</v>
      </c>
      <c r="H41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18" t="str">
        <f t="shared" ca="1" si="73"/>
        <v>No</v>
      </c>
      <c r="J41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11999.332926883479</v>
      </c>
      <c r="K418" s="32" t="str">
        <f ca="1">IF(Tabla2[[#This Row],[¿cliente deuda abierta?]]="Sí", Tabla2[[#This Row],[Deuda actual]]*Tabla2[[#This Row],[diferencia de días]], "0")</f>
        <v>0</v>
      </c>
      <c r="L41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1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41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418">
        <f t="shared" ca="1" si="74"/>
        <v>1737</v>
      </c>
      <c r="P418">
        <f t="shared" ca="1" si="75"/>
        <v>78043.12</v>
      </c>
      <c r="Q418">
        <f t="shared" ca="1" si="76"/>
        <v>2</v>
      </c>
      <c r="R418">
        <f ca="1">((Tabla2[[#This Row],[Fantasma Comunicación]]+1)/(Tabla2[[#This Row],[Fantasma Comunicación]]+RANDBETWEEN(0,5)+2))-0.5</f>
        <v>0</v>
      </c>
      <c r="S418" s="51">
        <f ca="1">1+MAX(0,Tabla2[[#This Row],[Deuda actual]]/Tabla2[[#This Row],[Liquidez]]+Tabla2[[#This Row],[Liquidez]]/(Tabla2[[#This Row],[Activos]]+Tabla2[[#This Row],[Liquidez]])+Tabla2[[#This Row],[Comunicación]])</f>
        <v>1.4125898427192713</v>
      </c>
      <c r="T418">
        <f ca="1">Tabla2[[#This Row],[Deuda actual]]*EXP(Tabla2[[#This Row],[Ki]]*Tabla2[[#This Row],[diferencia de días]])*(1+Tabla2[[#This Row],[Hg]])</f>
        <v>612.06572735742543</v>
      </c>
    </row>
    <row r="419" spans="1:20" ht="14.5" x14ac:dyDescent="0.35">
      <c r="A419" t="e">
        <f t="shared" si="66"/>
        <v>#VALUE!</v>
      </c>
      <c r="B419" s="21">
        <f t="shared" ca="1" si="67"/>
        <v>46114</v>
      </c>
      <c r="C419" s="21">
        <f t="shared" ca="1" si="68"/>
        <v>46157</v>
      </c>
      <c r="D419">
        <f t="shared" ca="1" si="69"/>
        <v>7</v>
      </c>
      <c r="E419">
        <f t="shared" ca="1" si="70"/>
        <v>0.89050767242636308</v>
      </c>
      <c r="F419" s="47">
        <f t="shared" ca="1" si="71"/>
        <v>329.47</v>
      </c>
      <c r="G419" s="32" t="str">
        <f t="shared" ca="1" si="72"/>
        <v>personal</v>
      </c>
      <c r="H41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19" t="str">
        <f t="shared" ca="1" si="73"/>
        <v>Sí</v>
      </c>
      <c r="J41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19" s="32">
        <f ca="1">IF(Tabla2[[#This Row],[¿cliente deuda abierta?]]="Sí", Tabla2[[#This Row],[Deuda actual]]*Tabla2[[#This Row],[diferencia de días]], "0")</f>
        <v>2306.29</v>
      </c>
      <c r="L41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1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1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19">
        <f t="shared" ca="1" si="74"/>
        <v>1057.8900000000001</v>
      </c>
      <c r="P419">
        <f t="shared" ca="1" si="75"/>
        <v>73166.86</v>
      </c>
      <c r="Q419">
        <f t="shared" ca="1" si="76"/>
        <v>0</v>
      </c>
      <c r="R419">
        <f ca="1">((Tabla2[[#This Row],[Fantasma Comunicación]]+1)/(Tabla2[[#This Row],[Fantasma Comunicación]]+RANDBETWEEN(0,5)+2))-0.5</f>
        <v>-0.33333333333333337</v>
      </c>
      <c r="S419" s="51">
        <f ca="1">1+MAX(0,Tabla2[[#This Row],[Deuda actual]]/Tabla2[[#This Row],[Liquidez]]+Tabla2[[#This Row],[Liquidez]]/(Tabla2[[#This Row],[Activos]]+Tabla2[[#This Row],[Liquidez]])+Tabla2[[#This Row],[Comunicación]])</f>
        <v>1</v>
      </c>
      <c r="T419">
        <f ca="1">Tabla2[[#This Row],[Deuda actual]]*EXP(Tabla2[[#This Row],[Ki]]*Tabla2[[#This Row],[diferencia de días]])*(1+Tabla2[[#This Row],[Hg]])</f>
        <v>346.42816008289691</v>
      </c>
    </row>
    <row r="420" spans="1:20" ht="14.5" x14ac:dyDescent="0.35">
      <c r="A420" t="e">
        <f t="shared" si="66"/>
        <v>#VALUE!</v>
      </c>
      <c r="B420" s="21">
        <f t="shared" ca="1" si="67"/>
        <v>46100</v>
      </c>
      <c r="C420" s="21">
        <f t="shared" ca="1" si="68"/>
        <v>46157</v>
      </c>
      <c r="D420">
        <f t="shared" ca="1" si="69"/>
        <v>15</v>
      </c>
      <c r="E420">
        <f t="shared" ca="1" si="70"/>
        <v>0.94079618154695366</v>
      </c>
      <c r="F420" s="47">
        <f t="shared" ca="1" si="71"/>
        <v>1361.8</v>
      </c>
      <c r="G420" s="32" t="str">
        <f t="shared" ca="1" si="72"/>
        <v>hipotecario</v>
      </c>
      <c r="H42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20" t="str">
        <f t="shared" ca="1" si="73"/>
        <v>No</v>
      </c>
      <c r="J42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165000.06370579853</v>
      </c>
      <c r="K420" s="32" t="str">
        <f ca="1">IF(Tabla2[[#This Row],[¿cliente deuda abierta?]]="Sí", Tabla2[[#This Row],[Deuda actual]]*Tabla2[[#This Row],[diferencia de días]], "0")</f>
        <v>0</v>
      </c>
      <c r="L42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2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42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420">
        <f t="shared" ca="1" si="74"/>
        <v>1112.48</v>
      </c>
      <c r="P420">
        <f t="shared" ca="1" si="75"/>
        <v>255884.05</v>
      </c>
      <c r="Q420">
        <f t="shared" ca="1" si="76"/>
        <v>2</v>
      </c>
      <c r="R420">
        <f ca="1">((Tabla2[[#This Row],[Fantasma Comunicación]]+1)/(Tabla2[[#This Row],[Fantasma Comunicación]]+RANDBETWEEN(0,5)+2))-0.5</f>
        <v>0</v>
      </c>
      <c r="S420" s="51">
        <f ca="1">1+MAX(0,Tabla2[[#This Row],[Deuda actual]]/Tabla2[[#This Row],[Liquidez]]+Tabla2[[#This Row],[Liquidez]]/(Tabla2[[#This Row],[Activos]]+Tabla2[[#This Row],[Liquidez]])+Tabla2[[#This Row],[Comunicación]])</f>
        <v>2.2284406685465949</v>
      </c>
      <c r="T420">
        <f ca="1">Tabla2[[#This Row],[Deuda actual]]*EXP(Tabla2[[#This Row],[Ki]]*Tabla2[[#This Row],[diferencia de días]])*(1+Tabla2[[#This Row],[Hg]])</f>
        <v>1095.9962891987404</v>
      </c>
    </row>
    <row r="421" spans="1:20" ht="14.5" x14ac:dyDescent="0.35">
      <c r="A421" t="e">
        <f t="shared" si="66"/>
        <v>#VALUE!</v>
      </c>
      <c r="B421" s="21">
        <f t="shared" ca="1" si="67"/>
        <v>46092</v>
      </c>
      <c r="C421" s="21">
        <f t="shared" ca="1" si="68"/>
        <v>46157</v>
      </c>
      <c r="D421">
        <f t="shared" ca="1" si="69"/>
        <v>6</v>
      </c>
      <c r="E421">
        <f t="shared" ca="1" si="70"/>
        <v>0.25955380289832219</v>
      </c>
      <c r="F421" s="47">
        <f t="shared" ca="1" si="71"/>
        <v>1821.47</v>
      </c>
      <c r="G421" s="32" t="str">
        <f t="shared" ca="1" si="72"/>
        <v>hipotecario</v>
      </c>
      <c r="H42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21" t="str">
        <f t="shared" ca="1" si="73"/>
        <v>No</v>
      </c>
      <c r="J42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165000.425974185</v>
      </c>
      <c r="K421" s="32" t="str">
        <f ca="1">IF(Tabla2[[#This Row],[¿cliente deuda abierta?]]="Sí", Tabla2[[#This Row],[Deuda actual]]*Tabla2[[#This Row],[diferencia de días]], "0")</f>
        <v>0</v>
      </c>
      <c r="L42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2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42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421">
        <f t="shared" ca="1" si="74"/>
        <v>1538.57</v>
      </c>
      <c r="P421">
        <f t="shared" ca="1" si="75"/>
        <v>69023.28</v>
      </c>
      <c r="Q421">
        <f t="shared" ca="1" si="76"/>
        <v>2</v>
      </c>
      <c r="R421">
        <f ca="1">((Tabla2[[#This Row],[Fantasma Comunicación]]+1)/(Tabla2[[#This Row],[Fantasma Comunicación]]+RANDBETWEEN(0,5)+2))-0.5</f>
        <v>0</v>
      </c>
      <c r="S421" s="51">
        <f ca="1">1+MAX(0,Tabla2[[#This Row],[Deuda actual]]/Tabla2[[#This Row],[Liquidez]]+Tabla2[[#This Row],[Liquidez]]/(Tabla2[[#This Row],[Activos]]+Tabla2[[#This Row],[Liquidez]])+Tabla2[[#This Row],[Comunicación]])</f>
        <v>2.2056765957170592</v>
      </c>
      <c r="T421">
        <f ca="1">Tabla2[[#This Row],[Deuda actual]]*EXP(Tabla2[[#This Row],[Ki]]*Tabla2[[#This Row],[diferencia de días]])*(1+Tabla2[[#This Row],[Hg]])</f>
        <v>1458.9256607865127</v>
      </c>
    </row>
    <row r="422" spans="1:20" ht="14.5" x14ac:dyDescent="0.35">
      <c r="A422" t="e">
        <f t="shared" si="66"/>
        <v>#VALUE!</v>
      </c>
      <c r="B422" s="21">
        <f t="shared" ca="1" si="67"/>
        <v>46141</v>
      </c>
      <c r="C422" s="21">
        <f t="shared" ca="1" si="68"/>
        <v>46157</v>
      </c>
      <c r="D422">
        <f t="shared" ca="1" si="69"/>
        <v>15</v>
      </c>
      <c r="E422">
        <f t="shared" ca="1" si="70"/>
        <v>0.1063920319122742</v>
      </c>
      <c r="F422" s="47">
        <f t="shared" ca="1" si="71"/>
        <v>90.63</v>
      </c>
      <c r="G422" s="32" t="str">
        <f t="shared" ca="1" si="72"/>
        <v>hipotecario</v>
      </c>
      <c r="H42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22" t="str">
        <f t="shared" ca="1" si="73"/>
        <v>No</v>
      </c>
      <c r="J42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165000.77162528806</v>
      </c>
      <c r="K422" s="32" t="str">
        <f ca="1">IF(Tabla2[[#This Row],[¿cliente deuda abierta?]]="Sí", Tabla2[[#This Row],[Deuda actual]]*Tabla2[[#This Row],[diferencia de días]], "0")</f>
        <v>0</v>
      </c>
      <c r="L42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2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42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422">
        <f t="shared" ca="1" si="74"/>
        <v>1268.8599999999999</v>
      </c>
      <c r="P422">
        <f t="shared" ca="1" si="75"/>
        <v>104749.37</v>
      </c>
      <c r="Q422">
        <f t="shared" ca="1" si="76"/>
        <v>4</v>
      </c>
      <c r="R422">
        <f ca="1">((Tabla2[[#This Row],[Fantasma Comunicación]]+1)/(Tabla2[[#This Row],[Fantasma Comunicación]]+RANDBETWEEN(0,5)+2))-0.5</f>
        <v>5.555555555555558E-2</v>
      </c>
      <c r="S422" s="51">
        <f ca="1">1+MAX(0,Tabla2[[#This Row],[Deuda actual]]/Tabla2[[#This Row],[Liquidez]]+Tabla2[[#This Row],[Liquidez]]/(Tabla2[[#This Row],[Activos]]+Tabla2[[#This Row],[Liquidez]])+Tabla2[[#This Row],[Comunicación]])</f>
        <v>1.1389501942775291</v>
      </c>
      <c r="T422">
        <f ca="1">Tabla2[[#This Row],[Deuda actual]]*EXP(Tabla2[[#This Row],[Ki]]*Tabla2[[#This Row],[diferencia de días]])*(1+Tabla2[[#This Row],[Hg]])</f>
        <v>72.940331686063914</v>
      </c>
    </row>
    <row r="423" spans="1:20" ht="14.5" x14ac:dyDescent="0.35">
      <c r="A423" t="e">
        <f t="shared" si="66"/>
        <v>#VALUE!</v>
      </c>
      <c r="B423" s="21">
        <f t="shared" ca="1" si="67"/>
        <v>46126</v>
      </c>
      <c r="C423" s="21">
        <f t="shared" ca="1" si="68"/>
        <v>46157</v>
      </c>
      <c r="D423">
        <f t="shared" ca="1" si="69"/>
        <v>7</v>
      </c>
      <c r="E423">
        <f t="shared" ca="1" si="70"/>
        <v>0.59686477070937161</v>
      </c>
      <c r="F423" s="47">
        <f t="shared" ca="1" si="71"/>
        <v>286.95</v>
      </c>
      <c r="G423" s="32" t="str">
        <f t="shared" ca="1" si="72"/>
        <v>hipotecario</v>
      </c>
      <c r="H42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23" t="str">
        <f t="shared" ca="1" si="73"/>
        <v>Sí</v>
      </c>
      <c r="J42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23" s="32">
        <f ca="1">IF(Tabla2[[#This Row],[¿cliente deuda abierta?]]="Sí", Tabla2[[#This Row],[Deuda actual]]*Tabla2[[#This Row],[diferencia de días]], "0")</f>
        <v>2008.6499999999999</v>
      </c>
      <c r="L42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2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2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23">
        <f t="shared" ca="1" si="74"/>
        <v>1906.92</v>
      </c>
      <c r="P423">
        <f t="shared" ca="1" si="75"/>
        <v>38428.800000000003</v>
      </c>
      <c r="Q423">
        <f t="shared" ca="1" si="76"/>
        <v>5</v>
      </c>
      <c r="R423">
        <f ca="1">((Tabla2[[#This Row],[Fantasma Comunicación]]+1)/(Tabla2[[#This Row],[Fantasma Comunicación]]+RANDBETWEEN(0,5)+2))-0.5</f>
        <v>4.5454545454545414E-2</v>
      </c>
      <c r="S423" s="51">
        <f ca="1">1+MAX(0,Tabla2[[#This Row],[Deuda actual]]/Tabla2[[#This Row],[Liquidez]]+Tabla2[[#This Row],[Liquidez]]/(Tabla2[[#This Row],[Activos]]+Tabla2[[#This Row],[Liquidez]])+Tabla2[[#This Row],[Comunicación]])</f>
        <v>1.2432090143511456</v>
      </c>
      <c r="T423">
        <f ca="1">Tabla2[[#This Row],[Deuda actual]]*EXP(Tabla2[[#This Row],[Ki]]*Tabla2[[#This Row],[diferencia de días]])*(1+Tabla2[[#This Row],[Hg]])</f>
        <v>301.71961190939169</v>
      </c>
    </row>
    <row r="424" spans="1:20" ht="14.5" x14ac:dyDescent="0.35">
      <c r="A424" t="e">
        <f t="shared" si="66"/>
        <v>#VALUE!</v>
      </c>
      <c r="B424" s="21">
        <f t="shared" ca="1" si="67"/>
        <v>46123</v>
      </c>
      <c r="C424" s="21">
        <f t="shared" ca="1" si="68"/>
        <v>46157</v>
      </c>
      <c r="D424">
        <f t="shared" ca="1" si="69"/>
        <v>19</v>
      </c>
      <c r="E424">
        <f t="shared" ca="1" si="70"/>
        <v>0.96234088858303912</v>
      </c>
      <c r="F424" s="47">
        <f t="shared" ca="1" si="71"/>
        <v>82.31</v>
      </c>
      <c r="G424" s="32" t="str">
        <f t="shared" ca="1" si="72"/>
        <v>personal</v>
      </c>
      <c r="H42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24" t="str">
        <f t="shared" ca="1" si="73"/>
        <v>Sí</v>
      </c>
      <c r="J42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24" s="32">
        <f ca="1">IF(Tabla2[[#This Row],[¿cliente deuda abierta?]]="Sí", Tabla2[[#This Row],[Deuda actual]]*Tabla2[[#This Row],[diferencia de días]], "0")</f>
        <v>1563.89</v>
      </c>
      <c r="L42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2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2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24">
        <f t="shared" ca="1" si="74"/>
        <v>1035.51</v>
      </c>
      <c r="P424">
        <f t="shared" ca="1" si="75"/>
        <v>87804.33</v>
      </c>
      <c r="Q424">
        <f t="shared" ca="1" si="76"/>
        <v>3</v>
      </c>
      <c r="R424">
        <f ca="1">((Tabla2[[#This Row],[Fantasma Comunicación]]+1)/(Tabla2[[#This Row],[Fantasma Comunicación]]+RANDBETWEEN(0,5)+2))-0.5</f>
        <v>0.30000000000000004</v>
      </c>
      <c r="S424" s="51">
        <f ca="1">1+MAX(0,Tabla2[[#This Row],[Deuda actual]]/Tabla2[[#This Row],[Liquidez]]+Tabla2[[#This Row],[Liquidez]]/(Tabla2[[#This Row],[Activos]]+Tabla2[[#This Row],[Liquidez]])+Tabla2[[#This Row],[Comunicación]])</f>
        <v>1.3911433215790416</v>
      </c>
      <c r="T424">
        <f ca="1">Tabla2[[#This Row],[Deuda actual]]*EXP(Tabla2[[#This Row],[Ki]]*Tabla2[[#This Row],[diferencia de días]])*(1+Tabla2[[#This Row],[Hg]])</f>
        <v>87.084836103592281</v>
      </c>
    </row>
    <row r="425" spans="1:20" ht="14.5" x14ac:dyDescent="0.35">
      <c r="A425" t="e">
        <f t="shared" si="66"/>
        <v>#VALUE!</v>
      </c>
      <c r="B425" s="21">
        <f t="shared" ca="1" si="67"/>
        <v>46091</v>
      </c>
      <c r="C425" s="21">
        <f t="shared" ca="1" si="68"/>
        <v>46157</v>
      </c>
      <c r="D425">
        <f t="shared" ca="1" si="69"/>
        <v>14</v>
      </c>
      <c r="E425">
        <f t="shared" ca="1" si="70"/>
        <v>0.5605109224677739</v>
      </c>
      <c r="F425" s="47">
        <f t="shared" ca="1" si="71"/>
        <v>1292.53</v>
      </c>
      <c r="G425" s="32" t="str">
        <f t="shared" ca="1" si="72"/>
        <v>hipotecario</v>
      </c>
      <c r="H42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25" t="str">
        <f t="shared" ca="1" si="73"/>
        <v>Sí</v>
      </c>
      <c r="J42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25" s="32">
        <f ca="1">IF(Tabla2[[#This Row],[¿cliente deuda abierta?]]="Sí", Tabla2[[#This Row],[Deuda actual]]*Tabla2[[#This Row],[diferencia de días]], "0")</f>
        <v>18095.419999999998</v>
      </c>
      <c r="L42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2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2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25">
        <f t="shared" ca="1" si="74"/>
        <v>1239.92</v>
      </c>
      <c r="P425">
        <f t="shared" ca="1" si="75"/>
        <v>25099.48</v>
      </c>
      <c r="Q425">
        <f t="shared" ca="1" si="76"/>
        <v>0</v>
      </c>
      <c r="R425">
        <f ca="1">((Tabla2[[#This Row],[Fantasma Comunicación]]+1)/(Tabla2[[#This Row],[Fantasma Comunicación]]+RANDBETWEEN(0,5)+2))-0.5</f>
        <v>-0.25</v>
      </c>
      <c r="S425" s="51">
        <f ca="1">1+MAX(0,Tabla2[[#This Row],[Deuda actual]]/Tabla2[[#This Row],[Liquidez]]+Tabla2[[#This Row],[Liquidez]]/(Tabla2[[#This Row],[Activos]]+Tabla2[[#This Row],[Liquidez]])+Tabla2[[#This Row],[Comunicación]])</f>
        <v>1.8395048813414359</v>
      </c>
      <c r="T425">
        <f ca="1">Tabla2[[#This Row],[Deuda actual]]*EXP(Tabla2[[#This Row],[Ki]]*Tabla2[[#This Row],[diferencia de días]])*(1+Tabla2[[#This Row],[Hg]])</f>
        <v>1360.961863222341</v>
      </c>
    </row>
    <row r="426" spans="1:20" ht="14.5" x14ac:dyDescent="0.35">
      <c r="A426" t="e">
        <f t="shared" si="66"/>
        <v>#VALUE!</v>
      </c>
      <c r="B426" s="21">
        <f t="shared" ca="1" si="67"/>
        <v>46133</v>
      </c>
      <c r="C426" s="21">
        <f t="shared" ca="1" si="68"/>
        <v>46157</v>
      </c>
      <c r="D426">
        <f t="shared" ca="1" si="69"/>
        <v>15</v>
      </c>
      <c r="E426">
        <f t="shared" ca="1" si="70"/>
        <v>0.87578369703386683</v>
      </c>
      <c r="F426" s="47">
        <f t="shared" ca="1" si="71"/>
        <v>9440.26</v>
      </c>
      <c r="G426" s="32" t="str">
        <f t="shared" ca="1" si="72"/>
        <v>hipotecario</v>
      </c>
      <c r="H42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26" t="str">
        <f t="shared" ca="1" si="73"/>
        <v>No</v>
      </c>
      <c r="J42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164999.29307126548</v>
      </c>
      <c r="K426" s="32" t="str">
        <f ca="1">IF(Tabla2[[#This Row],[¿cliente deuda abierta?]]="Sí", Tabla2[[#This Row],[Deuda actual]]*Tabla2[[#This Row],[diferencia de días]], "0")</f>
        <v>0</v>
      </c>
      <c r="L42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2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42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426">
        <f t="shared" ca="1" si="74"/>
        <v>1923.54</v>
      </c>
      <c r="P426">
        <f t="shared" ca="1" si="75"/>
        <v>52747.61</v>
      </c>
      <c r="Q426">
        <f t="shared" ca="1" si="76"/>
        <v>0</v>
      </c>
      <c r="R426">
        <f ca="1">((Tabla2[[#This Row],[Fantasma Comunicación]]+1)/(Tabla2[[#This Row],[Fantasma Comunicación]]+RANDBETWEEN(0,5)+2))-0.5</f>
        <v>-0.3</v>
      </c>
      <c r="S426" s="51">
        <f ca="1">1+MAX(0,Tabla2[[#This Row],[Deuda actual]]/Tabla2[[#This Row],[Liquidez]]+Tabla2[[#This Row],[Liquidez]]/(Tabla2[[#This Row],[Activos]]+Tabla2[[#This Row],[Liquidez]])+Tabla2[[#This Row],[Comunicación]])</f>
        <v>5.6429372347927691</v>
      </c>
      <c r="T426">
        <f ca="1">Tabla2[[#This Row],[Deuda actual]]*EXP(Tabla2[[#This Row],[Ki]]*Tabla2[[#This Row],[diferencia de días]])*(1+Tabla2[[#This Row],[Hg]])</f>
        <v>7597.6574600317981</v>
      </c>
    </row>
    <row r="427" spans="1:20" ht="14.5" x14ac:dyDescent="0.35">
      <c r="A427" t="e">
        <f t="shared" si="66"/>
        <v>#VALUE!</v>
      </c>
      <c r="B427" s="21">
        <f t="shared" ca="1" si="67"/>
        <v>46083</v>
      </c>
      <c r="C427" s="21">
        <f t="shared" ca="1" si="68"/>
        <v>46157</v>
      </c>
      <c r="D427">
        <f t="shared" ca="1" si="69"/>
        <v>3</v>
      </c>
      <c r="E427">
        <f t="shared" ca="1" si="70"/>
        <v>0.93599915711930792</v>
      </c>
      <c r="F427" s="47">
        <f t="shared" ca="1" si="71"/>
        <v>1285.57</v>
      </c>
      <c r="G427" s="32" t="str">
        <f t="shared" ca="1" si="72"/>
        <v>hipotecario</v>
      </c>
      <c r="H42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27" t="str">
        <f t="shared" ca="1" si="73"/>
        <v>Sí</v>
      </c>
      <c r="J42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27" s="32">
        <f ca="1">IF(Tabla2[[#This Row],[¿cliente deuda abierta?]]="Sí", Tabla2[[#This Row],[Deuda actual]]*Tabla2[[#This Row],[diferencia de días]], "0")</f>
        <v>3856.71</v>
      </c>
      <c r="L42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2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2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27">
        <f t="shared" ca="1" si="74"/>
        <v>1598.64</v>
      </c>
      <c r="P427">
        <f t="shared" ca="1" si="75"/>
        <v>213360.31</v>
      </c>
      <c r="Q427">
        <f t="shared" ca="1" si="76"/>
        <v>4</v>
      </c>
      <c r="R427">
        <f ca="1">((Tabla2[[#This Row],[Fantasma Comunicación]]+1)/(Tabla2[[#This Row],[Fantasma Comunicación]]+RANDBETWEEN(0,5)+2))-0.5</f>
        <v>5.555555555555558E-2</v>
      </c>
      <c r="S427" s="51">
        <f ca="1">1+MAX(0,Tabla2[[#This Row],[Deuda actual]]/Tabla2[[#This Row],[Liquidez]]+Tabla2[[#This Row],[Liquidez]]/(Tabla2[[#This Row],[Activos]]+Tabla2[[#This Row],[Liquidez]])+Tabla2[[#This Row],[Comunicación]])</f>
        <v>1.867157300450351</v>
      </c>
      <c r="T427">
        <f ca="1">Tabla2[[#This Row],[Deuda actual]]*EXP(Tabla2[[#This Row],[Ki]]*Tabla2[[#This Row],[diferencia de días]])*(1+Tabla2[[#This Row],[Hg]])</f>
        <v>1350.6586521213319</v>
      </c>
    </row>
    <row r="428" spans="1:20" ht="14.5" x14ac:dyDescent="0.35">
      <c r="A428" t="e">
        <f t="shared" si="66"/>
        <v>#VALUE!</v>
      </c>
      <c r="B428" s="21">
        <f t="shared" ca="1" si="67"/>
        <v>46131</v>
      </c>
      <c r="C428" s="21">
        <f t="shared" ca="1" si="68"/>
        <v>46157</v>
      </c>
      <c r="D428">
        <f t="shared" ca="1" si="69"/>
        <v>23</v>
      </c>
      <c r="E428">
        <f t="shared" ca="1" si="70"/>
        <v>0.59739925239638247</v>
      </c>
      <c r="F428" s="47">
        <f t="shared" ca="1" si="71"/>
        <v>148.85</v>
      </c>
      <c r="G428" s="32" t="str">
        <f t="shared" ca="1" si="72"/>
        <v>hipotecario</v>
      </c>
      <c r="H42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28" t="str">
        <f t="shared" ca="1" si="73"/>
        <v>Sí</v>
      </c>
      <c r="J42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28" s="32">
        <f ca="1">IF(Tabla2[[#This Row],[¿cliente deuda abierta?]]="Sí", Tabla2[[#This Row],[Deuda actual]]*Tabla2[[#This Row],[diferencia de días]], "0")</f>
        <v>3423.5499999999997</v>
      </c>
      <c r="L42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2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2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28">
        <f t="shared" ca="1" si="74"/>
        <v>1732.42</v>
      </c>
      <c r="P428">
        <f t="shared" ca="1" si="75"/>
        <v>90557.16</v>
      </c>
      <c r="Q428">
        <f t="shared" ca="1" si="76"/>
        <v>2</v>
      </c>
      <c r="R428">
        <f ca="1">((Tabla2[[#This Row],[Fantasma Comunicación]]+1)/(Tabla2[[#This Row],[Fantasma Comunicación]]+RANDBETWEEN(0,5)+2))-0.5</f>
        <v>-0.16666666666666669</v>
      </c>
      <c r="S428" s="51">
        <f ca="1">1+MAX(0,Tabla2[[#This Row],[Deuda actual]]/Tabla2[[#This Row],[Liquidez]]+Tabla2[[#This Row],[Liquidez]]/(Tabla2[[#This Row],[Activos]]+Tabla2[[#This Row],[Liquidez]])+Tabla2[[#This Row],[Comunicación]])</f>
        <v>1</v>
      </c>
      <c r="T428">
        <f ca="1">Tabla2[[#This Row],[Deuda actual]]*EXP(Tabla2[[#This Row],[Ki]]*Tabla2[[#This Row],[diferencia de días]])*(1+Tabla2[[#This Row],[Hg]])</f>
        <v>157.73702562918788</v>
      </c>
    </row>
    <row r="429" spans="1:20" ht="14.5" x14ac:dyDescent="0.35">
      <c r="A429" t="e">
        <f t="shared" si="66"/>
        <v>#VALUE!</v>
      </c>
      <c r="B429" s="21">
        <f t="shared" ca="1" si="67"/>
        <v>46120</v>
      </c>
      <c r="C429" s="21">
        <f t="shared" ca="1" si="68"/>
        <v>46157</v>
      </c>
      <c r="D429">
        <f t="shared" ca="1" si="69"/>
        <v>15</v>
      </c>
      <c r="E429">
        <f t="shared" ca="1" si="70"/>
        <v>0.29730866238050546</v>
      </c>
      <c r="F429" s="47">
        <f t="shared" ca="1" si="71"/>
        <v>1802.62</v>
      </c>
      <c r="G429" s="32" t="str">
        <f t="shared" ca="1" si="72"/>
        <v>personal</v>
      </c>
      <c r="H42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29" t="str">
        <f t="shared" ca="1" si="73"/>
        <v>No</v>
      </c>
      <c r="J42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12001.53144155952</v>
      </c>
      <c r="K429" s="32" t="str">
        <f ca="1">IF(Tabla2[[#This Row],[¿cliente deuda abierta?]]="Sí", Tabla2[[#This Row],[Deuda actual]]*Tabla2[[#This Row],[diferencia de días]], "0")</f>
        <v>0</v>
      </c>
      <c r="L42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2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42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429">
        <f t="shared" ca="1" si="74"/>
        <v>1573.57</v>
      </c>
      <c r="P429">
        <f t="shared" ca="1" si="75"/>
        <v>146124.46</v>
      </c>
      <c r="Q429">
        <f t="shared" ca="1" si="76"/>
        <v>5</v>
      </c>
      <c r="R429">
        <f ca="1">((Tabla2[[#This Row],[Fantasma Comunicación]]+1)/(Tabla2[[#This Row],[Fantasma Comunicación]]+RANDBETWEEN(0,5)+2))-0.5</f>
        <v>0.16666666666666663</v>
      </c>
      <c r="S429" s="51">
        <f ca="1">1+MAX(0,Tabla2[[#This Row],[Deuda actual]]/Tabla2[[#This Row],[Liquidez]]+Tabla2[[#This Row],[Liquidez]]/(Tabla2[[#This Row],[Activos]]+Tabla2[[#This Row],[Liquidez]])+Tabla2[[#This Row],[Comunicación]])</f>
        <v>2.3228813654199203</v>
      </c>
      <c r="T429">
        <f ca="1">Tabla2[[#This Row],[Deuda actual]]*EXP(Tabla2[[#This Row],[Ki]]*Tabla2[[#This Row],[diferencia de días]])*(1+Tabla2[[#This Row],[Hg]])</f>
        <v>1632.1214089366006</v>
      </c>
    </row>
    <row r="430" spans="1:20" ht="14.5" x14ac:dyDescent="0.35">
      <c r="A430" t="e">
        <f t="shared" si="66"/>
        <v>#VALUE!</v>
      </c>
      <c r="B430" s="21">
        <f t="shared" ca="1" si="67"/>
        <v>46140</v>
      </c>
      <c r="C430" s="21">
        <f t="shared" ca="1" si="68"/>
        <v>46157</v>
      </c>
      <c r="D430">
        <f t="shared" ca="1" si="69"/>
        <v>1</v>
      </c>
      <c r="E430">
        <f t="shared" ca="1" si="70"/>
        <v>0.67210263715572927</v>
      </c>
      <c r="F430" s="47">
        <f t="shared" ca="1" si="71"/>
        <v>9047.48</v>
      </c>
      <c r="G430" s="32" t="str">
        <f t="shared" ca="1" si="72"/>
        <v>personal</v>
      </c>
      <c r="H43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30" t="str">
        <f t="shared" ca="1" si="73"/>
        <v>Sí</v>
      </c>
      <c r="J43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30" s="32">
        <f ca="1">IF(Tabla2[[#This Row],[¿cliente deuda abierta?]]="Sí", Tabla2[[#This Row],[Deuda actual]]*Tabla2[[#This Row],[diferencia de días]], "0")</f>
        <v>9047.48</v>
      </c>
      <c r="L43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3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3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30">
        <f t="shared" ca="1" si="74"/>
        <v>1720.99</v>
      </c>
      <c r="P430">
        <f t="shared" ca="1" si="75"/>
        <v>86334.01</v>
      </c>
      <c r="Q430">
        <f t="shared" ca="1" si="76"/>
        <v>2</v>
      </c>
      <c r="R430">
        <f ca="1">((Tabla2[[#This Row],[Fantasma Comunicación]]+1)/(Tabla2[[#This Row],[Fantasma Comunicación]]+RANDBETWEEN(0,5)+2))-0.5</f>
        <v>9.9999999999999978E-2</v>
      </c>
      <c r="S430" s="51">
        <f ca="1">1+MAX(0,Tabla2[[#This Row],[Deuda actual]]/Tabla2[[#This Row],[Liquidez]]+Tabla2[[#This Row],[Liquidez]]/(Tabla2[[#This Row],[Activos]]+Tabla2[[#This Row],[Liquidez]])+Tabla2[[#This Row],[Comunicación]])</f>
        <v>6.3766813697561258</v>
      </c>
      <c r="T430">
        <f ca="1">Tabla2[[#This Row],[Deuda actual]]*EXP(Tabla2[[#This Row],[Ki]]*Tabla2[[#This Row],[diferencia de días]])*(1+Tabla2[[#This Row],[Hg]])</f>
        <v>9501.7541608097472</v>
      </c>
    </row>
    <row r="431" spans="1:20" ht="14.5" x14ac:dyDescent="0.35">
      <c r="A431" t="e">
        <f t="shared" si="66"/>
        <v>#VALUE!</v>
      </c>
      <c r="B431" s="21">
        <f t="shared" ca="1" si="67"/>
        <v>46134</v>
      </c>
      <c r="C431" s="21">
        <f t="shared" ca="1" si="68"/>
        <v>46157</v>
      </c>
      <c r="D431">
        <f t="shared" ca="1" si="69"/>
        <v>19</v>
      </c>
      <c r="E431">
        <f t="shared" ca="1" si="70"/>
        <v>0.90969329634441232</v>
      </c>
      <c r="F431" s="47">
        <f t="shared" ca="1" si="71"/>
        <v>2272.19</v>
      </c>
      <c r="G431" s="32" t="str">
        <f t="shared" ca="1" si="72"/>
        <v>personal</v>
      </c>
      <c r="H43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31" t="str">
        <f t="shared" ca="1" si="73"/>
        <v>Sí</v>
      </c>
      <c r="J43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31" s="32">
        <f ca="1">IF(Tabla2[[#This Row],[¿cliente deuda abierta?]]="Sí", Tabla2[[#This Row],[Deuda actual]]*Tabla2[[#This Row],[diferencia de días]], "0")</f>
        <v>43171.61</v>
      </c>
      <c r="L43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43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31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431">
        <f t="shared" ca="1" si="74"/>
        <v>1895.22</v>
      </c>
      <c r="P431">
        <f t="shared" ca="1" si="75"/>
        <v>184424.82</v>
      </c>
      <c r="Q431">
        <f t="shared" ca="1" si="76"/>
        <v>3</v>
      </c>
      <c r="R431">
        <f ca="1">((Tabla2[[#This Row],[Fantasma Comunicación]]+1)/(Tabla2[[#This Row],[Fantasma Comunicación]]+RANDBETWEEN(0,5)+2))-0.5</f>
        <v>0.16666666666666663</v>
      </c>
      <c r="S431" s="51">
        <f ca="1">1+MAX(0,Tabla2[[#This Row],[Deuda actual]]/Tabla2[[#This Row],[Liquidez]]+Tabla2[[#This Row],[Liquidez]]/(Tabla2[[#This Row],[Activos]]+Tabla2[[#This Row],[Liquidez]])+Tabla2[[#This Row],[Comunicación]])</f>
        <v>2.3757441872998277</v>
      </c>
      <c r="T431">
        <f ca="1">Tabla2[[#This Row],[Deuda actual]]*EXP(Tabla2[[#This Row],[Ki]]*Tabla2[[#This Row],[diferencia de días]])*(1+Tabla2[[#This Row],[Hg]])</f>
        <v>2518.4768745433175</v>
      </c>
    </row>
    <row r="432" spans="1:20" ht="14.5" x14ac:dyDescent="0.35">
      <c r="A432" t="e">
        <f t="shared" si="66"/>
        <v>#VALUE!</v>
      </c>
      <c r="B432" s="21">
        <f t="shared" ca="1" si="67"/>
        <v>46125</v>
      </c>
      <c r="C432" s="21">
        <f t="shared" ca="1" si="68"/>
        <v>46157</v>
      </c>
      <c r="D432">
        <f t="shared" ca="1" si="69"/>
        <v>17</v>
      </c>
      <c r="E432">
        <f t="shared" ca="1" si="70"/>
        <v>0.95911282370601569</v>
      </c>
      <c r="F432" s="47">
        <f t="shared" ca="1" si="71"/>
        <v>1980.91</v>
      </c>
      <c r="G432" s="32" t="str">
        <f t="shared" ca="1" si="72"/>
        <v>hipotecario</v>
      </c>
      <c r="H43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32" t="str">
        <f t="shared" ca="1" si="73"/>
        <v>Sí</v>
      </c>
      <c r="J43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32" s="32">
        <f ca="1">IF(Tabla2[[#This Row],[¿cliente deuda abierta?]]="Sí", Tabla2[[#This Row],[Deuda actual]]*Tabla2[[#This Row],[diferencia de días]], "0")</f>
        <v>33675.47</v>
      </c>
      <c r="L43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43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32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432">
        <f t="shared" ca="1" si="74"/>
        <v>1714.38</v>
      </c>
      <c r="P432">
        <f t="shared" ca="1" si="75"/>
        <v>189644.49</v>
      </c>
      <c r="Q432">
        <f t="shared" ca="1" si="76"/>
        <v>0</v>
      </c>
      <c r="R432">
        <f ca="1">((Tabla2[[#This Row],[Fantasma Comunicación]]+1)/(Tabla2[[#This Row],[Fantasma Comunicación]]+RANDBETWEEN(0,5)+2))-0.5</f>
        <v>-0.3</v>
      </c>
      <c r="S432" s="51">
        <f ca="1">1+MAX(0,Tabla2[[#This Row],[Deuda actual]]/Tabla2[[#This Row],[Liquidez]]+Tabla2[[#This Row],[Liquidez]]/(Tabla2[[#This Row],[Activos]]+Tabla2[[#This Row],[Liquidez]])+Tabla2[[#This Row],[Comunicación]])</f>
        <v>1.8644262611217397</v>
      </c>
      <c r="T432">
        <f ca="1">Tabla2[[#This Row],[Deuda actual]]*EXP(Tabla2[[#This Row],[Ki]]*Tabla2[[#This Row],[diferencia de días]])*(1+Tabla2[[#This Row],[Hg]])</f>
        <v>2193.8686996887836</v>
      </c>
    </row>
    <row r="433" spans="1:20" ht="14.5" x14ac:dyDescent="0.35">
      <c r="A433" t="e">
        <f t="shared" si="66"/>
        <v>#VALUE!</v>
      </c>
      <c r="B433" s="21">
        <f t="shared" ca="1" si="67"/>
        <v>46118</v>
      </c>
      <c r="C433" s="21">
        <f t="shared" ca="1" si="68"/>
        <v>46157</v>
      </c>
      <c r="D433">
        <f t="shared" ca="1" si="69"/>
        <v>88</v>
      </c>
      <c r="E433">
        <f t="shared" ca="1" si="70"/>
        <v>0.83968552124473994</v>
      </c>
      <c r="F433" s="47">
        <f t="shared" ca="1" si="71"/>
        <v>576.91999999999996</v>
      </c>
      <c r="G433" s="32" t="str">
        <f t="shared" ca="1" si="72"/>
        <v>hipotecario</v>
      </c>
      <c r="H43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433" t="str">
        <f t="shared" ca="1" si="73"/>
        <v>Sí</v>
      </c>
      <c r="J43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33" s="32">
        <f ca="1">IF(Tabla2[[#This Row],[¿cliente deuda abierta?]]="Sí", Tabla2[[#This Row],[Deuda actual]]*Tabla2[[#This Row],[diferencia de días]], "0")</f>
        <v>50768.959999999999</v>
      </c>
      <c r="L43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43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33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433">
        <f t="shared" ca="1" si="74"/>
        <v>1873.51</v>
      </c>
      <c r="P433">
        <f t="shared" ca="1" si="75"/>
        <v>113223.31</v>
      </c>
      <c r="Q433">
        <f t="shared" ca="1" si="76"/>
        <v>3</v>
      </c>
      <c r="R433">
        <f ca="1">((Tabla2[[#This Row],[Fantasma Comunicación]]+1)/(Tabla2[[#This Row],[Fantasma Comunicación]]+RANDBETWEEN(0,5)+2))-0.5</f>
        <v>7.1428571428571397E-2</v>
      </c>
      <c r="S433" s="51">
        <f ca="1">1+MAX(0,Tabla2[[#This Row],[Deuda actual]]/Tabla2[[#This Row],[Liquidez]]+Tabla2[[#This Row],[Liquidez]]/(Tabla2[[#This Row],[Activos]]+Tabla2[[#This Row],[Liquidez]])+Tabla2[[#This Row],[Comunicación]])</f>
        <v>1.3956416309787878</v>
      </c>
      <c r="T433">
        <f ca="1">Tabla2[[#This Row],[Deuda actual]]*EXP(Tabla2[[#This Row],[Ki]]*Tabla2[[#This Row],[diferencia de días]])*(1+Tabla2[[#This Row],[Hg]])</f>
        <v>692.98876609655849</v>
      </c>
    </row>
    <row r="434" spans="1:20" ht="14.5" x14ac:dyDescent="0.35">
      <c r="A434" t="e">
        <f t="shared" si="66"/>
        <v>#VALUE!</v>
      </c>
      <c r="B434" s="21">
        <f t="shared" ca="1" si="67"/>
        <v>46117</v>
      </c>
      <c r="C434" s="21">
        <f t="shared" ca="1" si="68"/>
        <v>46157</v>
      </c>
      <c r="D434">
        <f t="shared" ca="1" si="69"/>
        <v>16</v>
      </c>
      <c r="E434">
        <f t="shared" ca="1" si="70"/>
        <v>0.7207783080251936</v>
      </c>
      <c r="F434" s="47">
        <f t="shared" ca="1" si="71"/>
        <v>376.29</v>
      </c>
      <c r="G434" s="32" t="str">
        <f t="shared" ca="1" si="72"/>
        <v>hipotecario</v>
      </c>
      <c r="H43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34" t="str">
        <f t="shared" ca="1" si="73"/>
        <v>No</v>
      </c>
      <c r="J43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164999.74895841861</v>
      </c>
      <c r="K434" s="32" t="str">
        <f ca="1">IF(Tabla2[[#This Row],[¿cliente deuda abierta?]]="Sí", Tabla2[[#This Row],[Deuda actual]]*Tabla2[[#This Row],[diferencia de días]], "0")</f>
        <v>0</v>
      </c>
      <c r="L43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3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43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434">
        <f t="shared" ca="1" si="74"/>
        <v>1520.42</v>
      </c>
      <c r="P434">
        <f t="shared" ca="1" si="75"/>
        <v>459597.18</v>
      </c>
      <c r="Q434">
        <f t="shared" ca="1" si="76"/>
        <v>3</v>
      </c>
      <c r="R434">
        <f ca="1">((Tabla2[[#This Row],[Fantasma Comunicación]]+1)/(Tabla2[[#This Row],[Fantasma Comunicación]]+RANDBETWEEN(0,5)+2))-0.5</f>
        <v>-9.9999999999999978E-2</v>
      </c>
      <c r="S434" s="51">
        <f ca="1">1+MAX(0,Tabla2[[#This Row],[Deuda actual]]/Tabla2[[#This Row],[Liquidez]]+Tabla2[[#This Row],[Liquidez]]/(Tabla2[[#This Row],[Activos]]+Tabla2[[#This Row],[Liquidez]])+Tabla2[[#This Row],[Comunicación]])</f>
        <v>1.150788074889332</v>
      </c>
      <c r="T434">
        <f ca="1">Tabla2[[#This Row],[Deuda actual]]*EXP(Tabla2[[#This Row],[Ki]]*Tabla2[[#This Row],[diferencia de días]])*(1+Tabla2[[#This Row],[Hg]])</f>
        <v>302.96478310871947</v>
      </c>
    </row>
    <row r="435" spans="1:20" ht="14.5" x14ac:dyDescent="0.35">
      <c r="A435" t="e">
        <f t="shared" si="66"/>
        <v>#VALUE!</v>
      </c>
      <c r="B435" s="21">
        <f t="shared" ca="1" si="67"/>
        <v>46090</v>
      </c>
      <c r="C435" s="21">
        <f t="shared" ca="1" si="68"/>
        <v>46157</v>
      </c>
      <c r="D435">
        <f t="shared" ca="1" si="69"/>
        <v>5</v>
      </c>
      <c r="E435">
        <f t="shared" ca="1" si="70"/>
        <v>0.1569712014792437</v>
      </c>
      <c r="F435" s="47">
        <f t="shared" ca="1" si="71"/>
        <v>1219.6099999999999</v>
      </c>
      <c r="G435" s="32" t="str">
        <f t="shared" ca="1" si="72"/>
        <v>hipotecario</v>
      </c>
      <c r="H43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35" t="str">
        <f t="shared" ca="1" si="73"/>
        <v>Sí</v>
      </c>
      <c r="J43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35" s="32">
        <f ca="1">IF(Tabla2[[#This Row],[¿cliente deuda abierta?]]="Sí", Tabla2[[#This Row],[Deuda actual]]*Tabla2[[#This Row],[diferencia de días]], "0")</f>
        <v>6098.0499999999993</v>
      </c>
      <c r="L43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3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3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35">
        <f t="shared" ca="1" si="74"/>
        <v>1124.04</v>
      </c>
      <c r="P435">
        <f t="shared" ca="1" si="75"/>
        <v>99643.48</v>
      </c>
      <c r="Q435">
        <f t="shared" ca="1" si="76"/>
        <v>1</v>
      </c>
      <c r="R435">
        <f ca="1">((Tabla2[[#This Row],[Fantasma Comunicación]]+1)/(Tabla2[[#This Row],[Fantasma Comunicación]]+RANDBETWEEN(0,5)+2))-0.5</f>
        <v>0</v>
      </c>
      <c r="S435" s="51">
        <f ca="1">1+MAX(0,Tabla2[[#This Row],[Deuda actual]]/Tabla2[[#This Row],[Liquidez]]+Tabla2[[#This Row],[Liquidez]]/(Tabla2[[#This Row],[Activos]]+Tabla2[[#This Row],[Liquidez]])+Tabla2[[#This Row],[Comunicación]])</f>
        <v>2.0961784494340048</v>
      </c>
      <c r="T435">
        <f ca="1">Tabla2[[#This Row],[Deuda actual]]*EXP(Tabla2[[#This Row],[Ki]]*Tabla2[[#This Row],[diferencia de días]])*(1+Tabla2[[#This Row],[Hg]])</f>
        <v>1281.8717310087352</v>
      </c>
    </row>
    <row r="436" spans="1:20" ht="14.5" x14ac:dyDescent="0.35">
      <c r="A436" t="e">
        <f t="shared" si="66"/>
        <v>#VALUE!</v>
      </c>
      <c r="B436" s="21">
        <f t="shared" ca="1" si="67"/>
        <v>46131</v>
      </c>
      <c r="C436" s="21">
        <f t="shared" ca="1" si="68"/>
        <v>46157</v>
      </c>
      <c r="D436">
        <f t="shared" ca="1" si="69"/>
        <v>11</v>
      </c>
      <c r="E436">
        <f t="shared" ca="1" si="70"/>
        <v>0.39873214098886489</v>
      </c>
      <c r="F436" s="47">
        <f t="shared" ca="1" si="71"/>
        <v>43.88</v>
      </c>
      <c r="G436" s="32" t="str">
        <f t="shared" ca="1" si="72"/>
        <v>personal</v>
      </c>
      <c r="H43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36" t="str">
        <f t="shared" ca="1" si="73"/>
        <v>Sí</v>
      </c>
      <c r="J43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36" s="32">
        <f ca="1">IF(Tabla2[[#This Row],[¿cliente deuda abierta?]]="Sí", Tabla2[[#This Row],[Deuda actual]]*Tabla2[[#This Row],[diferencia de días]], "0")</f>
        <v>482.68</v>
      </c>
      <c r="L43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3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3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36">
        <f t="shared" ca="1" si="74"/>
        <v>1740.96</v>
      </c>
      <c r="P436">
        <f t="shared" ca="1" si="75"/>
        <v>268643.53000000003</v>
      </c>
      <c r="Q436">
        <f t="shared" ca="1" si="76"/>
        <v>0</v>
      </c>
      <c r="R436">
        <f ca="1">((Tabla2[[#This Row],[Fantasma Comunicación]]+1)/(Tabla2[[#This Row],[Fantasma Comunicación]]+RANDBETWEEN(0,5)+2))-0.5</f>
        <v>-0.16666666666666669</v>
      </c>
      <c r="S436" s="51">
        <f ca="1">1+MAX(0,Tabla2[[#This Row],[Deuda actual]]/Tabla2[[#This Row],[Liquidez]]+Tabla2[[#This Row],[Liquidez]]/(Tabla2[[#This Row],[Activos]]+Tabla2[[#This Row],[Liquidez]])+Tabla2[[#This Row],[Comunicación]])</f>
        <v>1</v>
      </c>
      <c r="T436">
        <f ca="1">Tabla2[[#This Row],[Deuda actual]]*EXP(Tabla2[[#This Row],[Ki]]*Tabla2[[#This Row],[diferencia de días]])*(1+Tabla2[[#This Row],[Hg]])</f>
        <v>46.175474380890989</v>
      </c>
    </row>
    <row r="437" spans="1:20" ht="14.5" x14ac:dyDescent="0.35">
      <c r="A437" t="e">
        <f t="shared" si="66"/>
        <v>#VALUE!</v>
      </c>
      <c r="B437" s="21">
        <f t="shared" ca="1" si="67"/>
        <v>46091</v>
      </c>
      <c r="C437" s="21">
        <f t="shared" ca="1" si="68"/>
        <v>46157</v>
      </c>
      <c r="D437">
        <f t="shared" ca="1" si="69"/>
        <v>19</v>
      </c>
      <c r="E437">
        <f t="shared" ca="1" si="70"/>
        <v>5.983203057646036E-2</v>
      </c>
      <c r="F437" s="47">
        <f t="shared" ca="1" si="71"/>
        <v>165.06</v>
      </c>
      <c r="G437" s="32" t="str">
        <f t="shared" ca="1" si="72"/>
        <v>personal</v>
      </c>
      <c r="H43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37" t="str">
        <f t="shared" ca="1" si="73"/>
        <v>Sí</v>
      </c>
      <c r="J43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37" s="32">
        <f ca="1">IF(Tabla2[[#This Row],[¿cliente deuda abierta?]]="Sí", Tabla2[[#This Row],[Deuda actual]]*Tabla2[[#This Row],[diferencia de días]], "0")</f>
        <v>3136.14</v>
      </c>
      <c r="L43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3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3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37">
        <f t="shared" ca="1" si="74"/>
        <v>1438.65</v>
      </c>
      <c r="P437">
        <f t="shared" ca="1" si="75"/>
        <v>115122.18</v>
      </c>
      <c r="Q437">
        <f t="shared" ca="1" si="76"/>
        <v>4</v>
      </c>
      <c r="R437">
        <f ca="1">((Tabla2[[#This Row],[Fantasma Comunicación]]+1)/(Tabla2[[#This Row],[Fantasma Comunicación]]+RANDBETWEEN(0,5)+2))-0.5</f>
        <v>0.125</v>
      </c>
      <c r="S437" s="51">
        <f ca="1">1+MAX(0,Tabla2[[#This Row],[Deuda actual]]/Tabla2[[#This Row],[Liquidez]]+Tabla2[[#This Row],[Liquidez]]/(Tabla2[[#This Row],[Activos]]+Tabla2[[#This Row],[Liquidez]])+Tabla2[[#This Row],[Comunicación]])</f>
        <v>1.2520750442383983</v>
      </c>
      <c r="T437">
        <f ca="1">Tabla2[[#This Row],[Deuda actual]]*EXP(Tabla2[[#This Row],[Ki]]*Tabla2[[#This Row],[diferencia de días]])*(1+Tabla2[[#This Row],[Hg]])</f>
        <v>174.63519678361004</v>
      </c>
    </row>
    <row r="438" spans="1:20" ht="14.5" x14ac:dyDescent="0.35">
      <c r="A438" t="e">
        <f t="shared" si="66"/>
        <v>#VALUE!</v>
      </c>
      <c r="B438" s="21">
        <f t="shared" ca="1" si="67"/>
        <v>46087</v>
      </c>
      <c r="C438" s="21">
        <f t="shared" ca="1" si="68"/>
        <v>46157</v>
      </c>
      <c r="D438">
        <f t="shared" ca="1" si="69"/>
        <v>5</v>
      </c>
      <c r="E438">
        <f t="shared" ca="1" si="70"/>
        <v>1.4476521233147244E-2</v>
      </c>
      <c r="F438" s="47">
        <f t="shared" ca="1" si="71"/>
        <v>1213.46</v>
      </c>
      <c r="G438" s="32" t="str">
        <f t="shared" ca="1" si="72"/>
        <v>hipotecario</v>
      </c>
      <c r="H43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38" t="str">
        <f t="shared" ca="1" si="73"/>
        <v>Sí</v>
      </c>
      <c r="J43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38" s="32">
        <f ca="1">IF(Tabla2[[#This Row],[¿cliente deuda abierta?]]="Sí", Tabla2[[#This Row],[Deuda actual]]*Tabla2[[#This Row],[diferencia de días]], "0")</f>
        <v>6067.3</v>
      </c>
      <c r="L43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3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3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38">
        <f t="shared" ca="1" si="74"/>
        <v>1726.77</v>
      </c>
      <c r="P438">
        <f t="shared" ca="1" si="75"/>
        <v>319360.02</v>
      </c>
      <c r="Q438">
        <f t="shared" ca="1" si="76"/>
        <v>4</v>
      </c>
      <c r="R438">
        <f ca="1">((Tabla2[[#This Row],[Fantasma Comunicación]]+1)/(Tabla2[[#This Row],[Fantasma Comunicación]]+RANDBETWEEN(0,5)+2))-0.5</f>
        <v>0.2142857142857143</v>
      </c>
      <c r="S438" s="51">
        <f ca="1">1+MAX(0,Tabla2[[#This Row],[Deuda actual]]/Tabla2[[#This Row],[Liquidez]]+Tabla2[[#This Row],[Liquidez]]/(Tabla2[[#This Row],[Activos]]+Tabla2[[#This Row],[Liquidez]])+Tabla2[[#This Row],[Comunicación]])</f>
        <v>1.9223976123049411</v>
      </c>
      <c r="T438">
        <f ca="1">Tabla2[[#This Row],[Deuda actual]]*EXP(Tabla2[[#This Row],[Ki]]*Tabla2[[#This Row],[diferencia de días]])*(1+Tabla2[[#This Row],[Hg]])</f>
        <v>1275.4077702789086</v>
      </c>
    </row>
    <row r="439" spans="1:20" ht="14.5" x14ac:dyDescent="0.35">
      <c r="A439" t="e">
        <f t="shared" si="66"/>
        <v>#VALUE!</v>
      </c>
      <c r="B439" s="21">
        <f t="shared" ca="1" si="67"/>
        <v>46096</v>
      </c>
      <c r="C439" s="21">
        <f t="shared" ca="1" si="68"/>
        <v>46157</v>
      </c>
      <c r="D439">
        <f t="shared" ca="1" si="69"/>
        <v>8</v>
      </c>
      <c r="E439">
        <f t="shared" ca="1" si="70"/>
        <v>0.82288266741426142</v>
      </c>
      <c r="F439" s="47">
        <f t="shared" ca="1" si="71"/>
        <v>8863.2800000000007</v>
      </c>
      <c r="G439" s="32" t="str">
        <f t="shared" ca="1" si="72"/>
        <v>personal</v>
      </c>
      <c r="H43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39" t="str">
        <f t="shared" ca="1" si="73"/>
        <v>No</v>
      </c>
      <c r="J43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11999.016016538846</v>
      </c>
      <c r="K439" s="32" t="str">
        <f ca="1">IF(Tabla2[[#This Row],[¿cliente deuda abierta?]]="Sí", Tabla2[[#This Row],[Deuda actual]]*Tabla2[[#This Row],[diferencia de días]], "0")</f>
        <v>0</v>
      </c>
      <c r="L43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3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43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439">
        <f t="shared" ca="1" si="74"/>
        <v>2313.31</v>
      </c>
      <c r="P439">
        <f t="shared" ca="1" si="75"/>
        <v>165555.16</v>
      </c>
      <c r="Q439">
        <f t="shared" ca="1" si="76"/>
        <v>4</v>
      </c>
      <c r="R439">
        <f ca="1">((Tabla2[[#This Row],[Fantasma Comunicación]]+1)/(Tabla2[[#This Row],[Fantasma Comunicación]]+RANDBETWEEN(0,5)+2))-0.5</f>
        <v>0</v>
      </c>
      <c r="S439" s="51">
        <f ca="1">1+MAX(0,Tabla2[[#This Row],[Deuda actual]]/Tabla2[[#This Row],[Liquidez]]+Tabla2[[#This Row],[Liquidez]]/(Tabla2[[#This Row],[Activos]]+Tabla2[[#This Row],[Liquidez]])+Tabla2[[#This Row],[Comunicación]])</f>
        <v>4.8452081858729619</v>
      </c>
      <c r="T439">
        <f ca="1">Tabla2[[#This Row],[Deuda actual]]*EXP(Tabla2[[#This Row],[Ki]]*Tabla2[[#This Row],[diferencia de días]])*(1+Tabla2[[#This Row],[Hg]])</f>
        <v>7989.7253391463382</v>
      </c>
    </row>
    <row r="440" spans="1:20" ht="14.5" x14ac:dyDescent="0.35">
      <c r="A440" t="e">
        <f t="shared" si="66"/>
        <v>#VALUE!</v>
      </c>
      <c r="B440" s="21">
        <f t="shared" ca="1" si="67"/>
        <v>46116</v>
      </c>
      <c r="C440" s="21">
        <f t="shared" ca="1" si="68"/>
        <v>46157</v>
      </c>
      <c r="D440">
        <f t="shared" ca="1" si="69"/>
        <v>28</v>
      </c>
      <c r="E440">
        <f t="shared" ca="1" si="70"/>
        <v>0.70149924308236367</v>
      </c>
      <c r="F440" s="47">
        <f t="shared" ca="1" si="71"/>
        <v>327.23</v>
      </c>
      <c r="G440" s="32" t="str">
        <f t="shared" ca="1" si="72"/>
        <v>personal</v>
      </c>
      <c r="H44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40" t="str">
        <f t="shared" ca="1" si="73"/>
        <v>No</v>
      </c>
      <c r="J44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12000.223421121713</v>
      </c>
      <c r="K440" s="32" t="str">
        <f ca="1">IF(Tabla2[[#This Row],[¿cliente deuda abierta?]]="Sí", Tabla2[[#This Row],[Deuda actual]]*Tabla2[[#This Row],[diferencia de días]], "0")</f>
        <v>0</v>
      </c>
      <c r="L44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4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44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440">
        <f t="shared" ca="1" si="74"/>
        <v>1663.99</v>
      </c>
      <c r="P440">
        <f t="shared" ca="1" si="75"/>
        <v>177083.34</v>
      </c>
      <c r="Q440">
        <f t="shared" ca="1" si="76"/>
        <v>4</v>
      </c>
      <c r="R440">
        <f ca="1">((Tabla2[[#This Row],[Fantasma Comunicación]]+1)/(Tabla2[[#This Row],[Fantasma Comunicación]]+RANDBETWEEN(0,5)+2))-0.5</f>
        <v>0.33333333333333337</v>
      </c>
      <c r="S440" s="51">
        <f ca="1">1+MAX(0,Tabla2[[#This Row],[Deuda actual]]/Tabla2[[#This Row],[Liquidez]]+Tabla2[[#This Row],[Liquidez]]/(Tabla2[[#This Row],[Activos]]+Tabla2[[#This Row],[Liquidez]])+Tabla2[[#This Row],[Comunicación]])</f>
        <v>1.5392963333947143</v>
      </c>
      <c r="T440">
        <f ca="1">Tabla2[[#This Row],[Deuda actual]]*EXP(Tabla2[[#This Row],[Ki]]*Tabla2[[#This Row],[diferencia de días]])*(1+Tabla2[[#This Row],[Hg]])</f>
        <v>297.8240190327503</v>
      </c>
    </row>
    <row r="441" spans="1:20" ht="14.5" x14ac:dyDescent="0.35">
      <c r="A441" t="e">
        <f t="shared" si="66"/>
        <v>#VALUE!</v>
      </c>
      <c r="B441" s="21">
        <f t="shared" ca="1" si="67"/>
        <v>46136</v>
      </c>
      <c r="C441" s="21">
        <f t="shared" ca="1" si="68"/>
        <v>46157</v>
      </c>
      <c r="D441">
        <f t="shared" ca="1" si="69"/>
        <v>16</v>
      </c>
      <c r="E441">
        <f t="shared" ca="1" si="70"/>
        <v>0.33796332747049629</v>
      </c>
      <c r="F441" s="47">
        <f t="shared" ca="1" si="71"/>
        <v>3975.8</v>
      </c>
      <c r="G441" s="32" t="str">
        <f t="shared" ca="1" si="72"/>
        <v>personal</v>
      </c>
      <c r="H44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41" t="str">
        <f t="shared" ca="1" si="73"/>
        <v>No</v>
      </c>
      <c r="J44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11999.673502201931</v>
      </c>
      <c r="K441" s="32" t="str">
        <f ca="1">IF(Tabla2[[#This Row],[¿cliente deuda abierta?]]="Sí", Tabla2[[#This Row],[Deuda actual]]*Tabla2[[#This Row],[diferencia de días]], "0")</f>
        <v>0</v>
      </c>
      <c r="L44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4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44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441">
        <f t="shared" ca="1" si="74"/>
        <v>1274.79</v>
      </c>
      <c r="P441">
        <f t="shared" ca="1" si="75"/>
        <v>82894.740000000005</v>
      </c>
      <c r="Q441">
        <f t="shared" ca="1" si="76"/>
        <v>0</v>
      </c>
      <c r="R441">
        <f ca="1">((Tabla2[[#This Row],[Fantasma Comunicación]]+1)/(Tabla2[[#This Row],[Fantasma Comunicación]]+RANDBETWEEN(0,5)+2))-0.5</f>
        <v>-0.33333333333333337</v>
      </c>
      <c r="S441" s="51">
        <f ca="1">1+MAX(0,Tabla2[[#This Row],[Deuda actual]]/Tabla2[[#This Row],[Liquidez]]+Tabla2[[#This Row],[Liquidez]]/(Tabla2[[#This Row],[Activos]]+Tabla2[[#This Row],[Liquidez]])+Tabla2[[#This Row],[Comunicación]])</f>
        <v>3.8006003637866308</v>
      </c>
      <c r="T441">
        <f ca="1">Tabla2[[#This Row],[Deuda actual]]*EXP(Tabla2[[#This Row],[Ki]]*Tabla2[[#This Row],[diferencia de días]])*(1+Tabla2[[#This Row],[Hg]])</f>
        <v>3601.1940465308739</v>
      </c>
    </row>
    <row r="442" spans="1:20" ht="14.5" x14ac:dyDescent="0.35">
      <c r="A442" t="e">
        <f t="shared" si="66"/>
        <v>#VALUE!</v>
      </c>
      <c r="B442" s="21">
        <f t="shared" ca="1" si="67"/>
        <v>46084</v>
      </c>
      <c r="C442" s="21">
        <f t="shared" ca="1" si="68"/>
        <v>46157</v>
      </c>
      <c r="D442">
        <f t="shared" ca="1" si="69"/>
        <v>2</v>
      </c>
      <c r="E442">
        <f t="shared" ca="1" si="70"/>
        <v>2.3303709818813467E-2</v>
      </c>
      <c r="F442" s="47">
        <f t="shared" ca="1" si="71"/>
        <v>93.11</v>
      </c>
      <c r="G442" s="32" t="str">
        <f t="shared" ca="1" si="72"/>
        <v>hipotecario</v>
      </c>
      <c r="H44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42" t="str">
        <f t="shared" ca="1" si="73"/>
        <v>No</v>
      </c>
      <c r="J44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164999.83391966156</v>
      </c>
      <c r="K442" s="32" t="str">
        <f ca="1">IF(Tabla2[[#This Row],[¿cliente deuda abierta?]]="Sí", Tabla2[[#This Row],[Deuda actual]]*Tabla2[[#This Row],[diferencia de días]], "0")</f>
        <v>0</v>
      </c>
      <c r="L44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4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44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442">
        <f t="shared" ca="1" si="74"/>
        <v>1951.41</v>
      </c>
      <c r="P442">
        <f t="shared" ca="1" si="75"/>
        <v>189960.7</v>
      </c>
      <c r="Q442">
        <f t="shared" ca="1" si="76"/>
        <v>0</v>
      </c>
      <c r="R442">
        <f ca="1">((Tabla2[[#This Row],[Fantasma Comunicación]]+1)/(Tabla2[[#This Row],[Fantasma Comunicación]]+RANDBETWEEN(0,5)+2))-0.5</f>
        <v>-0.33333333333333337</v>
      </c>
      <c r="S442" s="51">
        <f ca="1">1+MAX(0,Tabla2[[#This Row],[Deuda actual]]/Tabla2[[#This Row],[Liquidez]]+Tabla2[[#This Row],[Liquidez]]/(Tabla2[[#This Row],[Activos]]+Tabla2[[#This Row],[Liquidez]])+Tabla2[[#This Row],[Comunicación]])</f>
        <v>1</v>
      </c>
      <c r="T442">
        <f ca="1">Tabla2[[#This Row],[Deuda actual]]*EXP(Tabla2[[#This Row],[Ki]]*Tabla2[[#This Row],[diferencia de días]])*(1+Tabla2[[#This Row],[Hg]])</f>
        <v>74.517801159834619</v>
      </c>
    </row>
    <row r="443" spans="1:20" ht="14.5" x14ac:dyDescent="0.35">
      <c r="A443" t="e">
        <f t="shared" si="66"/>
        <v>#VALUE!</v>
      </c>
      <c r="B443" s="21">
        <f t="shared" ca="1" si="67"/>
        <v>46108</v>
      </c>
      <c r="C443" s="21">
        <f t="shared" ca="1" si="68"/>
        <v>46157</v>
      </c>
      <c r="D443">
        <f t="shared" ca="1" si="69"/>
        <v>3</v>
      </c>
      <c r="E443">
        <f t="shared" ca="1" si="70"/>
        <v>0.80802022055512623</v>
      </c>
      <c r="F443" s="47">
        <f t="shared" ca="1" si="71"/>
        <v>2460.2399999999998</v>
      </c>
      <c r="G443" s="32" t="str">
        <f t="shared" ca="1" si="72"/>
        <v>personal</v>
      </c>
      <c r="H44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43" t="str">
        <f t="shared" ca="1" si="73"/>
        <v>No</v>
      </c>
      <c r="J44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12001.151697782221</v>
      </c>
      <c r="K443" s="32" t="str">
        <f ca="1">IF(Tabla2[[#This Row],[¿cliente deuda abierta?]]="Sí", Tabla2[[#This Row],[Deuda actual]]*Tabla2[[#This Row],[diferencia de días]], "0")</f>
        <v>0</v>
      </c>
      <c r="L44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4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44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443">
        <f t="shared" ca="1" si="74"/>
        <v>1519.85</v>
      </c>
      <c r="P443">
        <f t="shared" ca="1" si="75"/>
        <v>240147.14</v>
      </c>
      <c r="Q443">
        <f t="shared" ca="1" si="76"/>
        <v>0</v>
      </c>
      <c r="R443">
        <f ca="1">((Tabla2[[#This Row],[Fantasma Comunicación]]+1)/(Tabla2[[#This Row],[Fantasma Comunicación]]+RANDBETWEEN(0,5)+2))-0.5</f>
        <v>0</v>
      </c>
      <c r="S443" s="51">
        <f ca="1">1+MAX(0,Tabla2[[#This Row],[Deuda actual]]/Tabla2[[#This Row],[Liquidez]]+Tabla2[[#This Row],[Liquidez]]/(Tabla2[[#This Row],[Activos]]+Tabla2[[#This Row],[Liquidez]])+Tabla2[[#This Row],[Comunicación]])</f>
        <v>2.6250277173866978</v>
      </c>
      <c r="T443">
        <f ca="1">Tabla2[[#This Row],[Deuda actual]]*EXP(Tabla2[[#This Row],[Ki]]*Tabla2[[#This Row],[diferencia de días]])*(1+Tabla2[[#This Row],[Hg]])</f>
        <v>2215.5449282386035</v>
      </c>
    </row>
    <row r="444" spans="1:20" ht="14.5" x14ac:dyDescent="0.35">
      <c r="A444" t="e">
        <f t="shared" si="66"/>
        <v>#VALUE!</v>
      </c>
      <c r="B444" s="21">
        <f t="shared" ca="1" si="67"/>
        <v>46097</v>
      </c>
      <c r="C444" s="21">
        <f t="shared" ca="1" si="68"/>
        <v>46157</v>
      </c>
      <c r="D444">
        <f t="shared" ca="1" si="69"/>
        <v>22</v>
      </c>
      <c r="E444">
        <f t="shared" ca="1" si="70"/>
        <v>0.2607110678165051</v>
      </c>
      <c r="F444" s="47">
        <f t="shared" ca="1" si="71"/>
        <v>414.58</v>
      </c>
      <c r="G444" s="32" t="str">
        <f t="shared" ca="1" si="72"/>
        <v>hipotecario</v>
      </c>
      <c r="H44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44" t="str">
        <f t="shared" ca="1" si="73"/>
        <v>Sí</v>
      </c>
      <c r="J44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44" s="32">
        <f ca="1">IF(Tabla2[[#This Row],[¿cliente deuda abierta?]]="Sí", Tabla2[[#This Row],[Deuda actual]]*Tabla2[[#This Row],[diferencia de días]], "0")</f>
        <v>9120.76</v>
      </c>
      <c r="L44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4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4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44">
        <f t="shared" ca="1" si="74"/>
        <v>1312.65</v>
      </c>
      <c r="P444">
        <f t="shared" ca="1" si="75"/>
        <v>30830.400000000001</v>
      </c>
      <c r="Q444">
        <f t="shared" ca="1" si="76"/>
        <v>3</v>
      </c>
      <c r="R444">
        <f ca="1">((Tabla2[[#This Row],[Fantasma Comunicación]]+1)/(Tabla2[[#This Row],[Fantasma Comunicación]]+RANDBETWEEN(0,5)+2))-0.5</f>
        <v>0.16666666666666663</v>
      </c>
      <c r="S444" s="51">
        <f ca="1">1+MAX(0,Tabla2[[#This Row],[Deuda actual]]/Tabla2[[#This Row],[Liquidez]]+Tabla2[[#This Row],[Liquidez]]/(Tabla2[[#This Row],[Activos]]+Tabla2[[#This Row],[Liquidez]])+Tabla2[[#This Row],[Comunicación]])</f>
        <v>1.5233388024728034</v>
      </c>
      <c r="T444">
        <f ca="1">Tabla2[[#This Row],[Deuda actual]]*EXP(Tabla2[[#This Row],[Ki]]*Tabla2[[#This Row],[diferencia de días]])*(1+Tabla2[[#This Row],[Hg]])</f>
        <v>439.15662391525956</v>
      </c>
    </row>
    <row r="445" spans="1:20" ht="14.5" x14ac:dyDescent="0.35">
      <c r="A445" t="e">
        <f t="shared" si="66"/>
        <v>#VALUE!</v>
      </c>
      <c r="B445" s="21">
        <f t="shared" ca="1" si="67"/>
        <v>46127</v>
      </c>
      <c r="C445" s="21">
        <f t="shared" ca="1" si="68"/>
        <v>46157</v>
      </c>
      <c r="D445">
        <f t="shared" ca="1" si="69"/>
        <v>7</v>
      </c>
      <c r="E445">
        <f t="shared" ca="1" si="70"/>
        <v>0.94879805668336259</v>
      </c>
      <c r="F445" s="47">
        <f t="shared" ca="1" si="71"/>
        <v>706.77</v>
      </c>
      <c r="G445" s="32" t="str">
        <f t="shared" ca="1" si="72"/>
        <v>hipotecario</v>
      </c>
      <c r="H44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45" t="str">
        <f t="shared" ca="1" si="73"/>
        <v>No</v>
      </c>
      <c r="J44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165000.60102855577</v>
      </c>
      <c r="K445" s="32" t="str">
        <f ca="1">IF(Tabla2[[#This Row],[¿cliente deuda abierta?]]="Sí", Tabla2[[#This Row],[Deuda actual]]*Tabla2[[#This Row],[diferencia de días]], "0")</f>
        <v>0</v>
      </c>
      <c r="L44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4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44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445">
        <f t="shared" ca="1" si="74"/>
        <v>1576.59</v>
      </c>
      <c r="P445">
        <f t="shared" ca="1" si="75"/>
        <v>45492.3</v>
      </c>
      <c r="Q445">
        <f t="shared" ca="1" si="76"/>
        <v>1</v>
      </c>
      <c r="R445">
        <f ca="1">((Tabla2[[#This Row],[Fantasma Comunicación]]+1)/(Tabla2[[#This Row],[Fantasma Comunicación]]+RANDBETWEEN(0,5)+2))-0.5</f>
        <v>-0.25</v>
      </c>
      <c r="S445" s="51">
        <f ca="1">1+MAX(0,Tabla2[[#This Row],[Deuda actual]]/Tabla2[[#This Row],[Liquidez]]+Tabla2[[#This Row],[Liquidez]]/(Tabla2[[#This Row],[Activos]]+Tabla2[[#This Row],[Liquidez]])+Tabla2[[#This Row],[Comunicación]])</f>
        <v>1.2317856698351861</v>
      </c>
      <c r="T445">
        <f ca="1">Tabla2[[#This Row],[Deuda actual]]*EXP(Tabla2[[#This Row],[Ki]]*Tabla2[[#This Row],[diferencia de días]])*(1+Tabla2[[#This Row],[Hg]])</f>
        <v>566.20813676635419</v>
      </c>
    </row>
    <row r="446" spans="1:20" ht="14.5" x14ac:dyDescent="0.35">
      <c r="A446" t="e">
        <f t="shared" si="66"/>
        <v>#VALUE!</v>
      </c>
      <c r="B446" s="21">
        <f t="shared" ca="1" si="67"/>
        <v>46091</v>
      </c>
      <c r="C446" s="21">
        <f t="shared" ca="1" si="68"/>
        <v>46157</v>
      </c>
      <c r="D446">
        <f t="shared" ca="1" si="69"/>
        <v>7</v>
      </c>
      <c r="E446">
        <f t="shared" ca="1" si="70"/>
        <v>0.10600227480613267</v>
      </c>
      <c r="F446" s="47">
        <f t="shared" ca="1" si="71"/>
        <v>5542.61</v>
      </c>
      <c r="G446" s="32" t="str">
        <f t="shared" ca="1" si="72"/>
        <v>hipotecario</v>
      </c>
      <c r="H44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46" t="str">
        <f t="shared" ca="1" si="73"/>
        <v>Sí</v>
      </c>
      <c r="J44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46" s="32">
        <f ca="1">IF(Tabla2[[#This Row],[¿cliente deuda abierta?]]="Sí", Tabla2[[#This Row],[Deuda actual]]*Tabla2[[#This Row],[diferencia de días]], "0")</f>
        <v>38798.269999999997</v>
      </c>
      <c r="L44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44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46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446">
        <f t="shared" ca="1" si="74"/>
        <v>1629.11</v>
      </c>
      <c r="P446">
        <f t="shared" ca="1" si="75"/>
        <v>126199.38</v>
      </c>
      <c r="Q446">
        <f t="shared" ca="1" si="76"/>
        <v>2</v>
      </c>
      <c r="R446">
        <f ca="1">((Tabla2[[#This Row],[Fantasma Comunicación]]+1)/(Tabla2[[#This Row],[Fantasma Comunicación]]+RANDBETWEEN(0,5)+2))-0.5</f>
        <v>-0.125</v>
      </c>
      <c r="S446" s="51">
        <f ca="1">1+MAX(0,Tabla2[[#This Row],[Deuda actual]]/Tabla2[[#This Row],[Liquidez]]+Tabla2[[#This Row],[Liquidez]]/(Tabla2[[#This Row],[Activos]]+Tabla2[[#This Row],[Liquidez]])+Tabla2[[#This Row],[Comunicación]])</f>
        <v>4.2899763919951912</v>
      </c>
      <c r="T446">
        <f ca="1">Tabla2[[#This Row],[Deuda actual]]*EXP(Tabla2[[#This Row],[Ki]]*Tabla2[[#This Row],[diferencia de días]])*(1+Tabla2[[#This Row],[Hg]])</f>
        <v>6105.4125971228586</v>
      </c>
    </row>
    <row r="447" spans="1:20" ht="14.5" x14ac:dyDescent="0.35">
      <c r="A447" t="e">
        <f t="shared" si="66"/>
        <v>#VALUE!</v>
      </c>
      <c r="B447" s="21">
        <f t="shared" ca="1" si="67"/>
        <v>46094</v>
      </c>
      <c r="C447" s="21">
        <f t="shared" ca="1" si="68"/>
        <v>46157</v>
      </c>
      <c r="D447">
        <f t="shared" ca="1" si="69"/>
        <v>49</v>
      </c>
      <c r="E447">
        <f t="shared" ca="1" si="70"/>
        <v>0.80745021661398109</v>
      </c>
      <c r="F447" s="47">
        <f t="shared" ca="1" si="71"/>
        <v>14.28</v>
      </c>
      <c r="G447" s="32" t="str">
        <f t="shared" ca="1" si="72"/>
        <v>hipotecario</v>
      </c>
      <c r="H44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447" t="str">
        <f t="shared" ca="1" si="73"/>
        <v>Sí</v>
      </c>
      <c r="J44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47" s="32">
        <f ca="1">IF(Tabla2[[#This Row],[¿cliente deuda abierta?]]="Sí", Tabla2[[#This Row],[Deuda actual]]*Tabla2[[#This Row],[diferencia de días]], "0")</f>
        <v>699.71999999999991</v>
      </c>
      <c r="L44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4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4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47">
        <f t="shared" ca="1" si="74"/>
        <v>2069.83</v>
      </c>
      <c r="P447">
        <f t="shared" ca="1" si="75"/>
        <v>56105.55</v>
      </c>
      <c r="Q447">
        <f t="shared" ca="1" si="76"/>
        <v>5</v>
      </c>
      <c r="R447">
        <f ca="1">((Tabla2[[#This Row],[Fantasma Comunicación]]+1)/(Tabla2[[#This Row],[Fantasma Comunicación]]+RANDBETWEEN(0,5)+2))-0.5</f>
        <v>0.16666666666666663</v>
      </c>
      <c r="S447" s="51">
        <f ca="1">1+MAX(0,Tabla2[[#This Row],[Deuda actual]]/Tabla2[[#This Row],[Liquidez]]+Tabla2[[#This Row],[Liquidez]]/(Tabla2[[#This Row],[Activos]]+Tabla2[[#This Row],[Liquidez]])+Tabla2[[#This Row],[Comunicación]])</f>
        <v>1.2091449241647108</v>
      </c>
      <c r="T447">
        <f ca="1">Tabla2[[#This Row],[Deuda actual]]*EXP(Tabla2[[#This Row],[Ki]]*Tabla2[[#This Row],[diferencia de días]])*(1+Tabla2[[#This Row],[Hg]])</f>
        <v>15.747003938995981</v>
      </c>
    </row>
    <row r="448" spans="1:20" ht="14.5" x14ac:dyDescent="0.35">
      <c r="A448" t="e">
        <f t="shared" si="66"/>
        <v>#VALUE!</v>
      </c>
      <c r="B448" s="21">
        <f t="shared" ca="1" si="67"/>
        <v>46113</v>
      </c>
      <c r="C448" s="21">
        <f t="shared" ca="1" si="68"/>
        <v>46157</v>
      </c>
      <c r="D448">
        <f t="shared" ca="1" si="69"/>
        <v>17</v>
      </c>
      <c r="E448">
        <f t="shared" ca="1" si="70"/>
        <v>0.49443097363312971</v>
      </c>
      <c r="F448" s="47">
        <f t="shared" ca="1" si="71"/>
        <v>762.72</v>
      </c>
      <c r="G448" s="32" t="str">
        <f t="shared" ca="1" si="72"/>
        <v>personal</v>
      </c>
      <c r="H44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48" t="str">
        <f t="shared" ca="1" si="73"/>
        <v>Sí</v>
      </c>
      <c r="J44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48" s="32">
        <f ca="1">IF(Tabla2[[#This Row],[¿cliente deuda abierta?]]="Sí", Tabla2[[#This Row],[Deuda actual]]*Tabla2[[#This Row],[diferencia de días]], "0")</f>
        <v>12966.24</v>
      </c>
      <c r="L44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4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4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48">
        <f t="shared" ca="1" si="74"/>
        <v>1468.3</v>
      </c>
      <c r="P448">
        <f t="shared" ca="1" si="75"/>
        <v>1069479.55</v>
      </c>
      <c r="Q448">
        <f t="shared" ca="1" si="76"/>
        <v>3</v>
      </c>
      <c r="R448">
        <f ca="1">((Tabla2[[#This Row],[Fantasma Comunicación]]+1)/(Tabla2[[#This Row],[Fantasma Comunicación]]+RANDBETWEEN(0,5)+2))-0.5</f>
        <v>-9.9999999999999978E-2</v>
      </c>
      <c r="S448" s="51">
        <f ca="1">1+MAX(0,Tabla2[[#This Row],[Deuda actual]]/Tabla2[[#This Row],[Liquidez]]+Tabla2[[#This Row],[Liquidez]]/(Tabla2[[#This Row],[Activos]]+Tabla2[[#This Row],[Liquidez]])+Tabla2[[#This Row],[Comunicación]])</f>
        <v>1.4208289049330156</v>
      </c>
      <c r="T448">
        <f ca="1">Tabla2[[#This Row],[Deuda actual]]*EXP(Tabla2[[#This Row],[Ki]]*Tabla2[[#This Row],[diferencia de días]])*(1+Tabla2[[#This Row],[Hg]])</f>
        <v>806.3203786312904</v>
      </c>
    </row>
    <row r="449" spans="1:20" ht="14.5" x14ac:dyDescent="0.35">
      <c r="A449" t="e">
        <f t="shared" si="66"/>
        <v>#VALUE!</v>
      </c>
      <c r="B449" s="21">
        <f t="shared" ca="1" si="67"/>
        <v>46126</v>
      </c>
      <c r="C449" s="21">
        <f t="shared" ca="1" si="68"/>
        <v>46157</v>
      </c>
      <c r="D449">
        <f t="shared" ca="1" si="69"/>
        <v>1</v>
      </c>
      <c r="E449">
        <f t="shared" ca="1" si="70"/>
        <v>0.93849943464344998</v>
      </c>
      <c r="F449" s="47">
        <f t="shared" ca="1" si="71"/>
        <v>1095.2</v>
      </c>
      <c r="G449" s="32" t="str">
        <f t="shared" ca="1" si="72"/>
        <v>personal</v>
      </c>
      <c r="H44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49" t="str">
        <f t="shared" ca="1" si="73"/>
        <v>No</v>
      </c>
      <c r="J44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11999.847890723389</v>
      </c>
      <c r="K449" s="32" t="str">
        <f ca="1">IF(Tabla2[[#This Row],[¿cliente deuda abierta?]]="Sí", Tabla2[[#This Row],[Deuda actual]]*Tabla2[[#This Row],[diferencia de días]], "0")</f>
        <v>0</v>
      </c>
      <c r="L44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4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44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449">
        <f t="shared" ca="1" si="74"/>
        <v>1854.59</v>
      </c>
      <c r="P449">
        <f t="shared" ca="1" si="75"/>
        <v>121032.77</v>
      </c>
      <c r="Q449">
        <f t="shared" ca="1" si="76"/>
        <v>4</v>
      </c>
      <c r="R449">
        <f ca="1">((Tabla2[[#This Row],[Fantasma Comunicación]]+1)/(Tabla2[[#This Row],[Fantasma Comunicación]]+RANDBETWEEN(0,5)+2))-0.5</f>
        <v>0.33333333333333337</v>
      </c>
      <c r="S449" s="51">
        <f ca="1">1+MAX(0,Tabla2[[#This Row],[Deuda actual]]/Tabla2[[#This Row],[Liquidez]]+Tabla2[[#This Row],[Liquidez]]/(Tabla2[[#This Row],[Activos]]+Tabla2[[#This Row],[Liquidez]])+Tabla2[[#This Row],[Comunicación]])</f>
        <v>1.9389599566480831</v>
      </c>
      <c r="T449">
        <f ca="1">Tabla2[[#This Row],[Deuda actual]]*EXP(Tabla2[[#This Row],[Ki]]*Tabla2[[#This Row],[diferencia de días]])*(1+Tabla2[[#This Row],[Hg]])</f>
        <v>985.87715571491447</v>
      </c>
    </row>
    <row r="450" spans="1:20" ht="14.5" x14ac:dyDescent="0.35">
      <c r="A450" t="e">
        <f t="shared" ref="A450:A513" si="77">A449+1</f>
        <v>#VALUE!</v>
      </c>
      <c r="B450" s="21">
        <f t="shared" ref="B450:B513" ca="1" si="78">RANDBETWEEN(DATE(2026,3,1), DATE(2026,5,1))</f>
        <v>46143</v>
      </c>
      <c r="C450" s="21">
        <f t="shared" ref="C450:C513" ca="1" si="79">TODAY()</f>
        <v>46157</v>
      </c>
      <c r="D450">
        <f t="shared" ref="D450:D513" ca="1" si="80">ROUND((-(15) * LN(RAND())),0)</f>
        <v>38</v>
      </c>
      <c r="E450">
        <f t="shared" ref="E450:E513" ca="1" si="81">RAND()</f>
        <v>0.46443981204042495</v>
      </c>
      <c r="F450" s="47">
        <f t="shared" ref="F450:F513" ca="1" si="82">ROUND(MIN(10000, _xlfn.LOGNORM.INV(RAND(), 69/10, 13/10)),2)</f>
        <v>211.71</v>
      </c>
      <c r="G450" s="32" t="str">
        <f t="shared" ref="G450:G513" ca="1" si="83">IF(RAND()&lt;=0.5,"personal","hipotecario")</f>
        <v>hipotecario</v>
      </c>
      <c r="H45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450" t="str">
        <f t="shared" ref="I450:I513" ca="1" si="84">IF(RAND()&lt;=0.65, "Sí", "No")</f>
        <v>Sí</v>
      </c>
      <c r="J45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50" s="32">
        <f ca="1">IF(Tabla2[[#This Row],[¿cliente deuda abierta?]]="Sí", Tabla2[[#This Row],[Deuda actual]]*Tabla2[[#This Row],[diferencia de días]], "0")</f>
        <v>8044.9800000000005</v>
      </c>
      <c r="L45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5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5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50">
        <f t="shared" ref="O450:O513" ca="1" si="85">ROUND(1000*(_xlfn.LOGNORM.INV(RAND(), 0.5, 0.2)),2)</f>
        <v>1189.74</v>
      </c>
      <c r="P450">
        <f t="shared" ref="P450:P513" ca="1" si="86">ROUND(50000*(_xlfn.LOGNORM.INV(RAND(), 1, 0.75)),2)</f>
        <v>189200.48</v>
      </c>
      <c r="Q450">
        <f t="shared" ref="Q450:Q513" ca="1" si="87">RANDBETWEEN(0,5)</f>
        <v>0</v>
      </c>
      <c r="R450">
        <f ca="1">((Tabla2[[#This Row],[Fantasma Comunicación]]+1)/(Tabla2[[#This Row],[Fantasma Comunicación]]+RANDBETWEEN(0,5)+2))-0.5</f>
        <v>-0.33333333333333337</v>
      </c>
      <c r="S450" s="51">
        <f ca="1">1+MAX(0,Tabla2[[#This Row],[Deuda actual]]/Tabla2[[#This Row],[Liquidez]]+Tabla2[[#This Row],[Liquidez]]/(Tabla2[[#This Row],[Activos]]+Tabla2[[#This Row],[Liquidez]])+Tabla2[[#This Row],[Comunicación]])</f>
        <v>1</v>
      </c>
      <c r="T450">
        <f ca="1">Tabla2[[#This Row],[Deuda actual]]*EXP(Tabla2[[#This Row],[Ki]]*Tabla2[[#This Row],[diferencia de días]])*(1+Tabla2[[#This Row],[Hg]])</f>
        <v>230.90527877834211</v>
      </c>
    </row>
    <row r="451" spans="1:20" ht="14.5" x14ac:dyDescent="0.35">
      <c r="A451" t="e">
        <f t="shared" si="77"/>
        <v>#VALUE!</v>
      </c>
      <c r="B451" s="21">
        <f t="shared" ca="1" si="78"/>
        <v>46141</v>
      </c>
      <c r="C451" s="21">
        <f t="shared" ca="1" si="79"/>
        <v>46157</v>
      </c>
      <c r="D451">
        <f t="shared" ca="1" si="80"/>
        <v>1</v>
      </c>
      <c r="E451">
        <f t="shared" ca="1" si="81"/>
        <v>0.58993800073268421</v>
      </c>
      <c r="F451" s="47">
        <f t="shared" ca="1" si="82"/>
        <v>5001.62</v>
      </c>
      <c r="G451" s="32" t="str">
        <f t="shared" ca="1" si="83"/>
        <v>personal</v>
      </c>
      <c r="H45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51" t="str">
        <f t="shared" ca="1" si="84"/>
        <v>No</v>
      </c>
      <c r="J45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12000.911222854231</v>
      </c>
      <c r="K451" s="32" t="str">
        <f ca="1">IF(Tabla2[[#This Row],[¿cliente deuda abierta?]]="Sí", Tabla2[[#This Row],[Deuda actual]]*Tabla2[[#This Row],[diferencia de días]], "0")</f>
        <v>0</v>
      </c>
      <c r="L45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5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45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451">
        <f t="shared" ca="1" si="85"/>
        <v>1300.99</v>
      </c>
      <c r="P451">
        <f t="shared" ca="1" si="86"/>
        <v>61515.8</v>
      </c>
      <c r="Q451">
        <f t="shared" ca="1" si="87"/>
        <v>1</v>
      </c>
      <c r="R451">
        <f ca="1">((Tabla2[[#This Row],[Fantasma Comunicación]]+1)/(Tabla2[[#This Row],[Fantasma Comunicación]]+RANDBETWEEN(0,5)+2))-0.5</f>
        <v>0</v>
      </c>
      <c r="S451" s="51">
        <f ca="1">1+MAX(0,Tabla2[[#This Row],[Deuda actual]]/Tabla2[[#This Row],[Liquidez]]+Tabla2[[#This Row],[Liquidez]]/(Tabla2[[#This Row],[Activos]]+Tabla2[[#This Row],[Liquidez]])+Tabla2[[#This Row],[Comunicación]])</f>
        <v>4.8651831505753798</v>
      </c>
      <c r="T451">
        <f ca="1">Tabla2[[#This Row],[Deuda actual]]*EXP(Tabla2[[#This Row],[Ki]]*Tabla2[[#This Row],[diferencia de días]])*(1+Tabla2[[#This Row],[Hg]])</f>
        <v>4502.358381635162</v>
      </c>
    </row>
    <row r="452" spans="1:20" ht="14.5" x14ac:dyDescent="0.35">
      <c r="A452" t="e">
        <f t="shared" si="77"/>
        <v>#VALUE!</v>
      </c>
      <c r="B452" s="21">
        <f t="shared" ca="1" si="78"/>
        <v>46086</v>
      </c>
      <c r="C452" s="21">
        <f t="shared" ca="1" si="79"/>
        <v>46157</v>
      </c>
      <c r="D452">
        <f t="shared" ca="1" si="80"/>
        <v>12</v>
      </c>
      <c r="E452">
        <f t="shared" ca="1" si="81"/>
        <v>0.12115563071723312</v>
      </c>
      <c r="F452" s="47">
        <f t="shared" ca="1" si="82"/>
        <v>625.28</v>
      </c>
      <c r="G452" s="32" t="str">
        <f t="shared" ca="1" si="83"/>
        <v>personal</v>
      </c>
      <c r="H45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52" t="str">
        <f t="shared" ca="1" si="84"/>
        <v>No</v>
      </c>
      <c r="J45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12000.503845221292</v>
      </c>
      <c r="K452" s="32" t="str">
        <f ca="1">IF(Tabla2[[#This Row],[¿cliente deuda abierta?]]="Sí", Tabla2[[#This Row],[Deuda actual]]*Tabla2[[#This Row],[diferencia de días]], "0")</f>
        <v>0</v>
      </c>
      <c r="L45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5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45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452">
        <f t="shared" ca="1" si="85"/>
        <v>1821.35</v>
      </c>
      <c r="P452">
        <f t="shared" ca="1" si="86"/>
        <v>197235.17</v>
      </c>
      <c r="Q452">
        <f t="shared" ca="1" si="87"/>
        <v>0</v>
      </c>
      <c r="R452">
        <f ca="1">((Tabla2[[#This Row],[Fantasma Comunicación]]+1)/(Tabla2[[#This Row],[Fantasma Comunicación]]+RANDBETWEEN(0,5)+2))-0.5</f>
        <v>-0.25</v>
      </c>
      <c r="S452" s="51">
        <f ca="1">1+MAX(0,Tabla2[[#This Row],[Deuda actual]]/Tabla2[[#This Row],[Liquidez]]+Tabla2[[#This Row],[Liquidez]]/(Tabla2[[#This Row],[Activos]]+Tabla2[[#This Row],[Liquidez]])+Tabla2[[#This Row],[Comunicación]])</f>
        <v>1.1024557034648907</v>
      </c>
      <c r="T452">
        <f ca="1">Tabla2[[#This Row],[Deuda actual]]*EXP(Tabla2[[#This Row],[Ki]]*Tabla2[[#This Row],[diferencia de días]])*(1+Tabla2[[#This Row],[Hg]])</f>
        <v>564.10422682311889</v>
      </c>
    </row>
    <row r="453" spans="1:20" ht="14.5" x14ac:dyDescent="0.35">
      <c r="A453" t="e">
        <f t="shared" si="77"/>
        <v>#VALUE!</v>
      </c>
      <c r="B453" s="21">
        <f t="shared" ca="1" si="78"/>
        <v>46090</v>
      </c>
      <c r="C453" s="21">
        <f t="shared" ca="1" si="79"/>
        <v>46157</v>
      </c>
      <c r="D453">
        <f t="shared" ca="1" si="80"/>
        <v>3</v>
      </c>
      <c r="E453">
        <f t="shared" ca="1" si="81"/>
        <v>0.43061462528159755</v>
      </c>
      <c r="F453" s="47">
        <f t="shared" ca="1" si="82"/>
        <v>4498.66</v>
      </c>
      <c r="G453" s="32" t="str">
        <f t="shared" ca="1" si="83"/>
        <v>personal</v>
      </c>
      <c r="H45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53" t="str">
        <f t="shared" ca="1" si="84"/>
        <v>Sí</v>
      </c>
      <c r="J45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53" s="32">
        <f ca="1">IF(Tabla2[[#This Row],[¿cliente deuda abierta?]]="Sí", Tabla2[[#This Row],[Deuda actual]]*Tabla2[[#This Row],[diferencia de días]], "0")</f>
        <v>13495.98</v>
      </c>
      <c r="L45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5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5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53">
        <f t="shared" ca="1" si="85"/>
        <v>2163.13</v>
      </c>
      <c r="P453">
        <f t="shared" ca="1" si="86"/>
        <v>103559.94</v>
      </c>
      <c r="Q453">
        <f t="shared" ca="1" si="87"/>
        <v>1</v>
      </c>
      <c r="R453">
        <f ca="1">((Tabla2[[#This Row],[Fantasma Comunicación]]+1)/(Tabla2[[#This Row],[Fantasma Comunicación]]+RANDBETWEEN(0,5)+2))-0.5</f>
        <v>-0.25</v>
      </c>
      <c r="S453" s="51">
        <f ca="1">1+MAX(0,Tabla2[[#This Row],[Deuda actual]]/Tabla2[[#This Row],[Liquidez]]+Tabla2[[#This Row],[Liquidez]]/(Tabla2[[#This Row],[Activos]]+Tabla2[[#This Row],[Liquidez]])+Tabla2[[#This Row],[Comunicación]])</f>
        <v>2.8501596649866805</v>
      </c>
      <c r="T453">
        <f ca="1">Tabla2[[#This Row],[Deuda actual]]*EXP(Tabla2[[#This Row],[Ki]]*Tabla2[[#This Row],[diferencia de días]])*(1+Tabla2[[#This Row],[Hg]])</f>
        <v>4726.4280062168145</v>
      </c>
    </row>
    <row r="454" spans="1:20" ht="14.5" x14ac:dyDescent="0.35">
      <c r="A454" t="e">
        <f t="shared" si="77"/>
        <v>#VALUE!</v>
      </c>
      <c r="B454" s="21">
        <f t="shared" ca="1" si="78"/>
        <v>46118</v>
      </c>
      <c r="C454" s="21">
        <f t="shared" ca="1" si="79"/>
        <v>46157</v>
      </c>
      <c r="D454">
        <f t="shared" ca="1" si="80"/>
        <v>9</v>
      </c>
      <c r="E454">
        <f t="shared" ca="1" si="81"/>
        <v>0.56870013168586941</v>
      </c>
      <c r="F454" s="47">
        <f t="shared" ca="1" si="82"/>
        <v>10000</v>
      </c>
      <c r="G454" s="32" t="str">
        <f t="shared" ca="1" si="83"/>
        <v>personal</v>
      </c>
      <c r="H45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54" t="str">
        <f t="shared" ca="1" si="84"/>
        <v>No</v>
      </c>
      <c r="J45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12000.204429320867</v>
      </c>
      <c r="K454" s="32" t="str">
        <f ca="1">IF(Tabla2[[#This Row],[¿cliente deuda abierta?]]="Sí", Tabla2[[#This Row],[Deuda actual]]*Tabla2[[#This Row],[diferencia de días]], "0")</f>
        <v>0</v>
      </c>
      <c r="L45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5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45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454">
        <f t="shared" ca="1" si="85"/>
        <v>1781.82</v>
      </c>
      <c r="P454">
        <f t="shared" ca="1" si="86"/>
        <v>175884.36</v>
      </c>
      <c r="Q454">
        <f t="shared" ca="1" si="87"/>
        <v>2</v>
      </c>
      <c r="R454">
        <f ca="1">((Tabla2[[#This Row],[Fantasma Comunicación]]+1)/(Tabla2[[#This Row],[Fantasma Comunicación]]+RANDBETWEEN(0,5)+2))-0.5</f>
        <v>0</v>
      </c>
      <c r="S454" s="51">
        <f ca="1">1+MAX(0,Tabla2[[#This Row],[Deuda actual]]/Tabla2[[#This Row],[Liquidez]]+Tabla2[[#This Row],[Liquidez]]/(Tabla2[[#This Row],[Activos]]+Tabla2[[#This Row],[Liquidez]])+Tabla2[[#This Row],[Comunicación]])</f>
        <v>6.6222682042846852</v>
      </c>
      <c r="T454">
        <f ca="1">Tabla2[[#This Row],[Deuda actual]]*EXP(Tabla2[[#This Row],[Ki]]*Tabla2[[#This Row],[diferencia de días]])*(1+Tabla2[[#This Row],[Hg]])</f>
        <v>9016.2145887519382</v>
      </c>
    </row>
    <row r="455" spans="1:20" ht="14.5" x14ac:dyDescent="0.35">
      <c r="A455" t="e">
        <f t="shared" si="77"/>
        <v>#VALUE!</v>
      </c>
      <c r="B455" s="21">
        <f t="shared" ca="1" si="78"/>
        <v>46089</v>
      </c>
      <c r="C455" s="21">
        <f t="shared" ca="1" si="79"/>
        <v>46157</v>
      </c>
      <c r="D455">
        <f t="shared" ca="1" si="80"/>
        <v>11</v>
      </c>
      <c r="E455">
        <f t="shared" ca="1" si="81"/>
        <v>0.17256816123768692</v>
      </c>
      <c r="F455" s="47">
        <f t="shared" ca="1" si="82"/>
        <v>190.55</v>
      </c>
      <c r="G455" s="32" t="str">
        <f t="shared" ca="1" si="83"/>
        <v>hipotecario</v>
      </c>
      <c r="H45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55" t="str">
        <f t="shared" ca="1" si="84"/>
        <v>Sí</v>
      </c>
      <c r="J45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55" s="32">
        <f ca="1">IF(Tabla2[[#This Row],[¿cliente deuda abierta?]]="Sí", Tabla2[[#This Row],[Deuda actual]]*Tabla2[[#This Row],[diferencia de días]], "0")</f>
        <v>2096.0500000000002</v>
      </c>
      <c r="L45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5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5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55">
        <f t="shared" ca="1" si="85"/>
        <v>1539.8</v>
      </c>
      <c r="P455">
        <f t="shared" ca="1" si="86"/>
        <v>61660.75</v>
      </c>
      <c r="Q455">
        <f t="shared" ca="1" si="87"/>
        <v>4</v>
      </c>
      <c r="R455">
        <f ca="1">((Tabla2[[#This Row],[Fantasma Comunicación]]+1)/(Tabla2[[#This Row],[Fantasma Comunicación]]+RANDBETWEEN(0,5)+2))-0.5</f>
        <v>0</v>
      </c>
      <c r="S455" s="51">
        <f ca="1">1+MAX(0,Tabla2[[#This Row],[Deuda actual]]/Tabla2[[#This Row],[Liquidez]]+Tabla2[[#This Row],[Liquidez]]/(Tabla2[[#This Row],[Activos]]+Tabla2[[#This Row],[Liquidez]])+Tabla2[[#This Row],[Comunicación]])</f>
        <v>1.1481135496659101</v>
      </c>
      <c r="T455">
        <f ca="1">Tabla2[[#This Row],[Deuda actual]]*EXP(Tabla2[[#This Row],[Ki]]*Tabla2[[#This Row],[diferencia de días]])*(1+Tabla2[[#This Row],[Hg]])</f>
        <v>200.51815504281626</v>
      </c>
    </row>
    <row r="456" spans="1:20" ht="14.5" x14ac:dyDescent="0.35">
      <c r="A456" t="e">
        <f t="shared" si="77"/>
        <v>#VALUE!</v>
      </c>
      <c r="B456" s="21">
        <f t="shared" ca="1" si="78"/>
        <v>46095</v>
      </c>
      <c r="C456" s="21">
        <f t="shared" ca="1" si="79"/>
        <v>46157</v>
      </c>
      <c r="D456">
        <f t="shared" ca="1" si="80"/>
        <v>8</v>
      </c>
      <c r="E456">
        <f t="shared" ca="1" si="81"/>
        <v>0.15926856031365078</v>
      </c>
      <c r="F456" s="47">
        <f t="shared" ca="1" si="82"/>
        <v>1469.52</v>
      </c>
      <c r="G456" s="32" t="str">
        <f t="shared" ca="1" si="83"/>
        <v>personal</v>
      </c>
      <c r="H45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56" t="str">
        <f t="shared" ca="1" si="84"/>
        <v>Sí</v>
      </c>
      <c r="J45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56" s="32">
        <f ca="1">IF(Tabla2[[#This Row],[¿cliente deuda abierta?]]="Sí", Tabla2[[#This Row],[Deuda actual]]*Tabla2[[#This Row],[diferencia de días]], "0")</f>
        <v>11756.16</v>
      </c>
      <c r="L45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5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5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56">
        <f t="shared" ca="1" si="85"/>
        <v>1450.35</v>
      </c>
      <c r="P456">
        <f t="shared" ca="1" si="86"/>
        <v>81841.03</v>
      </c>
      <c r="Q456">
        <f t="shared" ca="1" si="87"/>
        <v>3</v>
      </c>
      <c r="R456">
        <f ca="1">((Tabla2[[#This Row],[Fantasma Comunicación]]+1)/(Tabla2[[#This Row],[Fantasma Comunicación]]+RANDBETWEEN(0,5)+2))-0.5</f>
        <v>0</v>
      </c>
      <c r="S456" s="51">
        <f ca="1">1+MAX(0,Tabla2[[#This Row],[Deuda actual]]/Tabla2[[#This Row],[Liquidez]]+Tabla2[[#This Row],[Liquidez]]/(Tabla2[[#This Row],[Activos]]+Tabla2[[#This Row],[Liquidez]])+Tabla2[[#This Row],[Comunicación]])</f>
        <v>2.0306304656081213</v>
      </c>
      <c r="T456">
        <f ca="1">Tabla2[[#This Row],[Deuda actual]]*EXP(Tabla2[[#This Row],[Ki]]*Tabla2[[#This Row],[diferencia de días]])*(1+Tabla2[[#This Row],[Hg]])</f>
        <v>1545.4667696886534</v>
      </c>
    </row>
    <row r="457" spans="1:20" ht="14.5" x14ac:dyDescent="0.35">
      <c r="A457" t="e">
        <f t="shared" si="77"/>
        <v>#VALUE!</v>
      </c>
      <c r="B457" s="21">
        <f t="shared" ca="1" si="78"/>
        <v>46118</v>
      </c>
      <c r="C457" s="21">
        <f t="shared" ca="1" si="79"/>
        <v>46157</v>
      </c>
      <c r="D457">
        <f t="shared" ca="1" si="80"/>
        <v>37</v>
      </c>
      <c r="E457">
        <f t="shared" ca="1" si="81"/>
        <v>0.31369752631144598</v>
      </c>
      <c r="F457" s="47">
        <f t="shared" ca="1" si="82"/>
        <v>274.97000000000003</v>
      </c>
      <c r="G457" s="32" t="str">
        <f t="shared" ca="1" si="83"/>
        <v>hipotecario</v>
      </c>
      <c r="H45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457" t="str">
        <f t="shared" ca="1" si="84"/>
        <v>Sí</v>
      </c>
      <c r="J45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57" s="32">
        <f ca="1">IF(Tabla2[[#This Row],[¿cliente deuda abierta?]]="Sí", Tabla2[[#This Row],[Deuda actual]]*Tabla2[[#This Row],[diferencia de días]], "0")</f>
        <v>10173.890000000001</v>
      </c>
      <c r="L45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5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5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57">
        <f t="shared" ca="1" si="85"/>
        <v>1991.84</v>
      </c>
      <c r="P457">
        <f t="shared" ca="1" si="86"/>
        <v>59406.48</v>
      </c>
      <c r="Q457">
        <f t="shared" ca="1" si="87"/>
        <v>4</v>
      </c>
      <c r="R457">
        <f ca="1">((Tabla2[[#This Row],[Fantasma Comunicación]]+1)/(Tabla2[[#This Row],[Fantasma Comunicación]]+RANDBETWEEN(0,5)+2))-0.5</f>
        <v>0.33333333333333337</v>
      </c>
      <c r="S457" s="51">
        <f ca="1">1+MAX(0,Tabla2[[#This Row],[Deuda actual]]/Tabla2[[#This Row],[Liquidez]]+Tabla2[[#This Row],[Liquidez]]/(Tabla2[[#This Row],[Activos]]+Tabla2[[#This Row],[Liquidez]])+Tabla2[[#This Row],[Comunicación]])</f>
        <v>1.5038228486630842</v>
      </c>
      <c r="T457">
        <f ca="1">Tabla2[[#This Row],[Deuda actual]]*EXP(Tabla2[[#This Row],[Ki]]*Tabla2[[#This Row],[diferencia de días]])*(1+Tabla2[[#This Row],[Hg]])</f>
        <v>299.60117243686148</v>
      </c>
    </row>
    <row r="458" spans="1:20" ht="14.5" x14ac:dyDescent="0.35">
      <c r="A458" t="e">
        <f t="shared" si="77"/>
        <v>#VALUE!</v>
      </c>
      <c r="B458" s="21">
        <f t="shared" ca="1" si="78"/>
        <v>46133</v>
      </c>
      <c r="C458" s="21">
        <f t="shared" ca="1" si="79"/>
        <v>46157</v>
      </c>
      <c r="D458">
        <f t="shared" ca="1" si="80"/>
        <v>15</v>
      </c>
      <c r="E458">
        <f t="shared" ca="1" si="81"/>
        <v>0.96987097261513533</v>
      </c>
      <c r="F458" s="47">
        <f t="shared" ca="1" si="82"/>
        <v>2160.17</v>
      </c>
      <c r="G458" s="32" t="str">
        <f t="shared" ca="1" si="83"/>
        <v>hipotecario</v>
      </c>
      <c r="H45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58" t="str">
        <f t="shared" ca="1" si="84"/>
        <v>Sí</v>
      </c>
      <c r="J45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58" s="32">
        <f ca="1">IF(Tabla2[[#This Row],[¿cliente deuda abierta?]]="Sí", Tabla2[[#This Row],[Deuda actual]]*Tabla2[[#This Row],[diferencia de días]], "0")</f>
        <v>32402.550000000003</v>
      </c>
      <c r="L45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45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58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458">
        <f t="shared" ca="1" si="85"/>
        <v>2068.9</v>
      </c>
      <c r="P458">
        <f t="shared" ca="1" si="86"/>
        <v>113903.41</v>
      </c>
      <c r="Q458">
        <f t="shared" ca="1" si="87"/>
        <v>5</v>
      </c>
      <c r="R458">
        <f ca="1">((Tabla2[[#This Row],[Fantasma Comunicación]]+1)/(Tabla2[[#This Row],[Fantasma Comunicación]]+RANDBETWEEN(0,5)+2))-0.5</f>
        <v>0.25</v>
      </c>
      <c r="S458" s="51">
        <f ca="1">1+MAX(0,Tabla2[[#This Row],[Deuda actual]]/Tabla2[[#This Row],[Liquidez]]+Tabla2[[#This Row],[Liquidez]]/(Tabla2[[#This Row],[Activos]]+Tabla2[[#This Row],[Liquidez]])+Tabla2[[#This Row],[Comunicación]])</f>
        <v>2.3119548335795437</v>
      </c>
      <c r="T458">
        <f ca="1">Tabla2[[#This Row],[Deuda actual]]*EXP(Tabla2[[#This Row],[Ki]]*Tabla2[[#This Row],[diferencia de días]])*(1+Tabla2[[#This Row],[Hg]])</f>
        <v>2390.4869790372009</v>
      </c>
    </row>
    <row r="459" spans="1:20" ht="14.5" x14ac:dyDescent="0.35">
      <c r="A459" t="e">
        <f t="shared" si="77"/>
        <v>#VALUE!</v>
      </c>
      <c r="B459" s="21">
        <f t="shared" ca="1" si="78"/>
        <v>46125</v>
      </c>
      <c r="C459" s="21">
        <f t="shared" ca="1" si="79"/>
        <v>46157</v>
      </c>
      <c r="D459">
        <f t="shared" ca="1" si="80"/>
        <v>9</v>
      </c>
      <c r="E459">
        <f t="shared" ca="1" si="81"/>
        <v>0.99374387460379621</v>
      </c>
      <c r="F459" s="47">
        <f t="shared" ca="1" si="82"/>
        <v>105.58</v>
      </c>
      <c r="G459" s="32" t="str">
        <f t="shared" ca="1" si="83"/>
        <v>personal</v>
      </c>
      <c r="H45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59" t="str">
        <f t="shared" ca="1" si="84"/>
        <v>Sí</v>
      </c>
      <c r="J45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59" s="32">
        <f ca="1">IF(Tabla2[[#This Row],[¿cliente deuda abierta?]]="Sí", Tabla2[[#This Row],[Deuda actual]]*Tabla2[[#This Row],[diferencia de días]], "0")</f>
        <v>950.22</v>
      </c>
      <c r="L45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5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5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59">
        <f t="shared" ca="1" si="85"/>
        <v>1531.52</v>
      </c>
      <c r="P459">
        <f t="shared" ca="1" si="86"/>
        <v>230419.38</v>
      </c>
      <c r="Q459">
        <f t="shared" ca="1" si="87"/>
        <v>2</v>
      </c>
      <c r="R459">
        <f ca="1">((Tabla2[[#This Row],[Fantasma Comunicación]]+1)/(Tabla2[[#This Row],[Fantasma Comunicación]]+RANDBETWEEN(0,5)+2))-0.5</f>
        <v>-7.1428571428571452E-2</v>
      </c>
      <c r="S459" s="51">
        <f ca="1">1+MAX(0,Tabla2[[#This Row],[Deuda actual]]/Tabla2[[#This Row],[Liquidez]]+Tabla2[[#This Row],[Liquidez]]/(Tabla2[[#This Row],[Activos]]+Tabla2[[#This Row],[Liquidez]])+Tabla2[[#This Row],[Comunicación]])</f>
        <v>1.0041122537544929</v>
      </c>
      <c r="T459">
        <f ca="1">Tabla2[[#This Row],[Deuda actual]]*EXP(Tabla2[[#This Row],[Ki]]*Tabla2[[#This Row],[diferencia de días]])*(1+Tabla2[[#This Row],[Hg]])</f>
        <v>111.05872589938346</v>
      </c>
    </row>
    <row r="460" spans="1:20" ht="14.5" x14ac:dyDescent="0.35">
      <c r="A460" t="e">
        <f t="shared" si="77"/>
        <v>#VALUE!</v>
      </c>
      <c r="B460" s="21">
        <f t="shared" ca="1" si="78"/>
        <v>46121</v>
      </c>
      <c r="C460" s="21">
        <f t="shared" ca="1" si="79"/>
        <v>46157</v>
      </c>
      <c r="D460">
        <f t="shared" ca="1" si="80"/>
        <v>1</v>
      </c>
      <c r="E460">
        <f t="shared" ca="1" si="81"/>
        <v>0.90256223441852967</v>
      </c>
      <c r="F460" s="47">
        <f t="shared" ca="1" si="82"/>
        <v>3536.9</v>
      </c>
      <c r="G460" s="32" t="str">
        <f t="shared" ca="1" si="83"/>
        <v>personal</v>
      </c>
      <c r="H46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60" t="str">
        <f t="shared" ca="1" si="84"/>
        <v>Sí</v>
      </c>
      <c r="J46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60" s="32">
        <f ca="1">IF(Tabla2[[#This Row],[¿cliente deuda abierta?]]="Sí", Tabla2[[#This Row],[Deuda actual]]*Tabla2[[#This Row],[diferencia de días]], "0")</f>
        <v>3536.9</v>
      </c>
      <c r="L46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6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6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60">
        <f t="shared" ca="1" si="85"/>
        <v>1768.54</v>
      </c>
      <c r="P460">
        <f t="shared" ca="1" si="86"/>
        <v>78716.84</v>
      </c>
      <c r="Q460">
        <f t="shared" ca="1" si="87"/>
        <v>2</v>
      </c>
      <c r="R460">
        <f ca="1">((Tabla2[[#This Row],[Fantasma Comunicación]]+1)/(Tabla2[[#This Row],[Fantasma Comunicación]]+RANDBETWEEN(0,5)+2))-0.5</f>
        <v>-0.125</v>
      </c>
      <c r="S460" s="51">
        <f ca="1">1+MAX(0,Tabla2[[#This Row],[Deuda actual]]/Tabla2[[#This Row],[Liquidez]]+Tabla2[[#This Row],[Liquidez]]/(Tabla2[[#This Row],[Activos]]+Tabla2[[#This Row],[Liquidez]])+Tabla2[[#This Row],[Comunicación]])</f>
        <v>2.8968716528280942</v>
      </c>
      <c r="T460">
        <f ca="1">Tabla2[[#This Row],[Deuda actual]]*EXP(Tabla2[[#This Row],[Ki]]*Tabla2[[#This Row],[diferencia de días]])*(1+Tabla2[[#This Row],[Hg]])</f>
        <v>3714.4878232798524</v>
      </c>
    </row>
    <row r="461" spans="1:20" ht="14.5" x14ac:dyDescent="0.35">
      <c r="A461" t="e">
        <f t="shared" si="77"/>
        <v>#VALUE!</v>
      </c>
      <c r="B461" s="21">
        <f t="shared" ca="1" si="78"/>
        <v>46087</v>
      </c>
      <c r="C461" s="21">
        <f t="shared" ca="1" si="79"/>
        <v>46157</v>
      </c>
      <c r="D461">
        <f t="shared" ca="1" si="80"/>
        <v>48</v>
      </c>
      <c r="E461">
        <f t="shared" ca="1" si="81"/>
        <v>0.47135983820670591</v>
      </c>
      <c r="F461" s="47">
        <f t="shared" ca="1" si="82"/>
        <v>178.79</v>
      </c>
      <c r="G461" s="32" t="str">
        <f t="shared" ca="1" si="83"/>
        <v>personal</v>
      </c>
      <c r="H46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461" t="str">
        <f t="shared" ca="1" si="84"/>
        <v>Sí</v>
      </c>
      <c r="J46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61" s="32">
        <f ca="1">IF(Tabla2[[#This Row],[¿cliente deuda abierta?]]="Sí", Tabla2[[#This Row],[Deuda actual]]*Tabla2[[#This Row],[diferencia de días]], "0")</f>
        <v>8581.92</v>
      </c>
      <c r="L46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6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6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61">
        <f t="shared" ca="1" si="85"/>
        <v>1501.84</v>
      </c>
      <c r="P461">
        <f t="shared" ca="1" si="86"/>
        <v>273198.68</v>
      </c>
      <c r="Q461">
        <f t="shared" ca="1" si="87"/>
        <v>5</v>
      </c>
      <c r="R461">
        <f ca="1">((Tabla2[[#This Row],[Fantasma Comunicación]]+1)/(Tabla2[[#This Row],[Fantasma Comunicación]]+RANDBETWEEN(0,5)+2))-0.5</f>
        <v>0</v>
      </c>
      <c r="S461" s="51">
        <f ca="1">1+MAX(0,Tabla2[[#This Row],[Deuda actual]]/Tabla2[[#This Row],[Liquidez]]+Tabla2[[#This Row],[Liquidez]]/(Tabla2[[#This Row],[Activos]]+Tabla2[[#This Row],[Liquidez]])+Tabla2[[#This Row],[Comunicación]])</f>
        <v>1.1245144922094463</v>
      </c>
      <c r="T461">
        <f ca="1">Tabla2[[#This Row],[Deuda actual]]*EXP(Tabla2[[#This Row],[Ki]]*Tabla2[[#This Row],[diferencia de días]])*(1+Tabla2[[#This Row],[Hg]])</f>
        <v>196.96028253873521</v>
      </c>
    </row>
    <row r="462" spans="1:20" ht="14.5" x14ac:dyDescent="0.35">
      <c r="A462" t="e">
        <f t="shared" si="77"/>
        <v>#VALUE!</v>
      </c>
      <c r="B462" s="21">
        <f t="shared" ca="1" si="78"/>
        <v>46128</v>
      </c>
      <c r="C462" s="21">
        <f t="shared" ca="1" si="79"/>
        <v>46157</v>
      </c>
      <c r="D462">
        <f t="shared" ca="1" si="80"/>
        <v>9</v>
      </c>
      <c r="E462">
        <f t="shared" ca="1" si="81"/>
        <v>0.79964696083349518</v>
      </c>
      <c r="F462" s="47">
        <f t="shared" ca="1" si="82"/>
        <v>1925.3</v>
      </c>
      <c r="G462" s="32" t="str">
        <f t="shared" ca="1" si="83"/>
        <v>hipotecario</v>
      </c>
      <c r="H46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62" t="str">
        <f t="shared" ca="1" si="84"/>
        <v>Sí</v>
      </c>
      <c r="J46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62" s="32">
        <f ca="1">IF(Tabla2[[#This Row],[¿cliente deuda abierta?]]="Sí", Tabla2[[#This Row],[Deuda actual]]*Tabla2[[#This Row],[diferencia de días]], "0")</f>
        <v>17327.7</v>
      </c>
      <c r="L46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6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6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62">
        <f t="shared" ca="1" si="85"/>
        <v>1471.86</v>
      </c>
      <c r="P462">
        <f t="shared" ca="1" si="86"/>
        <v>43461.4</v>
      </c>
      <c r="Q462">
        <f t="shared" ca="1" si="87"/>
        <v>5</v>
      </c>
      <c r="R462">
        <f ca="1">((Tabla2[[#This Row],[Fantasma Comunicación]]+1)/(Tabla2[[#This Row],[Fantasma Comunicación]]+RANDBETWEEN(0,5)+2))-0.5</f>
        <v>0.25</v>
      </c>
      <c r="S462" s="51">
        <f ca="1">1+MAX(0,Tabla2[[#This Row],[Deuda actual]]/Tabla2[[#This Row],[Liquidez]]+Tabla2[[#This Row],[Liquidez]]/(Tabla2[[#This Row],[Activos]]+Tabla2[[#This Row],[Liquidez]])+Tabla2[[#This Row],[Comunicación]])</f>
        <v>2.5908293603112211</v>
      </c>
      <c r="T462">
        <f ca="1">Tabla2[[#This Row],[Deuda actual]]*EXP(Tabla2[[#This Row],[Ki]]*Tabla2[[#This Row],[diferencia de días]])*(1+Tabla2[[#This Row],[Hg]])</f>
        <v>2025.207093901146</v>
      </c>
    </row>
    <row r="463" spans="1:20" ht="14.5" x14ac:dyDescent="0.35">
      <c r="A463" t="e">
        <f t="shared" si="77"/>
        <v>#VALUE!</v>
      </c>
      <c r="B463" s="21">
        <f t="shared" ca="1" si="78"/>
        <v>46100</v>
      </c>
      <c r="C463" s="21">
        <f t="shared" ca="1" si="79"/>
        <v>46157</v>
      </c>
      <c r="D463">
        <f t="shared" ca="1" si="80"/>
        <v>16</v>
      </c>
      <c r="E463">
        <f t="shared" ca="1" si="81"/>
        <v>0.29118772365490597</v>
      </c>
      <c r="F463" s="47">
        <f t="shared" ca="1" si="82"/>
        <v>205.43</v>
      </c>
      <c r="G463" s="32" t="str">
        <f t="shared" ca="1" si="83"/>
        <v>hipotecario</v>
      </c>
      <c r="H46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63" t="str">
        <f t="shared" ca="1" si="84"/>
        <v>No</v>
      </c>
      <c r="J46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165000.46335975014</v>
      </c>
      <c r="K463" s="32" t="str">
        <f ca="1">IF(Tabla2[[#This Row],[¿cliente deuda abierta?]]="Sí", Tabla2[[#This Row],[Deuda actual]]*Tabla2[[#This Row],[diferencia de días]], "0")</f>
        <v>0</v>
      </c>
      <c r="L46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6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46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463">
        <f t="shared" ca="1" si="85"/>
        <v>2233.23</v>
      </c>
      <c r="P463">
        <f t="shared" ca="1" si="86"/>
        <v>127268.07</v>
      </c>
      <c r="Q463">
        <f t="shared" ca="1" si="87"/>
        <v>1</v>
      </c>
      <c r="R463">
        <f ca="1">((Tabla2[[#This Row],[Fantasma Comunicación]]+1)/(Tabla2[[#This Row],[Fantasma Comunicación]]+RANDBETWEEN(0,5)+2))-0.5</f>
        <v>-9.9999999999999978E-2</v>
      </c>
      <c r="S463" s="51">
        <f ca="1">1+MAX(0,Tabla2[[#This Row],[Deuda actual]]/Tabla2[[#This Row],[Liquidez]]+Tabla2[[#This Row],[Liquidez]]/(Tabla2[[#This Row],[Activos]]+Tabla2[[#This Row],[Liquidez]])+Tabla2[[#This Row],[Comunicación]])</f>
        <v>1.0092326844339952</v>
      </c>
      <c r="T463">
        <f ca="1">Tabla2[[#This Row],[Deuda actual]]*EXP(Tabla2[[#This Row],[Ki]]*Tabla2[[#This Row],[diferencia de días]])*(1+Tabla2[[#This Row],[Hg]])</f>
        <v>165.39917455692216</v>
      </c>
    </row>
    <row r="464" spans="1:20" ht="14.5" x14ac:dyDescent="0.35">
      <c r="A464" t="e">
        <f t="shared" si="77"/>
        <v>#VALUE!</v>
      </c>
      <c r="B464" s="21">
        <f t="shared" ca="1" si="78"/>
        <v>46131</v>
      </c>
      <c r="C464" s="21">
        <f t="shared" ca="1" si="79"/>
        <v>46157</v>
      </c>
      <c r="D464">
        <f t="shared" ca="1" si="80"/>
        <v>8</v>
      </c>
      <c r="E464">
        <f t="shared" ca="1" si="81"/>
        <v>0.98802255888163426</v>
      </c>
      <c r="F464" s="47">
        <f t="shared" ca="1" si="82"/>
        <v>1167.2</v>
      </c>
      <c r="G464" s="32" t="str">
        <f t="shared" ca="1" si="83"/>
        <v>personal</v>
      </c>
      <c r="H46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64" t="str">
        <f t="shared" ca="1" si="84"/>
        <v>Sí</v>
      </c>
      <c r="J46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64" s="32">
        <f ca="1">IF(Tabla2[[#This Row],[¿cliente deuda abierta?]]="Sí", Tabla2[[#This Row],[Deuda actual]]*Tabla2[[#This Row],[diferencia de días]], "0")</f>
        <v>9337.6</v>
      </c>
      <c r="L46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6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6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64">
        <f t="shared" ca="1" si="85"/>
        <v>1484.42</v>
      </c>
      <c r="P464">
        <f t="shared" ca="1" si="86"/>
        <v>82678.759999999995</v>
      </c>
      <c r="Q464">
        <f t="shared" ca="1" si="87"/>
        <v>1</v>
      </c>
      <c r="R464">
        <f ca="1">((Tabla2[[#This Row],[Fantasma Comunicación]]+1)/(Tabla2[[#This Row],[Fantasma Comunicación]]+RANDBETWEEN(0,5)+2))-0.5</f>
        <v>0</v>
      </c>
      <c r="S464" s="51">
        <f ca="1">1+MAX(0,Tabla2[[#This Row],[Deuda actual]]/Tabla2[[#This Row],[Liquidez]]+Tabla2[[#This Row],[Liquidez]]/(Tabla2[[#This Row],[Activos]]+Tabla2[[#This Row],[Liquidez]])+Tabla2[[#This Row],[Comunicación]])</f>
        <v>1.8039377771196192</v>
      </c>
      <c r="T464">
        <f ca="1">Tabla2[[#This Row],[Deuda actual]]*EXP(Tabla2[[#This Row],[Ki]]*Tabla2[[#This Row],[diferencia de días]])*(1+Tabla2[[#This Row],[Hg]])</f>
        <v>1227.5224655537836</v>
      </c>
    </row>
    <row r="465" spans="1:20" ht="14.5" x14ac:dyDescent="0.35">
      <c r="A465" t="e">
        <f t="shared" si="77"/>
        <v>#VALUE!</v>
      </c>
      <c r="B465" s="21">
        <f t="shared" ca="1" si="78"/>
        <v>46097</v>
      </c>
      <c r="C465" s="21">
        <f t="shared" ca="1" si="79"/>
        <v>46157</v>
      </c>
      <c r="D465">
        <f t="shared" ca="1" si="80"/>
        <v>17</v>
      </c>
      <c r="E465">
        <f t="shared" ca="1" si="81"/>
        <v>0.96897453801356581</v>
      </c>
      <c r="F465" s="47">
        <f t="shared" ca="1" si="82"/>
        <v>231.24</v>
      </c>
      <c r="G465" s="32" t="str">
        <f t="shared" ca="1" si="83"/>
        <v>personal</v>
      </c>
      <c r="H46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65" t="str">
        <f t="shared" ca="1" si="84"/>
        <v>Sí</v>
      </c>
      <c r="J46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65" s="32">
        <f ca="1">IF(Tabla2[[#This Row],[¿cliente deuda abierta?]]="Sí", Tabla2[[#This Row],[Deuda actual]]*Tabla2[[#This Row],[diferencia de días]], "0")</f>
        <v>3931.08</v>
      </c>
      <c r="L46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6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6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65">
        <f t="shared" ca="1" si="85"/>
        <v>2043.14</v>
      </c>
      <c r="P465">
        <f t="shared" ca="1" si="86"/>
        <v>196018.01</v>
      </c>
      <c r="Q465">
        <f t="shared" ca="1" si="87"/>
        <v>4</v>
      </c>
      <c r="R465">
        <f ca="1">((Tabla2[[#This Row],[Fantasma Comunicación]]+1)/(Tabla2[[#This Row],[Fantasma Comunicación]]+RANDBETWEEN(0,5)+2))-0.5</f>
        <v>5.555555555555558E-2</v>
      </c>
      <c r="S465" s="51">
        <f ca="1">1+MAX(0,Tabla2[[#This Row],[Deuda actual]]/Tabla2[[#This Row],[Liquidez]]+Tabla2[[#This Row],[Liquidez]]/(Tabla2[[#This Row],[Activos]]+Tabla2[[#This Row],[Liquidez]])+Tabla2[[#This Row],[Comunicación]])</f>
        <v>1.1790499932520795</v>
      </c>
      <c r="T465">
        <f ca="1">Tabla2[[#This Row],[Deuda actual]]*EXP(Tabla2[[#This Row],[Ki]]*Tabla2[[#This Row],[diferencia de días]])*(1+Tabla2[[#This Row],[Hg]])</f>
        <v>244.45867992802025</v>
      </c>
    </row>
    <row r="466" spans="1:20" ht="14.5" x14ac:dyDescent="0.35">
      <c r="A466" t="e">
        <f t="shared" si="77"/>
        <v>#VALUE!</v>
      </c>
      <c r="B466" s="21">
        <f t="shared" ca="1" si="78"/>
        <v>46128</v>
      </c>
      <c r="C466" s="21">
        <f t="shared" ca="1" si="79"/>
        <v>46157</v>
      </c>
      <c r="D466">
        <f t="shared" ca="1" si="80"/>
        <v>2</v>
      </c>
      <c r="E466">
        <f t="shared" ca="1" si="81"/>
        <v>0.84666130278152907</v>
      </c>
      <c r="F466" s="47">
        <f t="shared" ca="1" si="82"/>
        <v>519.33000000000004</v>
      </c>
      <c r="G466" s="32" t="str">
        <f t="shared" ca="1" si="83"/>
        <v>hipotecario</v>
      </c>
      <c r="H46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66" t="str">
        <f t="shared" ca="1" si="84"/>
        <v>Sí</v>
      </c>
      <c r="J46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66" s="32">
        <f ca="1">IF(Tabla2[[#This Row],[¿cliente deuda abierta?]]="Sí", Tabla2[[#This Row],[Deuda actual]]*Tabla2[[#This Row],[diferencia de días]], "0")</f>
        <v>1038.6600000000001</v>
      </c>
      <c r="L46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6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6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66">
        <f t="shared" ca="1" si="85"/>
        <v>1802.33</v>
      </c>
      <c r="P466">
        <f t="shared" ca="1" si="86"/>
        <v>64440.91</v>
      </c>
      <c r="Q466">
        <f t="shared" ca="1" si="87"/>
        <v>2</v>
      </c>
      <c r="R466">
        <f ca="1">((Tabla2[[#This Row],[Fantasma Comunicación]]+1)/(Tabla2[[#This Row],[Fantasma Comunicación]]+RANDBETWEEN(0,5)+2))-0.5</f>
        <v>0.25</v>
      </c>
      <c r="S466" s="51">
        <f ca="1">1+MAX(0,Tabla2[[#This Row],[Deuda actual]]/Tabla2[[#This Row],[Liquidez]]+Tabla2[[#This Row],[Liquidez]]/(Tabla2[[#This Row],[Activos]]+Tabla2[[#This Row],[Liquidez]])+Tabla2[[#This Row],[Comunicación]])</f>
        <v>1.5653514380300417</v>
      </c>
      <c r="T466">
        <f ca="1">Tabla2[[#This Row],[Deuda actual]]*EXP(Tabla2[[#This Row],[Ki]]*Tabla2[[#This Row],[diferencia de días]])*(1+Tabla2[[#This Row],[Hg]])</f>
        <v>545.51466222953718</v>
      </c>
    </row>
    <row r="467" spans="1:20" ht="14.5" x14ac:dyDescent="0.35">
      <c r="A467" t="e">
        <f t="shared" si="77"/>
        <v>#VALUE!</v>
      </c>
      <c r="B467" s="21">
        <f t="shared" ca="1" si="78"/>
        <v>46092</v>
      </c>
      <c r="C467" s="21">
        <f t="shared" ca="1" si="79"/>
        <v>46157</v>
      </c>
      <c r="D467">
        <f t="shared" ca="1" si="80"/>
        <v>41</v>
      </c>
      <c r="E467">
        <f t="shared" ca="1" si="81"/>
        <v>9.3156987271825309E-2</v>
      </c>
      <c r="F467" s="47">
        <f t="shared" ca="1" si="82"/>
        <v>1752.46</v>
      </c>
      <c r="G467" s="32" t="str">
        <f t="shared" ca="1" si="83"/>
        <v>personal</v>
      </c>
      <c r="H46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467" t="str">
        <f t="shared" ca="1" si="84"/>
        <v>Sí</v>
      </c>
      <c r="J46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67" s="32">
        <f ca="1">IF(Tabla2[[#This Row],[¿cliente deuda abierta?]]="Sí", Tabla2[[#This Row],[Deuda actual]]*Tabla2[[#This Row],[diferencia de días]], "0")</f>
        <v>71850.86</v>
      </c>
      <c r="L46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46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67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467">
        <f t="shared" ca="1" si="85"/>
        <v>1924.68</v>
      </c>
      <c r="P467">
        <f t="shared" ca="1" si="86"/>
        <v>818482.43</v>
      </c>
      <c r="Q467">
        <f t="shared" ca="1" si="87"/>
        <v>1</v>
      </c>
      <c r="R467">
        <f ca="1">((Tabla2[[#This Row],[Fantasma Comunicación]]+1)/(Tabla2[[#This Row],[Fantasma Comunicación]]+RANDBETWEEN(0,5)+2))-0.5</f>
        <v>-0.2142857142857143</v>
      </c>
      <c r="S467" s="51">
        <f ca="1">1+MAX(0,Tabla2[[#This Row],[Deuda actual]]/Tabla2[[#This Row],[Liquidez]]+Tabla2[[#This Row],[Liquidez]]/(Tabla2[[#This Row],[Activos]]+Tabla2[[#This Row],[Liquidez]])+Tabla2[[#This Row],[Comunicación]])</f>
        <v>1.6985804820805432</v>
      </c>
      <c r="T467">
        <f ca="1">Tabla2[[#This Row],[Deuda actual]]*EXP(Tabla2[[#This Row],[Ki]]*Tabla2[[#This Row],[diferencia de días]])*(1+Tabla2[[#This Row],[Hg]])</f>
        <v>2099.6747620168653</v>
      </c>
    </row>
    <row r="468" spans="1:20" ht="14.5" x14ac:dyDescent="0.35">
      <c r="A468" t="e">
        <f t="shared" si="77"/>
        <v>#VALUE!</v>
      </c>
      <c r="B468" s="21">
        <f t="shared" ca="1" si="78"/>
        <v>46131</v>
      </c>
      <c r="C468" s="21">
        <f t="shared" ca="1" si="79"/>
        <v>46157</v>
      </c>
      <c r="D468">
        <f t="shared" ca="1" si="80"/>
        <v>8</v>
      </c>
      <c r="E468">
        <f t="shared" ca="1" si="81"/>
        <v>0.32181906632629476</v>
      </c>
      <c r="F468" s="47">
        <f t="shared" ca="1" si="82"/>
        <v>1215.77</v>
      </c>
      <c r="G468" s="32" t="str">
        <f t="shared" ca="1" si="83"/>
        <v>personal</v>
      </c>
      <c r="H46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68" t="str">
        <f t="shared" ca="1" si="84"/>
        <v>Sí</v>
      </c>
      <c r="J46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68" s="32">
        <f ca="1">IF(Tabla2[[#This Row],[¿cliente deuda abierta?]]="Sí", Tabla2[[#This Row],[Deuda actual]]*Tabla2[[#This Row],[diferencia de días]], "0")</f>
        <v>9726.16</v>
      </c>
      <c r="L46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6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6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68">
        <f t="shared" ca="1" si="85"/>
        <v>1604.55</v>
      </c>
      <c r="P468">
        <f t="shared" ca="1" si="86"/>
        <v>103613.5</v>
      </c>
      <c r="Q468">
        <f t="shared" ca="1" si="87"/>
        <v>1</v>
      </c>
      <c r="R468">
        <f ca="1">((Tabla2[[#This Row],[Fantasma Comunicación]]+1)/(Tabla2[[#This Row],[Fantasma Comunicación]]+RANDBETWEEN(0,5)+2))-0.5</f>
        <v>-0.16666666666666669</v>
      </c>
      <c r="S468" s="51">
        <f ca="1">1+MAX(0,Tabla2[[#This Row],[Deuda actual]]/Tabla2[[#This Row],[Liquidez]]+Tabla2[[#This Row],[Liquidez]]/(Tabla2[[#This Row],[Activos]]+Tabla2[[#This Row],[Liquidez]])+Tabla2[[#This Row],[Comunicación]])</f>
        <v>1.6062846294929671</v>
      </c>
      <c r="T468">
        <f ca="1">Tabla2[[#This Row],[Deuda actual]]*EXP(Tabla2[[#This Row],[Ki]]*Tabla2[[#This Row],[diferencia de días]])*(1+Tabla2[[#This Row],[Hg]])</f>
        <v>1278.6026284666925</v>
      </c>
    </row>
    <row r="469" spans="1:20" ht="14.5" x14ac:dyDescent="0.35">
      <c r="A469" t="e">
        <f t="shared" si="77"/>
        <v>#VALUE!</v>
      </c>
      <c r="B469" s="21">
        <f t="shared" ca="1" si="78"/>
        <v>46082</v>
      </c>
      <c r="C469" s="21">
        <f t="shared" ca="1" si="79"/>
        <v>46157</v>
      </c>
      <c r="D469">
        <f t="shared" ca="1" si="80"/>
        <v>8</v>
      </c>
      <c r="E469">
        <f t="shared" ca="1" si="81"/>
        <v>0.7973309877049215</v>
      </c>
      <c r="F469" s="47">
        <f t="shared" ca="1" si="82"/>
        <v>7085.22</v>
      </c>
      <c r="G469" s="32" t="str">
        <f t="shared" ca="1" si="83"/>
        <v>personal</v>
      </c>
      <c r="H46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69" t="str">
        <f t="shared" ca="1" si="84"/>
        <v>No</v>
      </c>
      <c r="J46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11999.359607455051</v>
      </c>
      <c r="K469" s="32" t="str">
        <f ca="1">IF(Tabla2[[#This Row],[¿cliente deuda abierta?]]="Sí", Tabla2[[#This Row],[Deuda actual]]*Tabla2[[#This Row],[diferencia de días]], "0")</f>
        <v>0</v>
      </c>
      <c r="L46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6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46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469">
        <f t="shared" ca="1" si="85"/>
        <v>1441.73</v>
      </c>
      <c r="P469">
        <f t="shared" ca="1" si="86"/>
        <v>147756.60999999999</v>
      </c>
      <c r="Q469">
        <f t="shared" ca="1" si="87"/>
        <v>3</v>
      </c>
      <c r="R469">
        <f ca="1">((Tabla2[[#This Row],[Fantasma Comunicación]]+1)/(Tabla2[[#This Row],[Fantasma Comunicación]]+RANDBETWEEN(0,5)+2))-0.5</f>
        <v>0.30000000000000004</v>
      </c>
      <c r="S469" s="51">
        <f ca="1">1+MAX(0,Tabla2[[#This Row],[Deuda actual]]/Tabla2[[#This Row],[Liquidez]]+Tabla2[[#This Row],[Liquidez]]/(Tabla2[[#This Row],[Activos]]+Tabla2[[#This Row],[Liquidez]])+Tabla2[[#This Row],[Comunicación]])</f>
        <v>6.2240507532547777</v>
      </c>
      <c r="T469">
        <f ca="1">Tabla2[[#This Row],[Deuda actual]]*EXP(Tabla2[[#This Row],[Ki]]*Tabla2[[#This Row],[diferencia de días]])*(1+Tabla2[[#This Row],[Hg]])</f>
        <v>6386.9088833283404</v>
      </c>
    </row>
    <row r="470" spans="1:20" ht="14.5" x14ac:dyDescent="0.35">
      <c r="A470" t="e">
        <f t="shared" si="77"/>
        <v>#VALUE!</v>
      </c>
      <c r="B470" s="21">
        <f t="shared" ca="1" si="78"/>
        <v>46101</v>
      </c>
      <c r="C470" s="21">
        <f t="shared" ca="1" si="79"/>
        <v>46157</v>
      </c>
      <c r="D470">
        <f t="shared" ca="1" si="80"/>
        <v>14</v>
      </c>
      <c r="E470">
        <f t="shared" ca="1" si="81"/>
        <v>0.83763837115167861</v>
      </c>
      <c r="F470" s="47">
        <f t="shared" ca="1" si="82"/>
        <v>1696.07</v>
      </c>
      <c r="G470" s="32" t="str">
        <f t="shared" ca="1" si="83"/>
        <v>personal</v>
      </c>
      <c r="H47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70" t="str">
        <f t="shared" ca="1" si="84"/>
        <v>No</v>
      </c>
      <c r="J47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12000.94081050175</v>
      </c>
      <c r="K470" s="32" t="str">
        <f ca="1">IF(Tabla2[[#This Row],[¿cliente deuda abierta?]]="Sí", Tabla2[[#This Row],[Deuda actual]]*Tabla2[[#This Row],[diferencia de días]], "0")</f>
        <v>0</v>
      </c>
      <c r="L47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7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47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470">
        <f t="shared" ca="1" si="85"/>
        <v>2087.6</v>
      </c>
      <c r="P470">
        <f t="shared" ca="1" si="86"/>
        <v>152561.64000000001</v>
      </c>
      <c r="Q470">
        <f t="shared" ca="1" si="87"/>
        <v>0</v>
      </c>
      <c r="R470">
        <f ca="1">((Tabla2[[#This Row],[Fantasma Comunicación]]+1)/(Tabla2[[#This Row],[Fantasma Comunicación]]+RANDBETWEEN(0,5)+2))-0.5</f>
        <v>-0.25</v>
      </c>
      <c r="S470" s="51">
        <f ca="1">1+MAX(0,Tabla2[[#This Row],[Deuda actual]]/Tabla2[[#This Row],[Liquidez]]+Tabla2[[#This Row],[Liquidez]]/(Tabla2[[#This Row],[Activos]]+Tabla2[[#This Row],[Liquidez]])+Tabla2[[#This Row],[Comunicación]])</f>
        <v>1.5759486377589047</v>
      </c>
      <c r="T470">
        <f ca="1">Tabla2[[#This Row],[Deuda actual]]*EXP(Tabla2[[#This Row],[Ki]]*Tabla2[[#This Row],[diferencia de días]])*(1+Tabla2[[#This Row],[Hg]])</f>
        <v>1530.7430857236909</v>
      </c>
    </row>
    <row r="471" spans="1:20" ht="14.5" x14ac:dyDescent="0.35">
      <c r="A471" t="e">
        <f t="shared" si="77"/>
        <v>#VALUE!</v>
      </c>
      <c r="B471" s="21">
        <f t="shared" ca="1" si="78"/>
        <v>46106</v>
      </c>
      <c r="C471" s="21">
        <f t="shared" ca="1" si="79"/>
        <v>46157</v>
      </c>
      <c r="D471">
        <f t="shared" ca="1" si="80"/>
        <v>19</v>
      </c>
      <c r="E471">
        <f t="shared" ca="1" si="81"/>
        <v>4.7547393529565274E-2</v>
      </c>
      <c r="F471" s="47">
        <f t="shared" ca="1" si="82"/>
        <v>678.96</v>
      </c>
      <c r="G471" s="32" t="str">
        <f t="shared" ca="1" si="83"/>
        <v>personal</v>
      </c>
      <c r="H47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71" t="str">
        <f t="shared" ca="1" si="84"/>
        <v>Sí</v>
      </c>
      <c r="J47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71" s="32">
        <f ca="1">IF(Tabla2[[#This Row],[¿cliente deuda abierta?]]="Sí", Tabla2[[#This Row],[Deuda actual]]*Tabla2[[#This Row],[diferencia de días]], "0")</f>
        <v>12900.240000000002</v>
      </c>
      <c r="L47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7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7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71">
        <f t="shared" ca="1" si="85"/>
        <v>1942.46</v>
      </c>
      <c r="P471">
        <f t="shared" ca="1" si="86"/>
        <v>175112.28</v>
      </c>
      <c r="Q471">
        <f t="shared" ca="1" si="87"/>
        <v>3</v>
      </c>
      <c r="R471">
        <f ca="1">((Tabla2[[#This Row],[Fantasma Comunicación]]+1)/(Tabla2[[#This Row],[Fantasma Comunicación]]+RANDBETWEEN(0,5)+2))-0.5</f>
        <v>-5.555555555555558E-2</v>
      </c>
      <c r="S471" s="51">
        <f ca="1">1+MAX(0,Tabla2[[#This Row],[Deuda actual]]/Tabla2[[#This Row],[Liquidez]]+Tabla2[[#This Row],[Liquidez]]/(Tabla2[[#This Row],[Activos]]+Tabla2[[#This Row],[Liquidez]])+Tabla2[[#This Row],[Comunicación]])</f>
        <v>1.3049515569725818</v>
      </c>
      <c r="T471">
        <f ca="1">Tabla2[[#This Row],[Deuda actual]]*EXP(Tabla2[[#This Row],[Ki]]*Tabla2[[#This Row],[diferencia de días]])*(1+Tabla2[[#This Row],[Hg]])</f>
        <v>718.34674184054199</v>
      </c>
    </row>
    <row r="472" spans="1:20" ht="14.5" x14ac:dyDescent="0.35">
      <c r="A472" t="e">
        <f t="shared" si="77"/>
        <v>#VALUE!</v>
      </c>
      <c r="B472" s="21">
        <f t="shared" ca="1" si="78"/>
        <v>46087</v>
      </c>
      <c r="C472" s="21">
        <f t="shared" ca="1" si="79"/>
        <v>46157</v>
      </c>
      <c r="D472">
        <f t="shared" ca="1" si="80"/>
        <v>15</v>
      </c>
      <c r="E472">
        <f t="shared" ca="1" si="81"/>
        <v>0.48640116070059081</v>
      </c>
      <c r="F472" s="47">
        <f t="shared" ca="1" si="82"/>
        <v>10000</v>
      </c>
      <c r="G472" s="32" t="str">
        <f t="shared" ca="1" si="83"/>
        <v>personal</v>
      </c>
      <c r="H47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72" t="str">
        <f t="shared" ca="1" si="84"/>
        <v>Sí</v>
      </c>
      <c r="J47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72" s="32">
        <f ca="1">IF(Tabla2[[#This Row],[¿cliente deuda abierta?]]="Sí", Tabla2[[#This Row],[Deuda actual]]*Tabla2[[#This Row],[diferencia de días]], "0")</f>
        <v>150000</v>
      </c>
      <c r="L47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47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72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472">
        <f t="shared" ca="1" si="85"/>
        <v>1569.53</v>
      </c>
      <c r="P472">
        <f t="shared" ca="1" si="86"/>
        <v>136023.47</v>
      </c>
      <c r="Q472">
        <f t="shared" ca="1" si="87"/>
        <v>4</v>
      </c>
      <c r="R472">
        <f ca="1">((Tabla2[[#This Row],[Fantasma Comunicación]]+1)/(Tabla2[[#This Row],[Fantasma Comunicación]]+RANDBETWEEN(0,5)+2))-0.5</f>
        <v>0.2142857142857143</v>
      </c>
      <c r="S472" s="51">
        <f ca="1">1+MAX(0,Tabla2[[#This Row],[Deuda actual]]/Tabla2[[#This Row],[Liquidez]]+Tabla2[[#This Row],[Liquidez]]/(Tabla2[[#This Row],[Activos]]+Tabla2[[#This Row],[Liquidez]])+Tabla2[[#This Row],[Comunicación]])</f>
        <v>7.5970268562552628</v>
      </c>
      <c r="T472">
        <f ca="1">Tabla2[[#This Row],[Deuda actual]]*EXP(Tabla2[[#This Row],[Ki]]*Tabla2[[#This Row],[diferencia de días]])*(1+Tabla2[[#This Row],[Hg]])</f>
        <v>11569.207414621746</v>
      </c>
    </row>
    <row r="473" spans="1:20" ht="14.5" x14ac:dyDescent="0.35">
      <c r="A473" t="e">
        <f t="shared" si="77"/>
        <v>#VALUE!</v>
      </c>
      <c r="B473" s="21">
        <f t="shared" ca="1" si="78"/>
        <v>46083</v>
      </c>
      <c r="C473" s="21">
        <f t="shared" ca="1" si="79"/>
        <v>46157</v>
      </c>
      <c r="D473">
        <f t="shared" ca="1" si="80"/>
        <v>13</v>
      </c>
      <c r="E473">
        <f t="shared" ca="1" si="81"/>
        <v>0.63473113066839271</v>
      </c>
      <c r="F473" s="47">
        <f t="shared" ca="1" si="82"/>
        <v>121.09</v>
      </c>
      <c r="G473" s="32" t="str">
        <f t="shared" ca="1" si="83"/>
        <v>personal</v>
      </c>
      <c r="H47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73" t="str">
        <f t="shared" ca="1" si="84"/>
        <v>No</v>
      </c>
      <c r="J47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11998.996079356599</v>
      </c>
      <c r="K473" s="32" t="str">
        <f ca="1">IF(Tabla2[[#This Row],[¿cliente deuda abierta?]]="Sí", Tabla2[[#This Row],[Deuda actual]]*Tabla2[[#This Row],[diferencia de días]], "0")</f>
        <v>0</v>
      </c>
      <c r="L47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7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47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473">
        <f t="shared" ca="1" si="85"/>
        <v>1870.97</v>
      </c>
      <c r="P473">
        <f t="shared" ca="1" si="86"/>
        <v>183965.74</v>
      </c>
      <c r="Q473">
        <f t="shared" ca="1" si="87"/>
        <v>4</v>
      </c>
      <c r="R473">
        <f ca="1">((Tabla2[[#This Row],[Fantasma Comunicación]]+1)/(Tabla2[[#This Row],[Fantasma Comunicación]]+RANDBETWEEN(0,5)+2))-0.5</f>
        <v>0.125</v>
      </c>
      <c r="S473" s="51">
        <f ca="1">1+MAX(0,Tabla2[[#This Row],[Deuda actual]]/Tabla2[[#This Row],[Liquidez]]+Tabla2[[#This Row],[Liquidez]]/(Tabla2[[#This Row],[Activos]]+Tabla2[[#This Row],[Liquidez]])+Tabla2[[#This Row],[Comunicación]])</f>
        <v>1.1997882561942053</v>
      </c>
      <c r="T473">
        <f ca="1">Tabla2[[#This Row],[Deuda actual]]*EXP(Tabla2[[#This Row],[Ki]]*Tabla2[[#This Row],[diferencia de días]])*(1+Tabla2[[#This Row],[Hg]])</f>
        <v>109.2647192752293</v>
      </c>
    </row>
    <row r="474" spans="1:20" ht="14.5" x14ac:dyDescent="0.35">
      <c r="A474" t="e">
        <f t="shared" si="77"/>
        <v>#VALUE!</v>
      </c>
      <c r="B474" s="21">
        <f t="shared" ca="1" si="78"/>
        <v>46121</v>
      </c>
      <c r="C474" s="21">
        <f t="shared" ca="1" si="79"/>
        <v>46157</v>
      </c>
      <c r="D474">
        <f t="shared" ca="1" si="80"/>
        <v>8</v>
      </c>
      <c r="E474">
        <f t="shared" ca="1" si="81"/>
        <v>0.27207663361554835</v>
      </c>
      <c r="F474" s="47">
        <f t="shared" ca="1" si="82"/>
        <v>9739.0300000000007</v>
      </c>
      <c r="G474" s="32" t="str">
        <f t="shared" ca="1" si="83"/>
        <v>personal</v>
      </c>
      <c r="H47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74" t="str">
        <f t="shared" ca="1" si="84"/>
        <v>Sí</v>
      </c>
      <c r="J47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74" s="32">
        <f ca="1">IF(Tabla2[[#This Row],[¿cliente deuda abierta?]]="Sí", Tabla2[[#This Row],[Deuda actual]]*Tabla2[[#This Row],[diferencia de días]], "0")</f>
        <v>77912.240000000005</v>
      </c>
      <c r="L47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47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74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474">
        <f t="shared" ca="1" si="85"/>
        <v>1639.85</v>
      </c>
      <c r="P474">
        <f t="shared" ca="1" si="86"/>
        <v>186363.08</v>
      </c>
      <c r="Q474">
        <f t="shared" ca="1" si="87"/>
        <v>4</v>
      </c>
      <c r="R474">
        <f ca="1">((Tabla2[[#This Row],[Fantasma Comunicación]]+1)/(Tabla2[[#This Row],[Fantasma Comunicación]]+RANDBETWEEN(0,5)+2))-0.5</f>
        <v>0.33333333333333337</v>
      </c>
      <c r="S474" s="51">
        <f ca="1">1+MAX(0,Tabla2[[#This Row],[Deuda actual]]/Tabla2[[#This Row],[Liquidez]]+Tabla2[[#This Row],[Liquidez]]/(Tabla2[[#This Row],[Activos]]+Tabla2[[#This Row],[Liquidez]])+Tabla2[[#This Row],[Comunicación]])</f>
        <v>7.2810319296408528</v>
      </c>
      <c r="T474">
        <f ca="1">Tabla2[[#This Row],[Deuda actual]]*EXP(Tabla2[[#This Row],[Ki]]*Tabla2[[#This Row],[diferencia de días]])*(1+Tabla2[[#This Row],[Hg]])</f>
        <v>11217.818658701006</v>
      </c>
    </row>
    <row r="475" spans="1:20" ht="14.5" x14ac:dyDescent="0.35">
      <c r="A475" t="e">
        <f t="shared" si="77"/>
        <v>#VALUE!</v>
      </c>
      <c r="B475" s="21">
        <f t="shared" ca="1" si="78"/>
        <v>46085</v>
      </c>
      <c r="C475" s="21">
        <f t="shared" ca="1" si="79"/>
        <v>46157</v>
      </c>
      <c r="D475">
        <f t="shared" ca="1" si="80"/>
        <v>1</v>
      </c>
      <c r="E475">
        <f t="shared" ca="1" si="81"/>
        <v>0.58602179819472666</v>
      </c>
      <c r="F475" s="47">
        <f t="shared" ca="1" si="82"/>
        <v>693.4</v>
      </c>
      <c r="G475" s="32" t="str">
        <f t="shared" ca="1" si="83"/>
        <v>hipotecario</v>
      </c>
      <c r="H47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75" t="str">
        <f t="shared" ca="1" si="84"/>
        <v>Sí</v>
      </c>
      <c r="J47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75" s="32">
        <f ca="1">IF(Tabla2[[#This Row],[¿cliente deuda abierta?]]="Sí", Tabla2[[#This Row],[Deuda actual]]*Tabla2[[#This Row],[diferencia de días]], "0")</f>
        <v>693.4</v>
      </c>
      <c r="L47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7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7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75">
        <f t="shared" ca="1" si="85"/>
        <v>1296.05</v>
      </c>
      <c r="P475">
        <f t="shared" ca="1" si="86"/>
        <v>232981.54</v>
      </c>
      <c r="Q475">
        <f t="shared" ca="1" si="87"/>
        <v>4</v>
      </c>
      <c r="R475">
        <f ca="1">((Tabla2[[#This Row],[Fantasma Comunicación]]+1)/(Tabla2[[#This Row],[Fantasma Comunicación]]+RANDBETWEEN(0,5)+2))-0.5</f>
        <v>0.2142857142857143</v>
      </c>
      <c r="S475" s="51">
        <f ca="1">1+MAX(0,Tabla2[[#This Row],[Deuda actual]]/Tabla2[[#This Row],[Liquidez]]+Tabla2[[#This Row],[Liquidez]]/(Tabla2[[#This Row],[Activos]]+Tabla2[[#This Row],[Liquidez]])+Tabla2[[#This Row],[Comunicación]])</f>
        <v>1.7548280502245566</v>
      </c>
      <c r="T475">
        <f ca="1">Tabla2[[#This Row],[Deuda actual]]*EXP(Tabla2[[#This Row],[Ki]]*Tabla2[[#This Row],[diferencia de días]])*(1+Tabla2[[#This Row],[Hg]])</f>
        <v>728.21562856237085</v>
      </c>
    </row>
    <row r="476" spans="1:20" ht="14.5" x14ac:dyDescent="0.35">
      <c r="A476" t="e">
        <f t="shared" si="77"/>
        <v>#VALUE!</v>
      </c>
      <c r="B476" s="21">
        <f t="shared" ca="1" si="78"/>
        <v>46112</v>
      </c>
      <c r="C476" s="21">
        <f t="shared" ca="1" si="79"/>
        <v>46157</v>
      </c>
      <c r="D476">
        <f t="shared" ca="1" si="80"/>
        <v>7</v>
      </c>
      <c r="E476">
        <f t="shared" ca="1" si="81"/>
        <v>0.2196914323245015</v>
      </c>
      <c r="F476" s="47">
        <f t="shared" ca="1" si="82"/>
        <v>222.52</v>
      </c>
      <c r="G476" s="32" t="str">
        <f t="shared" ca="1" si="83"/>
        <v>personal</v>
      </c>
      <c r="H47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76" t="str">
        <f t="shared" ca="1" si="84"/>
        <v>Sí</v>
      </c>
      <c r="J47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76" s="32">
        <f ca="1">IF(Tabla2[[#This Row],[¿cliente deuda abierta?]]="Sí", Tabla2[[#This Row],[Deuda actual]]*Tabla2[[#This Row],[diferencia de días]], "0")</f>
        <v>1557.64</v>
      </c>
      <c r="L47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7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7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76">
        <f t="shared" ca="1" si="85"/>
        <v>1848.7</v>
      </c>
      <c r="P476">
        <f t="shared" ca="1" si="86"/>
        <v>699844.54</v>
      </c>
      <c r="Q476">
        <f t="shared" ca="1" si="87"/>
        <v>2</v>
      </c>
      <c r="R476">
        <f ca="1">((Tabla2[[#This Row],[Fantasma Comunicación]]+1)/(Tabla2[[#This Row],[Fantasma Comunicación]]+RANDBETWEEN(0,5)+2))-0.5</f>
        <v>0.25</v>
      </c>
      <c r="S476" s="51">
        <f ca="1">1+MAX(0,Tabla2[[#This Row],[Deuda actual]]/Tabla2[[#This Row],[Liquidez]]+Tabla2[[#This Row],[Liquidez]]/(Tabla2[[#This Row],[Activos]]+Tabla2[[#This Row],[Liquidez]])+Tabla2[[#This Row],[Comunicación]])</f>
        <v>1.373000289420292</v>
      </c>
      <c r="T476">
        <f ca="1">Tabla2[[#This Row],[Deuda actual]]*EXP(Tabla2[[#This Row],[Ki]]*Tabla2[[#This Row],[diferencia de días]])*(1+Tabla2[[#This Row],[Hg]])</f>
        <v>233.97333347997153</v>
      </c>
    </row>
    <row r="477" spans="1:20" ht="14.5" x14ac:dyDescent="0.35">
      <c r="A477" t="e">
        <f t="shared" si="77"/>
        <v>#VALUE!</v>
      </c>
      <c r="B477" s="21">
        <f t="shared" ca="1" si="78"/>
        <v>46120</v>
      </c>
      <c r="C477" s="21">
        <f t="shared" ca="1" si="79"/>
        <v>46157</v>
      </c>
      <c r="D477">
        <f t="shared" ca="1" si="80"/>
        <v>22</v>
      </c>
      <c r="E477">
        <f t="shared" ca="1" si="81"/>
        <v>0.68915594205752129</v>
      </c>
      <c r="F477" s="47">
        <f t="shared" ca="1" si="82"/>
        <v>3029.99</v>
      </c>
      <c r="G477" s="32" t="str">
        <f t="shared" ca="1" si="83"/>
        <v>personal</v>
      </c>
      <c r="H47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77" t="str">
        <f t="shared" ca="1" si="84"/>
        <v>Sí</v>
      </c>
      <c r="J47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77" s="32">
        <f ca="1">IF(Tabla2[[#This Row],[¿cliente deuda abierta?]]="Sí", Tabla2[[#This Row],[Deuda actual]]*Tabla2[[#This Row],[diferencia de días]], "0")</f>
        <v>66659.78</v>
      </c>
      <c r="L47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47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77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477">
        <f t="shared" ca="1" si="85"/>
        <v>1469.87</v>
      </c>
      <c r="P477">
        <f t="shared" ca="1" si="86"/>
        <v>258587.06</v>
      </c>
      <c r="Q477">
        <f t="shared" ca="1" si="87"/>
        <v>2</v>
      </c>
      <c r="R477">
        <f ca="1">((Tabla2[[#This Row],[Fantasma Comunicación]]+1)/(Tabla2[[#This Row],[Fantasma Comunicación]]+RANDBETWEEN(0,5)+2))-0.5</f>
        <v>-0.16666666666666669</v>
      </c>
      <c r="S477" s="51">
        <f ca="1">1+MAX(0,Tabla2[[#This Row],[Deuda actual]]/Tabla2[[#This Row],[Liquidez]]+Tabla2[[#This Row],[Liquidez]]/(Tabla2[[#This Row],[Activos]]+Tabla2[[#This Row],[Liquidez]])+Tabla2[[#This Row],[Comunicación]])</f>
        <v>2.9003854296468132</v>
      </c>
      <c r="T477">
        <f ca="1">Tabla2[[#This Row],[Deuda actual]]*EXP(Tabla2[[#This Row],[Ki]]*Tabla2[[#This Row],[diferencia de días]])*(1+Tabla2[[#This Row],[Hg]])</f>
        <v>3515.2873148304921</v>
      </c>
    </row>
    <row r="478" spans="1:20" ht="14.5" x14ac:dyDescent="0.35">
      <c r="A478" t="e">
        <f t="shared" si="77"/>
        <v>#VALUE!</v>
      </c>
      <c r="B478" s="21">
        <f t="shared" ca="1" si="78"/>
        <v>46130</v>
      </c>
      <c r="C478" s="21">
        <f t="shared" ca="1" si="79"/>
        <v>46157</v>
      </c>
      <c r="D478">
        <f t="shared" ca="1" si="80"/>
        <v>2</v>
      </c>
      <c r="E478">
        <f t="shared" ca="1" si="81"/>
        <v>0.36897702634891871</v>
      </c>
      <c r="F478" s="47">
        <f t="shared" ca="1" si="82"/>
        <v>1229.45</v>
      </c>
      <c r="G478" s="32" t="str">
        <f t="shared" ca="1" si="83"/>
        <v>personal</v>
      </c>
      <c r="H47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78" t="str">
        <f t="shared" ca="1" si="84"/>
        <v>No</v>
      </c>
      <c r="J47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11999.496233828209</v>
      </c>
      <c r="K478" s="32" t="str">
        <f ca="1">IF(Tabla2[[#This Row],[¿cliente deuda abierta?]]="Sí", Tabla2[[#This Row],[Deuda actual]]*Tabla2[[#This Row],[diferencia de días]], "0")</f>
        <v>0</v>
      </c>
      <c r="L47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7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47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478">
        <f t="shared" ca="1" si="85"/>
        <v>2351.5100000000002</v>
      </c>
      <c r="P478">
        <f t="shared" ca="1" si="86"/>
        <v>166835.65</v>
      </c>
      <c r="Q478">
        <f t="shared" ca="1" si="87"/>
        <v>5</v>
      </c>
      <c r="R478">
        <f ca="1">((Tabla2[[#This Row],[Fantasma Comunicación]]+1)/(Tabla2[[#This Row],[Fantasma Comunicación]]+RANDBETWEEN(0,5)+2))-0.5</f>
        <v>0</v>
      </c>
      <c r="S478" s="51">
        <f ca="1">1+MAX(0,Tabla2[[#This Row],[Deuda actual]]/Tabla2[[#This Row],[Liquidez]]+Tabla2[[#This Row],[Liquidez]]/(Tabla2[[#This Row],[Activos]]+Tabla2[[#This Row],[Liquidez]])+Tabla2[[#This Row],[Comunicación]])</f>
        <v>1.5367331319166024</v>
      </c>
      <c r="T478">
        <f ca="1">Tabla2[[#This Row],[Deuda actual]]*EXP(Tabla2[[#This Row],[Ki]]*Tabla2[[#This Row],[diferencia de días]])*(1+Tabla2[[#This Row],[Hg]])</f>
        <v>1106.947690532204</v>
      </c>
    </row>
    <row r="479" spans="1:20" ht="14.5" x14ac:dyDescent="0.35">
      <c r="A479" t="e">
        <f t="shared" si="77"/>
        <v>#VALUE!</v>
      </c>
      <c r="B479" s="21">
        <f t="shared" ca="1" si="78"/>
        <v>46123</v>
      </c>
      <c r="C479" s="21">
        <f t="shared" ca="1" si="79"/>
        <v>46157</v>
      </c>
      <c r="D479">
        <f t="shared" ca="1" si="80"/>
        <v>19</v>
      </c>
      <c r="E479">
        <f t="shared" ca="1" si="81"/>
        <v>0.31863899782820815</v>
      </c>
      <c r="F479" s="47">
        <f t="shared" ca="1" si="82"/>
        <v>729.78</v>
      </c>
      <c r="G479" s="32" t="str">
        <f t="shared" ca="1" si="83"/>
        <v>personal</v>
      </c>
      <c r="H47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79" t="str">
        <f t="shared" ca="1" si="84"/>
        <v>Sí</v>
      </c>
      <c r="J47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79" s="32">
        <f ca="1">IF(Tabla2[[#This Row],[¿cliente deuda abierta?]]="Sí", Tabla2[[#This Row],[Deuda actual]]*Tabla2[[#This Row],[diferencia de días]], "0")</f>
        <v>13865.82</v>
      </c>
      <c r="L47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7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7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79">
        <f t="shared" ca="1" si="85"/>
        <v>1711.79</v>
      </c>
      <c r="P479">
        <f t="shared" ca="1" si="86"/>
        <v>376032.19</v>
      </c>
      <c r="Q479">
        <f t="shared" ca="1" si="87"/>
        <v>3</v>
      </c>
      <c r="R479">
        <f ca="1">((Tabla2[[#This Row],[Fantasma Comunicación]]+1)/(Tabla2[[#This Row],[Fantasma Comunicación]]+RANDBETWEEN(0,5)+2))-0.5</f>
        <v>0</v>
      </c>
      <c r="S479" s="51">
        <f ca="1">1+MAX(0,Tabla2[[#This Row],[Deuda actual]]/Tabla2[[#This Row],[Liquidez]]+Tabla2[[#This Row],[Liquidez]]/(Tabla2[[#This Row],[Activos]]+Tabla2[[#This Row],[Liquidez]])+Tabla2[[#This Row],[Comunicación]])</f>
        <v>1.4308572733484457</v>
      </c>
      <c r="T479">
        <f ca="1">Tabla2[[#This Row],[Deuda actual]]*EXP(Tabla2[[#This Row],[Ki]]*Tabla2[[#This Row],[diferencia de días]])*(1+Tabla2[[#This Row],[Hg]])</f>
        <v>772.11483041768395</v>
      </c>
    </row>
    <row r="480" spans="1:20" ht="14.5" x14ac:dyDescent="0.35">
      <c r="A480" t="e">
        <f t="shared" si="77"/>
        <v>#VALUE!</v>
      </c>
      <c r="B480" s="21">
        <f t="shared" ca="1" si="78"/>
        <v>46085</v>
      </c>
      <c r="C480" s="21">
        <f t="shared" ca="1" si="79"/>
        <v>46157</v>
      </c>
      <c r="D480">
        <f t="shared" ca="1" si="80"/>
        <v>19</v>
      </c>
      <c r="E480">
        <f t="shared" ca="1" si="81"/>
        <v>0.99635368321759465</v>
      </c>
      <c r="F480" s="47">
        <f t="shared" ca="1" si="82"/>
        <v>167.55</v>
      </c>
      <c r="G480" s="32" t="str">
        <f t="shared" ca="1" si="83"/>
        <v>personal</v>
      </c>
      <c r="H48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80" t="str">
        <f t="shared" ca="1" si="84"/>
        <v>Sí</v>
      </c>
      <c r="J48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80" s="32">
        <f ca="1">IF(Tabla2[[#This Row],[¿cliente deuda abierta?]]="Sí", Tabla2[[#This Row],[Deuda actual]]*Tabla2[[#This Row],[diferencia de días]], "0")</f>
        <v>3183.4500000000003</v>
      </c>
      <c r="L48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8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8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80">
        <f t="shared" ca="1" si="85"/>
        <v>1676.21</v>
      </c>
      <c r="P480">
        <f t="shared" ca="1" si="86"/>
        <v>374904.03</v>
      </c>
      <c r="Q480">
        <f t="shared" ca="1" si="87"/>
        <v>2</v>
      </c>
      <c r="R480">
        <f ca="1">((Tabla2[[#This Row],[Fantasma Comunicación]]+1)/(Tabla2[[#This Row],[Fantasma Comunicación]]+RANDBETWEEN(0,5)+2))-0.5</f>
        <v>-0.16666666666666669</v>
      </c>
      <c r="S480" s="51">
        <f ca="1">1+MAX(0,Tabla2[[#This Row],[Deuda actual]]/Tabla2[[#This Row],[Liquidez]]+Tabla2[[#This Row],[Liquidez]]/(Tabla2[[#This Row],[Activos]]+Tabla2[[#This Row],[Liquidez]])+Tabla2[[#This Row],[Comunicación]])</f>
        <v>1</v>
      </c>
      <c r="T480">
        <f ca="1">Tabla2[[#This Row],[Deuda actual]]*EXP(Tabla2[[#This Row],[Ki]]*Tabla2[[#This Row],[diferencia de días]])*(1+Tabla2[[#This Row],[Hg]])</f>
        <v>177.2696426820178</v>
      </c>
    </row>
    <row r="481" spans="1:20" ht="14.5" x14ac:dyDescent="0.35">
      <c r="A481" t="e">
        <f t="shared" si="77"/>
        <v>#VALUE!</v>
      </c>
      <c r="B481" s="21">
        <f t="shared" ca="1" si="78"/>
        <v>46122</v>
      </c>
      <c r="C481" s="21">
        <f t="shared" ca="1" si="79"/>
        <v>46157</v>
      </c>
      <c r="D481">
        <f t="shared" ca="1" si="80"/>
        <v>22</v>
      </c>
      <c r="E481">
        <f t="shared" ca="1" si="81"/>
        <v>0.73715883387193304</v>
      </c>
      <c r="F481" s="47">
        <f t="shared" ca="1" si="82"/>
        <v>495.86</v>
      </c>
      <c r="G481" s="32" t="str">
        <f t="shared" ca="1" si="83"/>
        <v>personal</v>
      </c>
      <c r="H48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81" t="str">
        <f t="shared" ca="1" si="84"/>
        <v>Sí</v>
      </c>
      <c r="J48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81" s="32">
        <f ca="1">IF(Tabla2[[#This Row],[¿cliente deuda abierta?]]="Sí", Tabla2[[#This Row],[Deuda actual]]*Tabla2[[#This Row],[diferencia de días]], "0")</f>
        <v>10908.92</v>
      </c>
      <c r="L48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8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8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81">
        <f t="shared" ca="1" si="85"/>
        <v>1744.51</v>
      </c>
      <c r="P481">
        <f t="shared" ca="1" si="86"/>
        <v>322525.71999999997</v>
      </c>
      <c r="Q481">
        <f t="shared" ca="1" si="87"/>
        <v>5</v>
      </c>
      <c r="R481">
        <f ca="1">((Tabla2[[#This Row],[Fantasma Comunicación]]+1)/(Tabla2[[#This Row],[Fantasma Comunicación]]+RANDBETWEEN(0,5)+2))-0.5</f>
        <v>0.3571428571428571</v>
      </c>
      <c r="S481" s="51">
        <f ca="1">1+MAX(0,Tabla2[[#This Row],[Deuda actual]]/Tabla2[[#This Row],[Liquidez]]+Tabla2[[#This Row],[Liquidez]]/(Tabla2[[#This Row],[Activos]]+Tabla2[[#This Row],[Liquidez]])+Tabla2[[#This Row],[Comunicación]])</f>
        <v>1.6467629340511898</v>
      </c>
      <c r="T481">
        <f ca="1">Tabla2[[#This Row],[Deuda actual]]*EXP(Tabla2[[#This Row],[Ki]]*Tabla2[[#This Row],[diferencia de días]])*(1+Tabla2[[#This Row],[Hg]])</f>
        <v>525.25496534956005</v>
      </c>
    </row>
    <row r="482" spans="1:20" ht="14.5" x14ac:dyDescent="0.35">
      <c r="A482" t="e">
        <f t="shared" si="77"/>
        <v>#VALUE!</v>
      </c>
      <c r="B482" s="21">
        <f t="shared" ca="1" si="78"/>
        <v>46100</v>
      </c>
      <c r="C482" s="21">
        <f t="shared" ca="1" si="79"/>
        <v>46157</v>
      </c>
      <c r="D482">
        <f t="shared" ca="1" si="80"/>
        <v>44</v>
      </c>
      <c r="E482">
        <f t="shared" ca="1" si="81"/>
        <v>0.88476826835126576</v>
      </c>
      <c r="F482" s="47">
        <f t="shared" ca="1" si="82"/>
        <v>764.09</v>
      </c>
      <c r="G482" s="32" t="str">
        <f t="shared" ca="1" si="83"/>
        <v>hipotecario</v>
      </c>
      <c r="H48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482" t="str">
        <f t="shared" ca="1" si="84"/>
        <v>Sí</v>
      </c>
      <c r="J48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82" s="32">
        <f ca="1">IF(Tabla2[[#This Row],[¿cliente deuda abierta?]]="Sí", Tabla2[[#This Row],[Deuda actual]]*Tabla2[[#This Row],[diferencia de días]], "0")</f>
        <v>33619.96</v>
      </c>
      <c r="L48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48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82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482">
        <f t="shared" ca="1" si="85"/>
        <v>1152.8499999999999</v>
      </c>
      <c r="P482">
        <f t="shared" ca="1" si="86"/>
        <v>33173.17</v>
      </c>
      <c r="Q482">
        <f t="shared" ca="1" si="87"/>
        <v>1</v>
      </c>
      <c r="R482">
        <f ca="1">((Tabla2[[#This Row],[Fantasma Comunicación]]+1)/(Tabla2[[#This Row],[Fantasma Comunicación]]+RANDBETWEEN(0,5)+2))-0.5</f>
        <v>-0.2142857142857143</v>
      </c>
      <c r="S482" s="51">
        <f ca="1">1+MAX(0,Tabla2[[#This Row],[Deuda actual]]/Tabla2[[#This Row],[Liquidez]]+Tabla2[[#This Row],[Liquidez]]/(Tabla2[[#This Row],[Activos]]+Tabla2[[#This Row],[Liquidez]])+Tabla2[[#This Row],[Comunicación]])</f>
        <v>1.4820831315041891</v>
      </c>
      <c r="T482">
        <f ca="1">Tabla2[[#This Row],[Deuda actual]]*EXP(Tabla2[[#This Row],[Ki]]*Tabla2[[#This Row],[diferencia de días]])*(1+Tabla2[[#This Row],[Hg]])</f>
        <v>878.30662430138227</v>
      </c>
    </row>
    <row r="483" spans="1:20" ht="14.5" x14ac:dyDescent="0.35">
      <c r="A483" t="e">
        <f t="shared" si="77"/>
        <v>#VALUE!</v>
      </c>
      <c r="B483" s="21">
        <f t="shared" ca="1" si="78"/>
        <v>46098</v>
      </c>
      <c r="C483" s="21">
        <f t="shared" ca="1" si="79"/>
        <v>46157</v>
      </c>
      <c r="D483">
        <f t="shared" ca="1" si="80"/>
        <v>12</v>
      </c>
      <c r="E483">
        <f t="shared" ca="1" si="81"/>
        <v>0.6936687358334247</v>
      </c>
      <c r="F483" s="47">
        <f t="shared" ca="1" si="82"/>
        <v>196.04</v>
      </c>
      <c r="G483" s="32" t="str">
        <f t="shared" ca="1" si="83"/>
        <v>hipotecario</v>
      </c>
      <c r="H48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83" t="str">
        <f t="shared" ca="1" si="84"/>
        <v>No</v>
      </c>
      <c r="J48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165000.59585192346</v>
      </c>
      <c r="K483" s="32" t="str">
        <f ca="1">IF(Tabla2[[#This Row],[¿cliente deuda abierta?]]="Sí", Tabla2[[#This Row],[Deuda actual]]*Tabla2[[#This Row],[diferencia de días]], "0")</f>
        <v>0</v>
      </c>
      <c r="L48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8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48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483">
        <f t="shared" ca="1" si="85"/>
        <v>1395.24</v>
      </c>
      <c r="P483">
        <f t="shared" ca="1" si="86"/>
        <v>274183.2</v>
      </c>
      <c r="Q483">
        <f t="shared" ca="1" si="87"/>
        <v>4</v>
      </c>
      <c r="R483">
        <f ca="1">((Tabla2[[#This Row],[Fantasma Comunicación]]+1)/(Tabla2[[#This Row],[Fantasma Comunicación]]+RANDBETWEEN(0,5)+2))-0.5</f>
        <v>0.2142857142857143</v>
      </c>
      <c r="S483" s="51">
        <f ca="1">1+MAX(0,Tabla2[[#This Row],[Deuda actual]]/Tabla2[[#This Row],[Liquidez]]+Tabla2[[#This Row],[Liquidez]]/(Tabla2[[#This Row],[Activos]]+Tabla2[[#This Row],[Liquidez]])+Tabla2[[#This Row],[Comunicación]])</f>
        <v>1.359854957607757</v>
      </c>
      <c r="T483">
        <f ca="1">Tabla2[[#This Row],[Deuda actual]]*EXP(Tabla2[[#This Row],[Ki]]*Tabla2[[#This Row],[diferencia de días]])*(1+Tabla2[[#This Row],[Hg]])</f>
        <v>157.20884883771782</v>
      </c>
    </row>
    <row r="484" spans="1:20" ht="14.5" x14ac:dyDescent="0.35">
      <c r="A484" t="e">
        <f t="shared" si="77"/>
        <v>#VALUE!</v>
      </c>
      <c r="B484" s="21">
        <f t="shared" ca="1" si="78"/>
        <v>46099</v>
      </c>
      <c r="C484" s="21">
        <f t="shared" ca="1" si="79"/>
        <v>46157</v>
      </c>
      <c r="D484">
        <f t="shared" ca="1" si="80"/>
        <v>13</v>
      </c>
      <c r="E484">
        <f t="shared" ca="1" si="81"/>
        <v>0.8218080898599579</v>
      </c>
      <c r="F484" s="47">
        <f t="shared" ca="1" si="82"/>
        <v>729.74</v>
      </c>
      <c r="G484" s="32" t="str">
        <f t="shared" ca="1" si="83"/>
        <v>hipotecario</v>
      </c>
      <c r="H48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84" t="str">
        <f t="shared" ca="1" si="84"/>
        <v>Sí</v>
      </c>
      <c r="J48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84" s="32">
        <f ca="1">IF(Tabla2[[#This Row],[¿cliente deuda abierta?]]="Sí", Tabla2[[#This Row],[Deuda actual]]*Tabla2[[#This Row],[diferencia de días]], "0")</f>
        <v>9486.6200000000008</v>
      </c>
      <c r="L48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8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8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84">
        <f t="shared" ca="1" si="85"/>
        <v>1494.43</v>
      </c>
      <c r="P484">
        <f t="shared" ca="1" si="86"/>
        <v>135655.26</v>
      </c>
      <c r="Q484">
        <f t="shared" ca="1" si="87"/>
        <v>0</v>
      </c>
      <c r="R484">
        <f ca="1">((Tabla2[[#This Row],[Fantasma Comunicación]]+1)/(Tabla2[[#This Row],[Fantasma Comunicación]]+RANDBETWEEN(0,5)+2))-0.5</f>
        <v>-0.33333333333333337</v>
      </c>
      <c r="S484" s="51">
        <f ca="1">1+MAX(0,Tabla2[[#This Row],[Deuda actual]]/Tabla2[[#This Row],[Liquidez]]+Tabla2[[#This Row],[Liquidez]]/(Tabla2[[#This Row],[Activos]]+Tabla2[[#This Row],[Liquidez]])+Tabla2[[#This Row],[Comunicación]])</f>
        <v>1.1658695876236631</v>
      </c>
      <c r="T484">
        <f ca="1">Tabla2[[#This Row],[Deuda actual]]*EXP(Tabla2[[#This Row],[Ki]]*Tabla2[[#This Row],[diferencia de días]])*(1+Tabla2[[#This Row],[Hg]])</f>
        <v>768.22178229325402</v>
      </c>
    </row>
    <row r="485" spans="1:20" ht="14.5" x14ac:dyDescent="0.35">
      <c r="A485" t="e">
        <f t="shared" si="77"/>
        <v>#VALUE!</v>
      </c>
      <c r="B485" s="21">
        <f t="shared" ca="1" si="78"/>
        <v>46103</v>
      </c>
      <c r="C485" s="21">
        <f t="shared" ca="1" si="79"/>
        <v>46157</v>
      </c>
      <c r="D485">
        <f t="shared" ca="1" si="80"/>
        <v>26</v>
      </c>
      <c r="E485">
        <f t="shared" ca="1" si="81"/>
        <v>0.19025466716857287</v>
      </c>
      <c r="F485" s="47">
        <f t="shared" ca="1" si="82"/>
        <v>19.8</v>
      </c>
      <c r="G485" s="32" t="str">
        <f t="shared" ca="1" si="83"/>
        <v>hipotecario</v>
      </c>
      <c r="H48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85" t="str">
        <f t="shared" ca="1" si="84"/>
        <v>Sí</v>
      </c>
      <c r="J48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85" s="32">
        <f ca="1">IF(Tabla2[[#This Row],[¿cliente deuda abierta?]]="Sí", Tabla2[[#This Row],[Deuda actual]]*Tabla2[[#This Row],[diferencia de días]], "0")</f>
        <v>514.80000000000007</v>
      </c>
      <c r="L48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8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8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85">
        <f t="shared" ca="1" si="85"/>
        <v>2206.7600000000002</v>
      </c>
      <c r="P485">
        <f t="shared" ca="1" si="86"/>
        <v>207565</v>
      </c>
      <c r="Q485">
        <f t="shared" ca="1" si="87"/>
        <v>2</v>
      </c>
      <c r="R485">
        <f ca="1">((Tabla2[[#This Row],[Fantasma Comunicación]]+1)/(Tabla2[[#This Row],[Fantasma Comunicación]]+RANDBETWEEN(0,5)+2))-0.5</f>
        <v>-0.125</v>
      </c>
      <c r="S485" s="51">
        <f ca="1">1+MAX(0,Tabla2[[#This Row],[Deuda actual]]/Tabla2[[#This Row],[Liquidez]]+Tabla2[[#This Row],[Liquidez]]/(Tabla2[[#This Row],[Activos]]+Tabla2[[#This Row],[Liquidez]])+Tabla2[[#This Row],[Comunicación]])</f>
        <v>1</v>
      </c>
      <c r="T485">
        <f ca="1">Tabla2[[#This Row],[Deuda actual]]*EXP(Tabla2[[#This Row],[Ki]]*Tabla2[[#This Row],[diferencia de días]])*(1+Tabla2[[#This Row],[Hg]])</f>
        <v>21.007344231008773</v>
      </c>
    </row>
    <row r="486" spans="1:20" ht="14.5" x14ac:dyDescent="0.35">
      <c r="A486" t="e">
        <f t="shared" si="77"/>
        <v>#VALUE!</v>
      </c>
      <c r="B486" s="21">
        <f t="shared" ca="1" si="78"/>
        <v>46082</v>
      </c>
      <c r="C486" s="21">
        <f t="shared" ca="1" si="79"/>
        <v>46157</v>
      </c>
      <c r="D486">
        <f t="shared" ca="1" si="80"/>
        <v>13</v>
      </c>
      <c r="E486">
        <f t="shared" ca="1" si="81"/>
        <v>0.87181949843246354</v>
      </c>
      <c r="F486" s="47">
        <f t="shared" ca="1" si="82"/>
        <v>2965.91</v>
      </c>
      <c r="G486" s="32" t="str">
        <f t="shared" ca="1" si="83"/>
        <v>hipotecario</v>
      </c>
      <c r="H48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86" t="str">
        <f t="shared" ca="1" si="84"/>
        <v>Sí</v>
      </c>
      <c r="J48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86" s="32">
        <f ca="1">IF(Tabla2[[#This Row],[¿cliente deuda abierta?]]="Sí", Tabla2[[#This Row],[Deuda actual]]*Tabla2[[#This Row],[diferencia de días]], "0")</f>
        <v>38556.83</v>
      </c>
      <c r="L48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48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86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486">
        <f t="shared" ca="1" si="85"/>
        <v>1693.07</v>
      </c>
      <c r="P486">
        <f t="shared" ca="1" si="86"/>
        <v>35320.22</v>
      </c>
      <c r="Q486">
        <f t="shared" ca="1" si="87"/>
        <v>4</v>
      </c>
      <c r="R486">
        <f ca="1">((Tabla2[[#This Row],[Fantasma Comunicación]]+1)/(Tabla2[[#This Row],[Fantasma Comunicación]]+RANDBETWEEN(0,5)+2))-0.5</f>
        <v>0.125</v>
      </c>
      <c r="S486" s="51">
        <f ca="1">1+MAX(0,Tabla2[[#This Row],[Deuda actual]]/Tabla2[[#This Row],[Liquidez]]+Tabla2[[#This Row],[Liquidez]]/(Tabla2[[#This Row],[Activos]]+Tabla2[[#This Row],[Liquidez]])+Tabla2[[#This Row],[Comunicación]])</f>
        <v>2.9225362967512103</v>
      </c>
      <c r="T486">
        <f ca="1">Tabla2[[#This Row],[Deuda actual]]*EXP(Tabla2[[#This Row],[Ki]]*Tabla2[[#This Row],[diferencia de días]])*(1+Tabla2[[#This Row],[Hg]])</f>
        <v>3270.9945394165484</v>
      </c>
    </row>
    <row r="487" spans="1:20" ht="14.5" x14ac:dyDescent="0.35">
      <c r="A487" t="e">
        <f t="shared" si="77"/>
        <v>#VALUE!</v>
      </c>
      <c r="B487" s="21">
        <f t="shared" ca="1" si="78"/>
        <v>46115</v>
      </c>
      <c r="C487" s="21">
        <f t="shared" ca="1" si="79"/>
        <v>46157</v>
      </c>
      <c r="D487">
        <f t="shared" ca="1" si="80"/>
        <v>16</v>
      </c>
      <c r="E487">
        <f t="shared" ca="1" si="81"/>
        <v>0.78748656458205657</v>
      </c>
      <c r="F487" s="47">
        <f t="shared" ca="1" si="82"/>
        <v>925.59</v>
      </c>
      <c r="G487" s="32" t="str">
        <f t="shared" ca="1" si="83"/>
        <v>personal</v>
      </c>
      <c r="H48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87" t="str">
        <f t="shared" ca="1" si="84"/>
        <v>Sí</v>
      </c>
      <c r="J48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87" s="32">
        <f ca="1">IF(Tabla2[[#This Row],[¿cliente deuda abierta?]]="Sí", Tabla2[[#This Row],[Deuda actual]]*Tabla2[[#This Row],[diferencia de días]], "0")</f>
        <v>14809.44</v>
      </c>
      <c r="L48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8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8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87">
        <f t="shared" ca="1" si="85"/>
        <v>2177.4699999999998</v>
      </c>
      <c r="P487">
        <f t="shared" ca="1" si="86"/>
        <v>382867.1</v>
      </c>
      <c r="Q487">
        <f t="shared" ca="1" si="87"/>
        <v>1</v>
      </c>
      <c r="R487">
        <f ca="1">((Tabla2[[#This Row],[Fantasma Comunicación]]+1)/(Tabla2[[#This Row],[Fantasma Comunicación]]+RANDBETWEEN(0,5)+2))-0.5</f>
        <v>-0.16666666666666669</v>
      </c>
      <c r="S487" s="51">
        <f ca="1">1+MAX(0,Tabla2[[#This Row],[Deuda actual]]/Tabla2[[#This Row],[Liquidez]]+Tabla2[[#This Row],[Liquidez]]/(Tabla2[[#This Row],[Activos]]+Tabla2[[#This Row],[Liquidez]])+Tabla2[[#This Row],[Comunicación]])</f>
        <v>1.2640643357235606</v>
      </c>
      <c r="T487">
        <f ca="1">Tabla2[[#This Row],[Deuda actual]]*EXP(Tabla2[[#This Row],[Ki]]*Tabla2[[#This Row],[diferencia de días]])*(1+Tabla2[[#This Row],[Hg]])</f>
        <v>978.10941121701217</v>
      </c>
    </row>
    <row r="488" spans="1:20" ht="14.5" x14ac:dyDescent="0.35">
      <c r="A488" t="e">
        <f t="shared" si="77"/>
        <v>#VALUE!</v>
      </c>
      <c r="B488" s="21">
        <f t="shared" ca="1" si="78"/>
        <v>46097</v>
      </c>
      <c r="C488" s="21">
        <f t="shared" ca="1" si="79"/>
        <v>46157</v>
      </c>
      <c r="D488">
        <f t="shared" ca="1" si="80"/>
        <v>14</v>
      </c>
      <c r="E488">
        <f t="shared" ca="1" si="81"/>
        <v>0.66484007739005335</v>
      </c>
      <c r="F488" s="47">
        <f t="shared" ca="1" si="82"/>
        <v>691.83</v>
      </c>
      <c r="G488" s="32" t="str">
        <f t="shared" ca="1" si="83"/>
        <v>personal</v>
      </c>
      <c r="H48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88" t="str">
        <f t="shared" ca="1" si="84"/>
        <v>Sí</v>
      </c>
      <c r="J48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88" s="32">
        <f ca="1">IF(Tabla2[[#This Row],[¿cliente deuda abierta?]]="Sí", Tabla2[[#This Row],[Deuda actual]]*Tabla2[[#This Row],[diferencia de días]], "0")</f>
        <v>9685.6200000000008</v>
      </c>
      <c r="L48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8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8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88">
        <f t="shared" ca="1" si="85"/>
        <v>2266.66</v>
      </c>
      <c r="P488">
        <f t="shared" ca="1" si="86"/>
        <v>83070.820000000007</v>
      </c>
      <c r="Q488">
        <f t="shared" ca="1" si="87"/>
        <v>5</v>
      </c>
      <c r="R488">
        <f ca="1">((Tabla2[[#This Row],[Fantasma Comunicación]]+1)/(Tabla2[[#This Row],[Fantasma Comunicación]]+RANDBETWEEN(0,5)+2))-0.5</f>
        <v>0.16666666666666663</v>
      </c>
      <c r="S488" s="51">
        <f ca="1">1+MAX(0,Tabla2[[#This Row],[Deuda actual]]/Tabla2[[#This Row],[Liquidez]]+Tabla2[[#This Row],[Liquidez]]/(Tabla2[[#This Row],[Activos]]+Tabla2[[#This Row],[Liquidez]])+Tabla2[[#This Row],[Comunicación]])</f>
        <v>1.4984478131896852</v>
      </c>
      <c r="T488">
        <f ca="1">Tabla2[[#This Row],[Deuda actual]]*EXP(Tabla2[[#This Row],[Ki]]*Tabla2[[#This Row],[diferencia de días]])*(1+Tabla2[[#This Row],[Hg]])</f>
        <v>728.45833043187565</v>
      </c>
    </row>
    <row r="489" spans="1:20" ht="14.5" x14ac:dyDescent="0.35">
      <c r="A489" t="e">
        <f t="shared" si="77"/>
        <v>#VALUE!</v>
      </c>
      <c r="B489" s="21">
        <f t="shared" ca="1" si="78"/>
        <v>46099</v>
      </c>
      <c r="C489" s="21">
        <f t="shared" ca="1" si="79"/>
        <v>46157</v>
      </c>
      <c r="D489">
        <f t="shared" ca="1" si="80"/>
        <v>14</v>
      </c>
      <c r="E489">
        <f t="shared" ca="1" si="81"/>
        <v>0.46184247113536936</v>
      </c>
      <c r="F489" s="47">
        <f t="shared" ca="1" si="82"/>
        <v>6774.69</v>
      </c>
      <c r="G489" s="32" t="str">
        <f t="shared" ca="1" si="83"/>
        <v>personal</v>
      </c>
      <c r="H48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89" t="str">
        <f t="shared" ca="1" si="84"/>
        <v>No</v>
      </c>
      <c r="J48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12000.543799654375</v>
      </c>
      <c r="K489" s="32" t="str">
        <f ca="1">IF(Tabla2[[#This Row],[¿cliente deuda abierta?]]="Sí", Tabla2[[#This Row],[Deuda actual]]*Tabla2[[#This Row],[diferencia de días]], "0")</f>
        <v>0</v>
      </c>
      <c r="L48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8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48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489">
        <f t="shared" ca="1" si="85"/>
        <v>1758.73</v>
      </c>
      <c r="P489">
        <f t="shared" ca="1" si="86"/>
        <v>539869.11</v>
      </c>
      <c r="Q489">
        <f t="shared" ca="1" si="87"/>
        <v>3</v>
      </c>
      <c r="R489">
        <f ca="1">((Tabla2[[#This Row],[Fantasma Comunicación]]+1)/(Tabla2[[#This Row],[Fantasma Comunicación]]+RANDBETWEEN(0,5)+2))-0.5</f>
        <v>7.1428571428571397E-2</v>
      </c>
      <c r="S489" s="51">
        <f ca="1">1+MAX(0,Tabla2[[#This Row],[Deuda actual]]/Tabla2[[#This Row],[Liquidez]]+Tabla2[[#This Row],[Liquidez]]/(Tabla2[[#This Row],[Activos]]+Tabla2[[#This Row],[Liquidez]])+Tabla2[[#This Row],[Comunicación]])</f>
        <v>4.9267109657903481</v>
      </c>
      <c r="T489">
        <f ca="1">Tabla2[[#This Row],[Deuda actual]]*EXP(Tabla2[[#This Row],[Ki]]*Tabla2[[#This Row],[diferencia de días]])*(1+Tabla2[[#This Row],[Hg]])</f>
        <v>6114.3171422296427</v>
      </c>
    </row>
    <row r="490" spans="1:20" ht="14.5" x14ac:dyDescent="0.35">
      <c r="A490" t="e">
        <f t="shared" si="77"/>
        <v>#VALUE!</v>
      </c>
      <c r="B490" s="21">
        <f t="shared" ca="1" si="78"/>
        <v>46133</v>
      </c>
      <c r="C490" s="21">
        <f t="shared" ca="1" si="79"/>
        <v>46157</v>
      </c>
      <c r="D490">
        <f t="shared" ca="1" si="80"/>
        <v>2</v>
      </c>
      <c r="E490">
        <f t="shared" ca="1" si="81"/>
        <v>0.35073609308961251</v>
      </c>
      <c r="F490" s="47">
        <f t="shared" ca="1" si="82"/>
        <v>925.93</v>
      </c>
      <c r="G490" s="32" t="str">
        <f t="shared" ca="1" si="83"/>
        <v>personal</v>
      </c>
      <c r="H49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90" t="str">
        <f t="shared" ca="1" si="84"/>
        <v>Sí</v>
      </c>
      <c r="J49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90" s="32">
        <f ca="1">IF(Tabla2[[#This Row],[¿cliente deuda abierta?]]="Sí", Tabla2[[#This Row],[Deuda actual]]*Tabla2[[#This Row],[diferencia de días]], "0")</f>
        <v>1851.86</v>
      </c>
      <c r="L49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9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9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90">
        <f t="shared" ca="1" si="85"/>
        <v>1672.27</v>
      </c>
      <c r="P490">
        <f t="shared" ca="1" si="86"/>
        <v>142893.82</v>
      </c>
      <c r="Q490">
        <f t="shared" ca="1" si="87"/>
        <v>0</v>
      </c>
      <c r="R490">
        <f ca="1">((Tabla2[[#This Row],[Fantasma Comunicación]]+1)/(Tabla2[[#This Row],[Fantasma Comunicación]]+RANDBETWEEN(0,5)+2))-0.5</f>
        <v>0</v>
      </c>
      <c r="S490" s="51">
        <f ca="1">1+MAX(0,Tabla2[[#This Row],[Deuda actual]]/Tabla2[[#This Row],[Liquidez]]+Tabla2[[#This Row],[Liquidez]]/(Tabla2[[#This Row],[Activos]]+Tabla2[[#This Row],[Liquidez]])+Tabla2[[#This Row],[Comunicación]])</f>
        <v>1.5652639845919312</v>
      </c>
      <c r="T490">
        <f ca="1">Tabla2[[#This Row],[Deuda actual]]*EXP(Tabla2[[#This Row],[Ki]]*Tabla2[[#This Row],[diferencia de días]])*(1+Tabla2[[#This Row],[Hg]])</f>
        <v>972.61546838849154</v>
      </c>
    </row>
    <row r="491" spans="1:20" ht="14.5" x14ac:dyDescent="0.35">
      <c r="A491" t="e">
        <f t="shared" si="77"/>
        <v>#VALUE!</v>
      </c>
      <c r="B491" s="21">
        <f t="shared" ca="1" si="78"/>
        <v>46088</v>
      </c>
      <c r="C491" s="21">
        <f t="shared" ca="1" si="79"/>
        <v>46157</v>
      </c>
      <c r="D491">
        <f t="shared" ca="1" si="80"/>
        <v>7</v>
      </c>
      <c r="E491">
        <f t="shared" ca="1" si="81"/>
        <v>0.19419672160394597</v>
      </c>
      <c r="F491" s="47">
        <f t="shared" ca="1" si="82"/>
        <v>905.81</v>
      </c>
      <c r="G491" s="32" t="str">
        <f t="shared" ca="1" si="83"/>
        <v>hipotecario</v>
      </c>
      <c r="H49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91" t="str">
        <f t="shared" ca="1" si="84"/>
        <v>Sí</v>
      </c>
      <c r="J49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91" s="32">
        <f ca="1">IF(Tabla2[[#This Row],[¿cliente deuda abierta?]]="Sí", Tabla2[[#This Row],[Deuda actual]]*Tabla2[[#This Row],[diferencia de días]], "0")</f>
        <v>6340.67</v>
      </c>
      <c r="L49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9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9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91">
        <f t="shared" ca="1" si="85"/>
        <v>1238.3900000000001</v>
      </c>
      <c r="P491">
        <f t="shared" ca="1" si="86"/>
        <v>106336.1</v>
      </c>
      <c r="Q491">
        <f t="shared" ca="1" si="87"/>
        <v>2</v>
      </c>
      <c r="R491">
        <f ca="1">((Tabla2[[#This Row],[Fantasma Comunicación]]+1)/(Tabla2[[#This Row],[Fantasma Comunicación]]+RANDBETWEEN(0,5)+2))-0.5</f>
        <v>-0.125</v>
      </c>
      <c r="S491" s="51">
        <f ca="1">1+MAX(0,Tabla2[[#This Row],[Deuda actual]]/Tabla2[[#This Row],[Liquidez]]+Tabla2[[#This Row],[Liquidez]]/(Tabla2[[#This Row],[Activos]]+Tabla2[[#This Row],[Liquidez]])+Tabla2[[#This Row],[Comunicación]])</f>
        <v>1.6179535598705255</v>
      </c>
      <c r="T491">
        <f ca="1">Tabla2[[#This Row],[Deuda actual]]*EXP(Tabla2[[#This Row],[Ki]]*Tabla2[[#This Row],[diferencia de días]])*(1+Tabla2[[#This Row],[Hg]])</f>
        <v>952.43297321361229</v>
      </c>
    </row>
    <row r="492" spans="1:20" ht="14.5" x14ac:dyDescent="0.35">
      <c r="A492" t="e">
        <f t="shared" si="77"/>
        <v>#VALUE!</v>
      </c>
      <c r="B492" s="21">
        <f t="shared" ca="1" si="78"/>
        <v>46108</v>
      </c>
      <c r="C492" s="21">
        <f t="shared" ca="1" si="79"/>
        <v>46157</v>
      </c>
      <c r="D492">
        <f t="shared" ca="1" si="80"/>
        <v>29</v>
      </c>
      <c r="E492">
        <f t="shared" ca="1" si="81"/>
        <v>0.12780291598332005</v>
      </c>
      <c r="F492" s="47">
        <f t="shared" ca="1" si="82"/>
        <v>1059.03</v>
      </c>
      <c r="G492" s="32" t="str">
        <f t="shared" ca="1" si="83"/>
        <v>hipotecario</v>
      </c>
      <c r="H49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92" t="str">
        <f t="shared" ca="1" si="84"/>
        <v>Sí</v>
      </c>
      <c r="J49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92" s="32">
        <f ca="1">IF(Tabla2[[#This Row],[¿cliente deuda abierta?]]="Sí", Tabla2[[#This Row],[Deuda actual]]*Tabla2[[#This Row],[diferencia de días]], "0")</f>
        <v>30711.87</v>
      </c>
      <c r="L49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49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92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492">
        <f t="shared" ca="1" si="85"/>
        <v>1447.73</v>
      </c>
      <c r="P492">
        <f t="shared" ca="1" si="86"/>
        <v>118715.81</v>
      </c>
      <c r="Q492">
        <f t="shared" ca="1" si="87"/>
        <v>2</v>
      </c>
      <c r="R492">
        <f ca="1">((Tabla2[[#This Row],[Fantasma Comunicación]]+1)/(Tabla2[[#This Row],[Fantasma Comunicación]]+RANDBETWEEN(0,5)+2))-0.5</f>
        <v>9.9999999999999978E-2</v>
      </c>
      <c r="S492" s="51">
        <f ca="1">1+MAX(0,Tabla2[[#This Row],[Deuda actual]]/Tabla2[[#This Row],[Liquidez]]+Tabla2[[#This Row],[Liquidez]]/(Tabla2[[#This Row],[Activos]]+Tabla2[[#This Row],[Liquidez]])+Tabla2[[#This Row],[Comunicación]])</f>
        <v>1.8435587071243427</v>
      </c>
      <c r="T492">
        <f ca="1">Tabla2[[#This Row],[Deuda actual]]*EXP(Tabla2[[#This Row],[Ki]]*Tabla2[[#This Row],[diferencia de días]])*(1+Tabla2[[#This Row],[Hg]])</f>
        <v>1178.5249034296901</v>
      </c>
    </row>
    <row r="493" spans="1:20" ht="14.5" x14ac:dyDescent="0.35">
      <c r="A493" t="e">
        <f t="shared" si="77"/>
        <v>#VALUE!</v>
      </c>
      <c r="B493" s="21">
        <f t="shared" ca="1" si="78"/>
        <v>46093</v>
      </c>
      <c r="C493" s="21">
        <f t="shared" ca="1" si="79"/>
        <v>46157</v>
      </c>
      <c r="D493">
        <f t="shared" ca="1" si="80"/>
        <v>5</v>
      </c>
      <c r="E493">
        <f t="shared" ca="1" si="81"/>
        <v>0.19257577472867238</v>
      </c>
      <c r="F493" s="47">
        <f t="shared" ca="1" si="82"/>
        <v>2206.17</v>
      </c>
      <c r="G493" s="32" t="str">
        <f t="shared" ca="1" si="83"/>
        <v>hipotecario</v>
      </c>
      <c r="H49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93" t="str">
        <f t="shared" ca="1" si="84"/>
        <v>No</v>
      </c>
      <c r="J49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164997.68876792912</v>
      </c>
      <c r="K493" s="32" t="str">
        <f ca="1">IF(Tabla2[[#This Row],[¿cliente deuda abierta?]]="Sí", Tabla2[[#This Row],[Deuda actual]]*Tabla2[[#This Row],[diferencia de días]], "0")</f>
        <v>0</v>
      </c>
      <c r="L49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9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49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493">
        <f t="shared" ca="1" si="85"/>
        <v>1699.05</v>
      </c>
      <c r="P493">
        <f t="shared" ca="1" si="86"/>
        <v>53366.2</v>
      </c>
      <c r="Q493">
        <f t="shared" ca="1" si="87"/>
        <v>1</v>
      </c>
      <c r="R493">
        <f ca="1">((Tabla2[[#This Row],[Fantasma Comunicación]]+1)/(Tabla2[[#This Row],[Fantasma Comunicación]]+RANDBETWEEN(0,5)+2))-0.5</f>
        <v>0</v>
      </c>
      <c r="S493" s="51">
        <f ca="1">1+MAX(0,Tabla2[[#This Row],[Deuda actual]]/Tabla2[[#This Row],[Liquidez]]+Tabla2[[#This Row],[Liquidez]]/(Tabla2[[#This Row],[Activos]]+Tabla2[[#This Row],[Liquidez]])+Tabla2[[#This Row],[Comunicación]])</f>
        <v>2.3293278885866275</v>
      </c>
      <c r="T493">
        <f ca="1">Tabla2[[#This Row],[Deuda actual]]*EXP(Tabla2[[#This Row],[Ki]]*Tabla2[[#This Row],[diferencia de días]])*(1+Tabla2[[#This Row],[Hg]])</f>
        <v>1766.7018187622298</v>
      </c>
    </row>
    <row r="494" spans="1:20" ht="14.5" x14ac:dyDescent="0.35">
      <c r="A494" t="e">
        <f t="shared" si="77"/>
        <v>#VALUE!</v>
      </c>
      <c r="B494" s="21">
        <f t="shared" ca="1" si="78"/>
        <v>46087</v>
      </c>
      <c r="C494" s="21">
        <f t="shared" ca="1" si="79"/>
        <v>46157</v>
      </c>
      <c r="D494">
        <f t="shared" ca="1" si="80"/>
        <v>25</v>
      </c>
      <c r="E494">
        <f t="shared" ca="1" si="81"/>
        <v>0.67726561384008632</v>
      </c>
      <c r="F494" s="47">
        <f t="shared" ca="1" si="82"/>
        <v>1408.17</v>
      </c>
      <c r="G494" s="32" t="str">
        <f t="shared" ca="1" si="83"/>
        <v>personal</v>
      </c>
      <c r="H49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94" t="str">
        <f t="shared" ca="1" si="84"/>
        <v>No</v>
      </c>
      <c r="J49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11999.251012123263</v>
      </c>
      <c r="K494" s="32" t="str">
        <f ca="1">IF(Tabla2[[#This Row],[¿cliente deuda abierta?]]="Sí", Tabla2[[#This Row],[Deuda actual]]*Tabla2[[#This Row],[diferencia de días]], "0")</f>
        <v>0</v>
      </c>
      <c r="L49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9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49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494">
        <f t="shared" ca="1" si="85"/>
        <v>1869.6</v>
      </c>
      <c r="P494">
        <f t="shared" ca="1" si="86"/>
        <v>170792.48</v>
      </c>
      <c r="Q494">
        <f t="shared" ca="1" si="87"/>
        <v>3</v>
      </c>
      <c r="R494">
        <f ca="1">((Tabla2[[#This Row],[Fantasma Comunicación]]+1)/(Tabla2[[#This Row],[Fantasma Comunicación]]+RANDBETWEEN(0,5)+2))-0.5</f>
        <v>0.30000000000000004</v>
      </c>
      <c r="S494" s="51">
        <f ca="1">1+MAX(0,Tabla2[[#This Row],[Deuda actual]]/Tabla2[[#This Row],[Liquidez]]+Tabla2[[#This Row],[Liquidez]]/(Tabla2[[#This Row],[Activos]]+Tabla2[[#This Row],[Liquidez]])+Tabla2[[#This Row],[Comunicación]])</f>
        <v>2.0640212832675697</v>
      </c>
      <c r="T494">
        <f ca="1">Tabla2[[#This Row],[Deuda actual]]*EXP(Tabla2[[#This Row],[Ki]]*Tabla2[[#This Row],[diferencia de días]])*(1+Tabla2[[#This Row],[Hg]])</f>
        <v>1280.0901094046217</v>
      </c>
    </row>
    <row r="495" spans="1:20" ht="14.5" x14ac:dyDescent="0.35">
      <c r="A495" t="e">
        <f t="shared" si="77"/>
        <v>#VALUE!</v>
      </c>
      <c r="B495" s="21">
        <f t="shared" ca="1" si="78"/>
        <v>46085</v>
      </c>
      <c r="C495" s="21">
        <f t="shared" ca="1" si="79"/>
        <v>46157</v>
      </c>
      <c r="D495">
        <f t="shared" ca="1" si="80"/>
        <v>18</v>
      </c>
      <c r="E495">
        <f t="shared" ca="1" si="81"/>
        <v>0.80502975108918495</v>
      </c>
      <c r="F495" s="47">
        <f t="shared" ca="1" si="82"/>
        <v>200.71</v>
      </c>
      <c r="G495" s="32" t="str">
        <f t="shared" ca="1" si="83"/>
        <v>hipotecario</v>
      </c>
      <c r="H49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495" t="str">
        <f t="shared" ca="1" si="84"/>
        <v>Sí</v>
      </c>
      <c r="J49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95" s="32">
        <f ca="1">IF(Tabla2[[#This Row],[¿cliente deuda abierta?]]="Sí", Tabla2[[#This Row],[Deuda actual]]*Tabla2[[#This Row],[diferencia de días]], "0")</f>
        <v>3612.78</v>
      </c>
      <c r="L49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9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9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95">
        <f t="shared" ca="1" si="85"/>
        <v>2008.33</v>
      </c>
      <c r="P495">
        <f t="shared" ca="1" si="86"/>
        <v>93036.44</v>
      </c>
      <c r="Q495">
        <f t="shared" ca="1" si="87"/>
        <v>1</v>
      </c>
      <c r="R495">
        <f ca="1">((Tabla2[[#This Row],[Fantasma Comunicación]]+1)/(Tabla2[[#This Row],[Fantasma Comunicación]]+RANDBETWEEN(0,5)+2))-0.5</f>
        <v>0.16666666666666663</v>
      </c>
      <c r="S495" s="51">
        <f ca="1">1+MAX(0,Tabla2[[#This Row],[Deuda actual]]/Tabla2[[#This Row],[Liquidez]]+Tabla2[[#This Row],[Liquidez]]/(Tabla2[[#This Row],[Activos]]+Tabla2[[#This Row],[Liquidez]])+Tabla2[[#This Row],[Comunicación]])</f>
        <v>1.2877357795820523</v>
      </c>
      <c r="T495">
        <f ca="1">Tabla2[[#This Row],[Deuda actual]]*EXP(Tabla2[[#This Row],[Ki]]*Tabla2[[#This Row],[diferencia de días]])*(1+Tabla2[[#This Row],[Hg]])</f>
        <v>212.26834325704823</v>
      </c>
    </row>
    <row r="496" spans="1:20" ht="14.5" x14ac:dyDescent="0.35">
      <c r="A496" t="e">
        <f t="shared" si="77"/>
        <v>#VALUE!</v>
      </c>
      <c r="B496" s="21">
        <f t="shared" ca="1" si="78"/>
        <v>46115</v>
      </c>
      <c r="C496" s="21">
        <f t="shared" ca="1" si="79"/>
        <v>46157</v>
      </c>
      <c r="D496">
        <f t="shared" ca="1" si="80"/>
        <v>13</v>
      </c>
      <c r="E496">
        <f t="shared" ca="1" si="81"/>
        <v>0.94811171828625784</v>
      </c>
      <c r="F496" s="47">
        <f t="shared" ca="1" si="82"/>
        <v>2972.91</v>
      </c>
      <c r="G496" s="32" t="str">
        <f t="shared" ca="1" si="83"/>
        <v>hipotecario</v>
      </c>
      <c r="H49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96" t="str">
        <f t="shared" ca="1" si="84"/>
        <v>No</v>
      </c>
      <c r="J49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165000.85439101784</v>
      </c>
      <c r="K496" s="32" t="str">
        <f ca="1">IF(Tabla2[[#This Row],[¿cliente deuda abierta?]]="Sí", Tabla2[[#This Row],[Deuda actual]]*Tabla2[[#This Row],[diferencia de días]], "0")</f>
        <v>0</v>
      </c>
      <c r="L49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9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49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496">
        <f t="shared" ca="1" si="85"/>
        <v>1655.93</v>
      </c>
      <c r="P496">
        <f t="shared" ca="1" si="86"/>
        <v>129277.4</v>
      </c>
      <c r="Q496">
        <f t="shared" ca="1" si="87"/>
        <v>2</v>
      </c>
      <c r="R496">
        <f ca="1">((Tabla2[[#This Row],[Fantasma Comunicación]]+1)/(Tabla2[[#This Row],[Fantasma Comunicación]]+RANDBETWEEN(0,5)+2))-0.5</f>
        <v>0.25</v>
      </c>
      <c r="S496" s="51">
        <f ca="1">1+MAX(0,Tabla2[[#This Row],[Deuda actual]]/Tabla2[[#This Row],[Liquidez]]+Tabla2[[#This Row],[Liquidez]]/(Tabla2[[#This Row],[Activos]]+Tabla2[[#This Row],[Liquidez]])+Tabla2[[#This Row],[Comunicación]])</f>
        <v>3.0579585195530123</v>
      </c>
      <c r="T496">
        <f ca="1">Tabla2[[#This Row],[Deuda actual]]*EXP(Tabla2[[#This Row],[Ki]]*Tabla2[[#This Row],[diferencia de días]])*(1+Tabla2[[#This Row],[Hg]])</f>
        <v>2384.5196985200864</v>
      </c>
    </row>
    <row r="497" spans="1:20" ht="14.5" x14ac:dyDescent="0.35">
      <c r="A497" t="e">
        <f t="shared" si="77"/>
        <v>#VALUE!</v>
      </c>
      <c r="B497" s="21">
        <f t="shared" ca="1" si="78"/>
        <v>46103</v>
      </c>
      <c r="C497" s="21">
        <f t="shared" ca="1" si="79"/>
        <v>46157</v>
      </c>
      <c r="D497">
        <f t="shared" ca="1" si="80"/>
        <v>6</v>
      </c>
      <c r="E497">
        <f t="shared" ca="1" si="81"/>
        <v>0.2921818569848047</v>
      </c>
      <c r="F497" s="47">
        <f t="shared" ca="1" si="82"/>
        <v>612.58000000000004</v>
      </c>
      <c r="G497" s="32" t="str">
        <f t="shared" ca="1" si="83"/>
        <v>personal</v>
      </c>
      <c r="H49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97" t="str">
        <f t="shared" ca="1" si="84"/>
        <v>No</v>
      </c>
      <c r="J49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12000.456604446728</v>
      </c>
      <c r="K497" s="32" t="str">
        <f ca="1">IF(Tabla2[[#This Row],[¿cliente deuda abierta?]]="Sí", Tabla2[[#This Row],[Deuda actual]]*Tabla2[[#This Row],[diferencia de días]], "0")</f>
        <v>0</v>
      </c>
      <c r="L49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9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49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497">
        <f t="shared" ca="1" si="85"/>
        <v>1759.86</v>
      </c>
      <c r="P497">
        <f t="shared" ca="1" si="86"/>
        <v>114621.84</v>
      </c>
      <c r="Q497">
        <f t="shared" ca="1" si="87"/>
        <v>2</v>
      </c>
      <c r="R497">
        <f ca="1">((Tabla2[[#This Row],[Fantasma Comunicación]]+1)/(Tabla2[[#This Row],[Fantasma Comunicación]]+RANDBETWEEN(0,5)+2))-0.5</f>
        <v>0</v>
      </c>
      <c r="S497" s="51">
        <f ca="1">1+MAX(0,Tabla2[[#This Row],[Deuda actual]]/Tabla2[[#This Row],[Liquidez]]+Tabla2[[#This Row],[Liquidez]]/(Tabla2[[#This Row],[Activos]]+Tabla2[[#This Row],[Liquidez]])+Tabla2[[#This Row],[Comunicación]])</f>
        <v>1.3632059562283625</v>
      </c>
      <c r="T497">
        <f ca="1">Tabla2[[#This Row],[Deuda actual]]*EXP(Tabla2[[#This Row],[Ki]]*Tabla2[[#This Row],[diferencia de días]])*(1+Tabla2[[#This Row],[Hg]])</f>
        <v>551.98398351066839</v>
      </c>
    </row>
    <row r="498" spans="1:20" ht="14.5" x14ac:dyDescent="0.35">
      <c r="A498" t="e">
        <f t="shared" si="77"/>
        <v>#VALUE!</v>
      </c>
      <c r="B498" s="21">
        <f t="shared" ca="1" si="78"/>
        <v>46107</v>
      </c>
      <c r="C498" s="21">
        <f t="shared" ca="1" si="79"/>
        <v>46157</v>
      </c>
      <c r="D498">
        <f t="shared" ca="1" si="80"/>
        <v>13</v>
      </c>
      <c r="E498">
        <f t="shared" ca="1" si="81"/>
        <v>1.8649701772259664E-2</v>
      </c>
      <c r="F498" s="47">
        <f t="shared" ca="1" si="82"/>
        <v>161.02000000000001</v>
      </c>
      <c r="G498" s="32" t="str">
        <f t="shared" ca="1" si="83"/>
        <v>hipotecario</v>
      </c>
      <c r="H49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98" t="str">
        <f t="shared" ca="1" si="84"/>
        <v>Sí</v>
      </c>
      <c r="J49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498" s="32">
        <f ca="1">IF(Tabla2[[#This Row],[¿cliente deuda abierta?]]="Sí", Tabla2[[#This Row],[Deuda actual]]*Tabla2[[#This Row],[diferencia de días]], "0")</f>
        <v>2093.2600000000002</v>
      </c>
      <c r="L49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49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49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498">
        <f t="shared" ca="1" si="85"/>
        <v>1533.43</v>
      </c>
      <c r="P498">
        <f t="shared" ca="1" si="86"/>
        <v>351791.7</v>
      </c>
      <c r="Q498">
        <f t="shared" ca="1" si="87"/>
        <v>3</v>
      </c>
      <c r="R498">
        <f ca="1">((Tabla2[[#This Row],[Fantasma Comunicación]]+1)/(Tabla2[[#This Row],[Fantasma Comunicación]]+RANDBETWEEN(0,5)+2))-0.5</f>
        <v>0.30000000000000004</v>
      </c>
      <c r="S498" s="51">
        <f ca="1">1+MAX(0,Tabla2[[#This Row],[Deuda actual]]/Tabla2[[#This Row],[Liquidez]]+Tabla2[[#This Row],[Liquidez]]/(Tabla2[[#This Row],[Activos]]+Tabla2[[#This Row],[Liquidez]])+Tabla2[[#This Row],[Comunicación]])</f>
        <v>1.4093464204961266</v>
      </c>
      <c r="T498">
        <f ca="1">Tabla2[[#This Row],[Deuda actual]]*EXP(Tabla2[[#This Row],[Ki]]*Tabla2[[#This Row],[diferencia de días]])*(1+Tabla2[[#This Row],[Hg]])</f>
        <v>169.51115655556742</v>
      </c>
    </row>
    <row r="499" spans="1:20" ht="14.5" x14ac:dyDescent="0.35">
      <c r="A499" t="e">
        <f t="shared" si="77"/>
        <v>#VALUE!</v>
      </c>
      <c r="B499" s="21">
        <f t="shared" ca="1" si="78"/>
        <v>46128</v>
      </c>
      <c r="C499" s="21">
        <f t="shared" ca="1" si="79"/>
        <v>46157</v>
      </c>
      <c r="D499">
        <f t="shared" ca="1" si="80"/>
        <v>1</v>
      </c>
      <c r="E499">
        <f t="shared" ca="1" si="81"/>
        <v>0.94551022016123054</v>
      </c>
      <c r="F499" s="47">
        <f t="shared" ca="1" si="82"/>
        <v>1213.18</v>
      </c>
      <c r="G499" s="32" t="str">
        <f t="shared" ca="1" si="83"/>
        <v>hipotecario</v>
      </c>
      <c r="H49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499" t="str">
        <f t="shared" ca="1" si="84"/>
        <v>No</v>
      </c>
      <c r="J49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164999.27736196626</v>
      </c>
      <c r="K499" s="32" t="str">
        <f ca="1">IF(Tabla2[[#This Row],[¿cliente deuda abierta?]]="Sí", Tabla2[[#This Row],[Deuda actual]]*Tabla2[[#This Row],[diferencia de días]], "0")</f>
        <v>0</v>
      </c>
      <c r="L49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49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49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499">
        <f t="shared" ca="1" si="85"/>
        <v>1838.24</v>
      </c>
      <c r="P499">
        <f t="shared" ca="1" si="86"/>
        <v>256107.51</v>
      </c>
      <c r="Q499">
        <f t="shared" ca="1" si="87"/>
        <v>5</v>
      </c>
      <c r="R499">
        <f ca="1">((Tabla2[[#This Row],[Fantasma Comunicación]]+1)/(Tabla2[[#This Row],[Fantasma Comunicación]]+RANDBETWEEN(0,5)+2))-0.5</f>
        <v>0</v>
      </c>
      <c r="S499" s="51">
        <f ca="1">1+MAX(0,Tabla2[[#This Row],[Deuda actual]]/Tabla2[[#This Row],[Liquidez]]+Tabla2[[#This Row],[Liquidez]]/(Tabla2[[#This Row],[Activos]]+Tabla2[[#This Row],[Liquidez]])+Tabla2[[#This Row],[Comunicación]])</f>
        <v>1.667094690211719</v>
      </c>
      <c r="T499">
        <f ca="1">Tabla2[[#This Row],[Deuda actual]]*EXP(Tabla2[[#This Row],[Ki]]*Tabla2[[#This Row],[diferencia de días]])*(1+Tabla2[[#This Row],[Hg]])</f>
        <v>970.73812821217416</v>
      </c>
    </row>
    <row r="500" spans="1:20" ht="14.5" x14ac:dyDescent="0.35">
      <c r="A500" t="e">
        <f t="shared" si="77"/>
        <v>#VALUE!</v>
      </c>
      <c r="B500" s="21">
        <f t="shared" ca="1" si="78"/>
        <v>46136</v>
      </c>
      <c r="C500" s="21">
        <f t="shared" ca="1" si="79"/>
        <v>46157</v>
      </c>
      <c r="D500">
        <f t="shared" ca="1" si="80"/>
        <v>33</v>
      </c>
      <c r="E500">
        <f t="shared" ca="1" si="81"/>
        <v>0.32372728907731296</v>
      </c>
      <c r="F500" s="47">
        <f t="shared" ca="1" si="82"/>
        <v>8812.06</v>
      </c>
      <c r="G500" s="32" t="str">
        <f t="shared" ca="1" si="83"/>
        <v>personal</v>
      </c>
      <c r="H50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500" t="str">
        <f t="shared" ca="1" si="84"/>
        <v>Sí</v>
      </c>
      <c r="J50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00" s="32">
        <f ca="1">IF(Tabla2[[#This Row],[¿cliente deuda abierta?]]="Sí", Tabla2[[#This Row],[Deuda actual]]*Tabla2[[#This Row],[diferencia de días]], "0")</f>
        <v>290797.98</v>
      </c>
      <c r="L50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0.2</v>
      </c>
      <c r="M50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00" s="32">
        <f ca="1">MAX(Tabla2[[#This Row],[VALORES DE Hg para actuales deudores]:[Valores de HG para deudores cerrados]])*IF(Tabla2[[#This Row],[VALORES DE Hg para actuales deudores]]&gt;Tabla2[[#This Row],[Valores de HG para deudores cerrados]],-1,1)</f>
        <v>0.2</v>
      </c>
      <c r="O500">
        <f t="shared" ca="1" si="85"/>
        <v>1619.98</v>
      </c>
      <c r="P500">
        <f t="shared" ca="1" si="86"/>
        <v>56734.68</v>
      </c>
      <c r="Q500">
        <f t="shared" ca="1" si="87"/>
        <v>4</v>
      </c>
      <c r="R500">
        <f ca="1">((Tabla2[[#This Row],[Fantasma Comunicación]]+1)/(Tabla2[[#This Row],[Fantasma Comunicación]]+RANDBETWEEN(0,5)+2))-0.5</f>
        <v>-4.545454545454547E-2</v>
      </c>
      <c r="S500" s="51">
        <f ca="1">1+MAX(0,Tabla2[[#This Row],[Deuda actual]]/Tabla2[[#This Row],[Liquidez]]+Tabla2[[#This Row],[Liquidez]]/(Tabla2[[#This Row],[Activos]]+Tabla2[[#This Row],[Liquidez]])+Tabla2[[#This Row],[Comunicación]])</f>
        <v>6.4219167564214912</v>
      </c>
      <c r="T500">
        <f ca="1">Tabla2[[#This Row],[Deuda actual]]*EXP(Tabla2[[#This Row],[Ki]]*Tabla2[[#This Row],[diferencia de días]])*(1+Tabla2[[#This Row],[Hg]])</f>
        <v>10929.251237792085</v>
      </c>
    </row>
    <row r="501" spans="1:20" ht="14.5" x14ac:dyDescent="0.35">
      <c r="A501" t="e">
        <f t="shared" si="77"/>
        <v>#VALUE!</v>
      </c>
      <c r="B501" s="21">
        <f t="shared" ca="1" si="78"/>
        <v>46116</v>
      </c>
      <c r="C501" s="21">
        <f t="shared" ca="1" si="79"/>
        <v>46157</v>
      </c>
      <c r="D501">
        <f t="shared" ca="1" si="80"/>
        <v>3</v>
      </c>
      <c r="E501">
        <f t="shared" ca="1" si="81"/>
        <v>0.39558275684944233</v>
      </c>
      <c r="F501" s="47">
        <f t="shared" ca="1" si="82"/>
        <v>8985.02</v>
      </c>
      <c r="G501" s="32" t="str">
        <f t="shared" ca="1" si="83"/>
        <v>hipotecario</v>
      </c>
      <c r="H50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01" t="str">
        <f t="shared" ca="1" si="84"/>
        <v>Sí</v>
      </c>
      <c r="J50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01" s="32">
        <f ca="1">IF(Tabla2[[#This Row],[¿cliente deuda abierta?]]="Sí", Tabla2[[#This Row],[Deuda actual]]*Tabla2[[#This Row],[diferencia de días]], "0")</f>
        <v>26955.06</v>
      </c>
      <c r="L50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0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0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01">
        <f t="shared" ca="1" si="85"/>
        <v>1571.87</v>
      </c>
      <c r="P501">
        <f t="shared" ca="1" si="86"/>
        <v>102781.05</v>
      </c>
      <c r="Q501">
        <f t="shared" ca="1" si="87"/>
        <v>3</v>
      </c>
      <c r="R501">
        <f ca="1">((Tabla2[[#This Row],[Fantasma Comunicación]]+1)/(Tabla2[[#This Row],[Fantasma Comunicación]]+RANDBETWEEN(0,5)+2))-0.5</f>
        <v>7.1428571428571397E-2</v>
      </c>
      <c r="S501" s="51">
        <f ca="1">1+MAX(0,Tabla2[[#This Row],[Deuda actual]]/Tabla2[[#This Row],[Liquidez]]+Tabla2[[#This Row],[Liquidez]]/(Tabla2[[#This Row],[Activos]]+Tabla2[[#This Row],[Liquidez]])+Tabla2[[#This Row],[Comunicación]])</f>
        <v>6.8026258761830984</v>
      </c>
      <c r="T501">
        <f ca="1">Tabla2[[#This Row],[Deuda actual]]*EXP(Tabla2[[#This Row],[Ki]]*Tabla2[[#This Row],[diferencia de días]])*(1+Tabla2[[#This Row],[Hg]])</f>
        <v>9439.9332611084665</v>
      </c>
    </row>
    <row r="502" spans="1:20" ht="14.5" x14ac:dyDescent="0.35">
      <c r="A502" t="e">
        <f t="shared" si="77"/>
        <v>#VALUE!</v>
      </c>
      <c r="B502" s="21">
        <f t="shared" ca="1" si="78"/>
        <v>46099</v>
      </c>
      <c r="C502" s="21">
        <f t="shared" ca="1" si="79"/>
        <v>46157</v>
      </c>
      <c r="D502">
        <f t="shared" ca="1" si="80"/>
        <v>24</v>
      </c>
      <c r="E502">
        <f t="shared" ca="1" si="81"/>
        <v>3.7155901116854517E-2</v>
      </c>
      <c r="F502" s="47">
        <f t="shared" ca="1" si="82"/>
        <v>358.26</v>
      </c>
      <c r="G502" s="32" t="str">
        <f t="shared" ca="1" si="83"/>
        <v>hipotecario</v>
      </c>
      <c r="H50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502" t="str">
        <f t="shared" ca="1" si="84"/>
        <v>Sí</v>
      </c>
      <c r="J50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02" s="32">
        <f ca="1">IF(Tabla2[[#This Row],[¿cliente deuda abierta?]]="Sí", Tabla2[[#This Row],[Deuda actual]]*Tabla2[[#This Row],[diferencia de días]], "0")</f>
        <v>8598.24</v>
      </c>
      <c r="L50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0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0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02">
        <f t="shared" ca="1" si="85"/>
        <v>2303.27</v>
      </c>
      <c r="P502">
        <f t="shared" ca="1" si="86"/>
        <v>174102.32</v>
      </c>
      <c r="Q502">
        <f t="shared" ca="1" si="87"/>
        <v>0</v>
      </c>
      <c r="R502">
        <f ca="1">((Tabla2[[#This Row],[Fantasma Comunicación]]+1)/(Tabla2[[#This Row],[Fantasma Comunicación]]+RANDBETWEEN(0,5)+2))-0.5</f>
        <v>-0.3</v>
      </c>
      <c r="S502" s="51">
        <f ca="1">1+MAX(0,Tabla2[[#This Row],[Deuda actual]]/Tabla2[[#This Row],[Liquidez]]+Tabla2[[#This Row],[Liquidez]]/(Tabla2[[#This Row],[Activos]]+Tabla2[[#This Row],[Liquidez]])+Tabla2[[#This Row],[Comunicación]])</f>
        <v>1</v>
      </c>
      <c r="T502">
        <f ca="1">Tabla2[[#This Row],[Deuda actual]]*EXP(Tabla2[[#This Row],[Ki]]*Tabla2[[#This Row],[diferencia de días]])*(1+Tabla2[[#This Row],[Hg]])</f>
        <v>379.80165045418744</v>
      </c>
    </row>
    <row r="503" spans="1:20" ht="14.5" x14ac:dyDescent="0.35">
      <c r="A503" t="e">
        <f t="shared" si="77"/>
        <v>#VALUE!</v>
      </c>
      <c r="B503" s="21">
        <f t="shared" ca="1" si="78"/>
        <v>46104</v>
      </c>
      <c r="C503" s="21">
        <f t="shared" ca="1" si="79"/>
        <v>46157</v>
      </c>
      <c r="D503">
        <f t="shared" ca="1" si="80"/>
        <v>34</v>
      </c>
      <c r="E503">
        <f t="shared" ca="1" si="81"/>
        <v>0.41974618600182756</v>
      </c>
      <c r="F503" s="47">
        <f t="shared" ca="1" si="82"/>
        <v>262.70999999999998</v>
      </c>
      <c r="G503" s="32" t="str">
        <f t="shared" ca="1" si="83"/>
        <v>hipotecario</v>
      </c>
      <c r="H50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503" t="str">
        <f t="shared" ca="1" si="84"/>
        <v>No</v>
      </c>
      <c r="J50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164999.8184258434</v>
      </c>
      <c r="K503" s="32" t="str">
        <f ca="1">IF(Tabla2[[#This Row],[¿cliente deuda abierta?]]="Sí", Tabla2[[#This Row],[Deuda actual]]*Tabla2[[#This Row],[diferencia de días]], "0")</f>
        <v>0</v>
      </c>
      <c r="L50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0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50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503">
        <f t="shared" ca="1" si="85"/>
        <v>935.73</v>
      </c>
      <c r="P503">
        <f t="shared" ca="1" si="86"/>
        <v>62910.58</v>
      </c>
      <c r="Q503">
        <f t="shared" ca="1" si="87"/>
        <v>4</v>
      </c>
      <c r="R503">
        <f ca="1">((Tabla2[[#This Row],[Fantasma Comunicación]]+1)/(Tabla2[[#This Row],[Fantasma Comunicación]]+RANDBETWEEN(0,5)+2))-0.5</f>
        <v>0.2142857142857143</v>
      </c>
      <c r="S503" s="51">
        <f ca="1">1+MAX(0,Tabla2[[#This Row],[Deuda actual]]/Tabla2[[#This Row],[Liquidez]]+Tabla2[[#This Row],[Liquidez]]/(Tabla2[[#This Row],[Activos]]+Tabla2[[#This Row],[Liquidez]])+Tabla2[[#This Row],[Comunicación]])</f>
        <v>1.5096957541607807</v>
      </c>
      <c r="T503">
        <f ca="1">Tabla2[[#This Row],[Deuda actual]]*EXP(Tabla2[[#This Row],[Ki]]*Tabla2[[#This Row],[diferencia de días]])*(1+Tabla2[[#This Row],[Hg]])</f>
        <v>217.43657762683506</v>
      </c>
    </row>
    <row r="504" spans="1:20" ht="14.5" x14ac:dyDescent="0.35">
      <c r="A504" t="e">
        <f t="shared" si="77"/>
        <v>#VALUE!</v>
      </c>
      <c r="B504" s="21">
        <f t="shared" ca="1" si="78"/>
        <v>46120</v>
      </c>
      <c r="C504" s="21">
        <f t="shared" ca="1" si="79"/>
        <v>46157</v>
      </c>
      <c r="D504">
        <f t="shared" ca="1" si="80"/>
        <v>22</v>
      </c>
      <c r="E504">
        <f t="shared" ca="1" si="81"/>
        <v>0.1163191320039425</v>
      </c>
      <c r="F504" s="47">
        <f t="shared" ca="1" si="82"/>
        <v>2643.36</v>
      </c>
      <c r="G504" s="32" t="str">
        <f t="shared" ca="1" si="83"/>
        <v>personal</v>
      </c>
      <c r="H50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504" t="str">
        <f t="shared" ca="1" si="84"/>
        <v>No</v>
      </c>
      <c r="J50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11999.358047682228</v>
      </c>
      <c r="K504" s="32" t="str">
        <f ca="1">IF(Tabla2[[#This Row],[¿cliente deuda abierta?]]="Sí", Tabla2[[#This Row],[Deuda actual]]*Tabla2[[#This Row],[diferencia de días]], "0")</f>
        <v>0</v>
      </c>
      <c r="L50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0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50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504">
        <f t="shared" ca="1" si="85"/>
        <v>1528.64</v>
      </c>
      <c r="P504">
        <f t="shared" ca="1" si="86"/>
        <v>125619.87</v>
      </c>
      <c r="Q504">
        <f t="shared" ca="1" si="87"/>
        <v>4</v>
      </c>
      <c r="R504">
        <f ca="1">((Tabla2[[#This Row],[Fantasma Comunicación]]+1)/(Tabla2[[#This Row],[Fantasma Comunicación]]+RANDBETWEEN(0,5)+2))-0.5</f>
        <v>0.33333333333333337</v>
      </c>
      <c r="S504" s="51">
        <f ca="1">1+MAX(0,Tabla2[[#This Row],[Deuda actual]]/Tabla2[[#This Row],[Liquidez]]+Tabla2[[#This Row],[Liquidez]]/(Tabla2[[#This Row],[Activos]]+Tabla2[[#This Row],[Liquidez]])+Tabla2[[#This Row],[Comunicación]])</f>
        <v>3.0745791719845106</v>
      </c>
      <c r="T504">
        <f ca="1">Tabla2[[#This Row],[Deuda actual]]*EXP(Tabla2[[#This Row],[Ki]]*Tabla2[[#This Row],[diferencia de días]])*(1+Tabla2[[#This Row],[Hg]])</f>
        <v>2400.0517978111561</v>
      </c>
    </row>
    <row r="505" spans="1:20" ht="14.5" x14ac:dyDescent="0.35">
      <c r="A505" t="e">
        <f t="shared" si="77"/>
        <v>#VALUE!</v>
      </c>
      <c r="B505" s="21">
        <f t="shared" ca="1" si="78"/>
        <v>46092</v>
      </c>
      <c r="C505" s="21">
        <f t="shared" ca="1" si="79"/>
        <v>46157</v>
      </c>
      <c r="D505">
        <f t="shared" ca="1" si="80"/>
        <v>2</v>
      </c>
      <c r="E505">
        <f t="shared" ca="1" si="81"/>
        <v>0.58599202517729654</v>
      </c>
      <c r="F505" s="47">
        <f t="shared" ca="1" si="82"/>
        <v>4390.7700000000004</v>
      </c>
      <c r="G505" s="32" t="str">
        <f t="shared" ca="1" si="83"/>
        <v>hipotecario</v>
      </c>
      <c r="H50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05" t="str">
        <f t="shared" ca="1" si="84"/>
        <v>No</v>
      </c>
      <c r="J50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165000.39092700253</v>
      </c>
      <c r="K505" s="32" t="str">
        <f ca="1">IF(Tabla2[[#This Row],[¿cliente deuda abierta?]]="Sí", Tabla2[[#This Row],[Deuda actual]]*Tabla2[[#This Row],[diferencia de días]], "0")</f>
        <v>0</v>
      </c>
      <c r="L50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0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50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505">
        <f t="shared" ca="1" si="85"/>
        <v>1535.05</v>
      </c>
      <c r="P505">
        <f t="shared" ca="1" si="86"/>
        <v>159631.45000000001</v>
      </c>
      <c r="Q505">
        <f t="shared" ca="1" si="87"/>
        <v>3</v>
      </c>
      <c r="R505">
        <f ca="1">((Tabla2[[#This Row],[Fantasma Comunicación]]+1)/(Tabla2[[#This Row],[Fantasma Comunicación]]+RANDBETWEEN(0,5)+2))-0.5</f>
        <v>0.16666666666666663</v>
      </c>
      <c r="S505" s="51">
        <f ca="1">1+MAX(0,Tabla2[[#This Row],[Deuda actual]]/Tabla2[[#This Row],[Liquidez]]+Tabla2[[#This Row],[Liquidez]]/(Tabla2[[#This Row],[Activos]]+Tabla2[[#This Row],[Liquidez]])+Tabla2[[#This Row],[Comunicación]])</f>
        <v>4.0365346000118087</v>
      </c>
      <c r="T505">
        <f ca="1">Tabla2[[#This Row],[Deuda actual]]*EXP(Tabla2[[#This Row],[Ki]]*Tabla2[[#This Row],[diferencia de días]])*(1+Tabla2[[#This Row],[Hg]])</f>
        <v>3514.0213274467528</v>
      </c>
    </row>
    <row r="506" spans="1:20" ht="14.5" x14ac:dyDescent="0.35">
      <c r="A506" t="e">
        <f t="shared" si="77"/>
        <v>#VALUE!</v>
      </c>
      <c r="B506" s="21">
        <f t="shared" ca="1" si="78"/>
        <v>46124</v>
      </c>
      <c r="C506" s="21">
        <f t="shared" ca="1" si="79"/>
        <v>46157</v>
      </c>
      <c r="D506">
        <f t="shared" ca="1" si="80"/>
        <v>37</v>
      </c>
      <c r="E506">
        <f t="shared" ca="1" si="81"/>
        <v>0.62372416034802824</v>
      </c>
      <c r="F506" s="47">
        <f t="shared" ca="1" si="82"/>
        <v>702.27</v>
      </c>
      <c r="G506" s="32" t="str">
        <f t="shared" ca="1" si="83"/>
        <v>hipotecario</v>
      </c>
      <c r="H50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506" t="str">
        <f t="shared" ca="1" si="84"/>
        <v>Sí</v>
      </c>
      <c r="J50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06" s="32">
        <f ca="1">IF(Tabla2[[#This Row],[¿cliente deuda abierta?]]="Sí", Tabla2[[#This Row],[Deuda actual]]*Tabla2[[#This Row],[diferencia de días]], "0")</f>
        <v>25983.989999999998</v>
      </c>
      <c r="L50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0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0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06">
        <f t="shared" ca="1" si="85"/>
        <v>1426.94</v>
      </c>
      <c r="P506">
        <f t="shared" ca="1" si="86"/>
        <v>318534.2</v>
      </c>
      <c r="Q506">
        <f t="shared" ca="1" si="87"/>
        <v>3</v>
      </c>
      <c r="R506">
        <f ca="1">((Tabla2[[#This Row],[Fantasma Comunicación]]+1)/(Tabla2[[#This Row],[Fantasma Comunicación]]+RANDBETWEEN(0,5)+2))-0.5</f>
        <v>-9.9999999999999978E-2</v>
      </c>
      <c r="S506" s="51">
        <f ca="1">1+MAX(0,Tabla2[[#This Row],[Deuda actual]]/Tabla2[[#This Row],[Liquidez]]+Tabla2[[#This Row],[Liquidez]]/(Tabla2[[#This Row],[Activos]]+Tabla2[[#This Row],[Liquidez]])+Tabla2[[#This Row],[Comunicación]])</f>
        <v>1.3966107655620144</v>
      </c>
      <c r="T506">
        <f ca="1">Tabla2[[#This Row],[Deuda actual]]*EXP(Tabla2[[#This Row],[Ki]]*Tabla2[[#This Row],[diferencia de días]])*(1+Tabla2[[#This Row],[Hg]])</f>
        <v>765.17771163121324</v>
      </c>
    </row>
    <row r="507" spans="1:20" ht="14.5" x14ac:dyDescent="0.35">
      <c r="A507" t="e">
        <f t="shared" si="77"/>
        <v>#VALUE!</v>
      </c>
      <c r="B507" s="21">
        <f t="shared" ca="1" si="78"/>
        <v>46128</v>
      </c>
      <c r="C507" s="21">
        <f t="shared" ca="1" si="79"/>
        <v>46157</v>
      </c>
      <c r="D507">
        <f t="shared" ca="1" si="80"/>
        <v>1</v>
      </c>
      <c r="E507">
        <f t="shared" ca="1" si="81"/>
        <v>0.20142825842693879</v>
      </c>
      <c r="F507" s="47">
        <f t="shared" ca="1" si="82"/>
        <v>670.9</v>
      </c>
      <c r="G507" s="32" t="str">
        <f t="shared" ca="1" si="83"/>
        <v>hipotecario</v>
      </c>
      <c r="H50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07" t="str">
        <f t="shared" ca="1" si="84"/>
        <v>Sí</v>
      </c>
      <c r="J50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07" s="32">
        <f ca="1">IF(Tabla2[[#This Row],[¿cliente deuda abierta?]]="Sí", Tabla2[[#This Row],[Deuda actual]]*Tabla2[[#This Row],[diferencia de días]], "0")</f>
        <v>670.9</v>
      </c>
      <c r="L50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0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0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07">
        <f t="shared" ca="1" si="85"/>
        <v>2181.59</v>
      </c>
      <c r="P507">
        <f t="shared" ca="1" si="86"/>
        <v>158120.32999999999</v>
      </c>
      <c r="Q507">
        <f t="shared" ca="1" si="87"/>
        <v>0</v>
      </c>
      <c r="R507">
        <f ca="1">((Tabla2[[#This Row],[Fantasma Comunicación]]+1)/(Tabla2[[#This Row],[Fantasma Comunicación]]+RANDBETWEEN(0,5)+2))-0.5</f>
        <v>-0.25</v>
      </c>
      <c r="S507" s="51">
        <f ca="1">1+MAX(0,Tabla2[[#This Row],[Deuda actual]]/Tabla2[[#This Row],[Liquidez]]+Tabla2[[#This Row],[Liquidez]]/(Tabla2[[#This Row],[Activos]]+Tabla2[[#This Row],[Liquidez]])+Tabla2[[#This Row],[Comunicación]])</f>
        <v>1.0711372524685676</v>
      </c>
      <c r="T507">
        <f ca="1">Tabla2[[#This Row],[Deuda actual]]*EXP(Tabla2[[#This Row],[Ki]]*Tabla2[[#This Row],[diferencia de días]])*(1+Tabla2[[#This Row],[Hg]])</f>
        <v>704.58590308983935</v>
      </c>
    </row>
    <row r="508" spans="1:20" ht="14.5" x14ac:dyDescent="0.35">
      <c r="A508" t="e">
        <f t="shared" si="77"/>
        <v>#VALUE!</v>
      </c>
      <c r="B508" s="21">
        <f t="shared" ca="1" si="78"/>
        <v>46130</v>
      </c>
      <c r="C508" s="21">
        <f t="shared" ca="1" si="79"/>
        <v>46157</v>
      </c>
      <c r="D508">
        <f t="shared" ca="1" si="80"/>
        <v>9</v>
      </c>
      <c r="E508">
        <f t="shared" ca="1" si="81"/>
        <v>0.32251061694734995</v>
      </c>
      <c r="F508" s="47">
        <f t="shared" ca="1" si="82"/>
        <v>694.48</v>
      </c>
      <c r="G508" s="32" t="str">
        <f t="shared" ca="1" si="83"/>
        <v>personal</v>
      </c>
      <c r="H50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08" t="str">
        <f t="shared" ca="1" si="84"/>
        <v>No</v>
      </c>
      <c r="J50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12001.183586688059</v>
      </c>
      <c r="K508" s="32" t="str">
        <f ca="1">IF(Tabla2[[#This Row],[¿cliente deuda abierta?]]="Sí", Tabla2[[#This Row],[Deuda actual]]*Tabla2[[#This Row],[diferencia de días]], "0")</f>
        <v>0</v>
      </c>
      <c r="L50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0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50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508">
        <f t="shared" ca="1" si="85"/>
        <v>1198.23</v>
      </c>
      <c r="P508">
        <f t="shared" ca="1" si="86"/>
        <v>118625.44</v>
      </c>
      <c r="Q508">
        <f t="shared" ca="1" si="87"/>
        <v>5</v>
      </c>
      <c r="R508">
        <f ca="1">((Tabla2[[#This Row],[Fantasma Comunicación]]+1)/(Tabla2[[#This Row],[Fantasma Comunicación]]+RANDBETWEEN(0,5)+2))-0.5</f>
        <v>0.16666666666666663</v>
      </c>
      <c r="S508" s="51">
        <f ca="1">1+MAX(0,Tabla2[[#This Row],[Deuda actual]]/Tabla2[[#This Row],[Liquidez]]+Tabla2[[#This Row],[Liquidez]]/(Tabla2[[#This Row],[Activos]]+Tabla2[[#This Row],[Liquidez]])+Tabla2[[#This Row],[Comunicación]])</f>
        <v>1.7562548367178044</v>
      </c>
      <c r="T508">
        <f ca="1">Tabla2[[#This Row],[Deuda actual]]*EXP(Tabla2[[#This Row],[Ki]]*Tabla2[[#This Row],[diferencia de días]])*(1+Tabla2[[#This Row],[Hg]])</f>
        <v>626.15807075964472</v>
      </c>
    </row>
    <row r="509" spans="1:20" ht="14.5" x14ac:dyDescent="0.35">
      <c r="A509" t="e">
        <f t="shared" si="77"/>
        <v>#VALUE!</v>
      </c>
      <c r="B509" s="21">
        <f t="shared" ca="1" si="78"/>
        <v>46143</v>
      </c>
      <c r="C509" s="21">
        <f t="shared" ca="1" si="79"/>
        <v>46157</v>
      </c>
      <c r="D509">
        <f t="shared" ca="1" si="80"/>
        <v>24</v>
      </c>
      <c r="E509">
        <f t="shared" ca="1" si="81"/>
        <v>0.32052097061664819</v>
      </c>
      <c r="F509" s="47">
        <f t="shared" ca="1" si="82"/>
        <v>6561.9</v>
      </c>
      <c r="G509" s="32" t="str">
        <f t="shared" ca="1" si="83"/>
        <v>personal</v>
      </c>
      <c r="H50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509" t="str">
        <f t="shared" ca="1" si="84"/>
        <v>Sí</v>
      </c>
      <c r="J50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09" s="32">
        <f ca="1">IF(Tabla2[[#This Row],[¿cliente deuda abierta?]]="Sí", Tabla2[[#This Row],[Deuda actual]]*Tabla2[[#This Row],[diferencia de días]], "0")</f>
        <v>157485.59999999998</v>
      </c>
      <c r="L50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50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09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509">
        <f t="shared" ca="1" si="85"/>
        <v>2174.69</v>
      </c>
      <c r="P509">
        <f t="shared" ca="1" si="86"/>
        <v>160029.9</v>
      </c>
      <c r="Q509">
        <f t="shared" ca="1" si="87"/>
        <v>5</v>
      </c>
      <c r="R509">
        <f ca="1">((Tabla2[[#This Row],[Fantasma Comunicación]]+1)/(Tabla2[[#This Row],[Fantasma Comunicación]]+RANDBETWEEN(0,5)+2))-0.5</f>
        <v>0</v>
      </c>
      <c r="S509" s="51">
        <f ca="1">1+MAX(0,Tabla2[[#This Row],[Deuda actual]]/Tabla2[[#This Row],[Liquidez]]+Tabla2[[#This Row],[Liquidez]]/(Tabla2[[#This Row],[Activos]]+Tabla2[[#This Row],[Liquidez]])+Tabla2[[#This Row],[Comunicación]])</f>
        <v>4.0308026633458294</v>
      </c>
      <c r="T509">
        <f ca="1">Tabla2[[#This Row],[Deuda actual]]*EXP(Tabla2[[#This Row],[Ki]]*Tabla2[[#This Row],[diferencia de días]])*(1+Tabla2[[#This Row],[Hg]])</f>
        <v>7618.9772196107415</v>
      </c>
    </row>
    <row r="510" spans="1:20" ht="14.5" x14ac:dyDescent="0.35">
      <c r="A510" t="e">
        <f t="shared" si="77"/>
        <v>#VALUE!</v>
      </c>
      <c r="B510" s="21">
        <f t="shared" ca="1" si="78"/>
        <v>46111</v>
      </c>
      <c r="C510" s="21">
        <f t="shared" ca="1" si="79"/>
        <v>46157</v>
      </c>
      <c r="D510">
        <f t="shared" ca="1" si="80"/>
        <v>13</v>
      </c>
      <c r="E510">
        <f t="shared" ca="1" si="81"/>
        <v>0.95548909372988533</v>
      </c>
      <c r="F510" s="47">
        <f t="shared" ca="1" si="82"/>
        <v>6641.91</v>
      </c>
      <c r="G510" s="32" t="str">
        <f t="shared" ca="1" si="83"/>
        <v>personal</v>
      </c>
      <c r="H51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10" t="str">
        <f t="shared" ca="1" si="84"/>
        <v>Sí</v>
      </c>
      <c r="J51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10" s="32">
        <f ca="1">IF(Tabla2[[#This Row],[¿cliente deuda abierta?]]="Sí", Tabla2[[#This Row],[Deuda actual]]*Tabla2[[#This Row],[diferencia de días]], "0")</f>
        <v>86344.83</v>
      </c>
      <c r="L51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51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10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510">
        <f t="shared" ca="1" si="85"/>
        <v>1513.65</v>
      </c>
      <c r="P510">
        <f t="shared" ca="1" si="86"/>
        <v>131693.31</v>
      </c>
      <c r="Q510">
        <f t="shared" ca="1" si="87"/>
        <v>0</v>
      </c>
      <c r="R510">
        <f ca="1">((Tabla2[[#This Row],[Fantasma Comunicación]]+1)/(Tabla2[[#This Row],[Fantasma Comunicación]]+RANDBETWEEN(0,5)+2))-0.5</f>
        <v>-0.35714285714285715</v>
      </c>
      <c r="S510" s="51">
        <f ca="1">1+MAX(0,Tabla2[[#This Row],[Deuda actual]]/Tabla2[[#This Row],[Liquidez]]+Tabla2[[#This Row],[Liquidez]]/(Tabla2[[#This Row],[Activos]]+Tabla2[[#This Row],[Liquidez]])+Tabla2[[#This Row],[Comunicación]])</f>
        <v>5.0422294048809446</v>
      </c>
      <c r="T510">
        <f ca="1">Tabla2[[#This Row],[Deuda actual]]*EXP(Tabla2[[#This Row],[Ki]]*Tabla2[[#This Row],[diferencia de días]])*(1+Tabla2[[#This Row],[Hg]])</f>
        <v>7658.0816503935448</v>
      </c>
    </row>
    <row r="511" spans="1:20" ht="14.5" x14ac:dyDescent="0.35">
      <c r="A511" t="e">
        <f t="shared" si="77"/>
        <v>#VALUE!</v>
      </c>
      <c r="B511" s="21">
        <f t="shared" ca="1" si="78"/>
        <v>46092</v>
      </c>
      <c r="C511" s="21">
        <f t="shared" ca="1" si="79"/>
        <v>46157</v>
      </c>
      <c r="D511">
        <f t="shared" ca="1" si="80"/>
        <v>0</v>
      </c>
      <c r="E511">
        <f t="shared" ca="1" si="81"/>
        <v>0.26937344286232578</v>
      </c>
      <c r="F511" s="47">
        <f t="shared" ca="1" si="82"/>
        <v>2371.25</v>
      </c>
      <c r="G511" s="32" t="str">
        <f t="shared" ca="1" si="83"/>
        <v>hipotecario</v>
      </c>
      <c r="H51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11" t="str">
        <f t="shared" ca="1" si="84"/>
        <v>Sí</v>
      </c>
      <c r="J51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11" s="32">
        <f ca="1">IF(Tabla2[[#This Row],[¿cliente deuda abierta?]]="Sí", Tabla2[[#This Row],[Deuda actual]]*Tabla2[[#This Row],[diferencia de días]], "0")</f>
        <v>0</v>
      </c>
      <c r="L51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1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11" s="32">
        <f ca="1">MAX(Tabla2[[#This Row],[VALORES DE Hg para actuales deudores]:[Valores de HG para deudores cerrados]])*IF(Tabla2[[#This Row],[VALORES DE Hg para actuales deudores]]&gt;Tabla2[[#This Row],[Valores de HG para deudores cerrados]],-1,1)</f>
        <v>0</v>
      </c>
      <c r="O511">
        <f t="shared" ca="1" si="85"/>
        <v>1078.25</v>
      </c>
      <c r="P511">
        <f t="shared" ca="1" si="86"/>
        <v>49057.440000000002</v>
      </c>
      <c r="Q511">
        <f t="shared" ca="1" si="87"/>
        <v>0</v>
      </c>
      <c r="R511">
        <f ca="1">((Tabla2[[#This Row],[Fantasma Comunicación]]+1)/(Tabla2[[#This Row],[Fantasma Comunicación]]+RANDBETWEEN(0,5)+2))-0.5</f>
        <v>0</v>
      </c>
      <c r="S511" s="51">
        <f ca="1">1+MAX(0,Tabla2[[#This Row],[Deuda actual]]/Tabla2[[#This Row],[Liquidez]]+Tabla2[[#This Row],[Liquidez]]/(Tabla2[[#This Row],[Activos]]+Tabla2[[#This Row],[Liquidez]])+Tabla2[[#This Row],[Comunicación]])</f>
        <v>3.2206719494596152</v>
      </c>
      <c r="T511">
        <f ca="1">Tabla2[[#This Row],[Deuda actual]]*EXP(Tabla2[[#This Row],[Ki]]*Tabla2[[#This Row],[diferencia de días]])*(1+Tabla2[[#This Row],[Hg]])</f>
        <v>2371.25</v>
      </c>
    </row>
    <row r="512" spans="1:20" ht="14.5" x14ac:dyDescent="0.35">
      <c r="A512" t="e">
        <f t="shared" si="77"/>
        <v>#VALUE!</v>
      </c>
      <c r="B512" s="21">
        <f t="shared" ca="1" si="78"/>
        <v>46101</v>
      </c>
      <c r="C512" s="21">
        <f t="shared" ca="1" si="79"/>
        <v>46157</v>
      </c>
      <c r="D512">
        <f t="shared" ca="1" si="80"/>
        <v>34</v>
      </c>
      <c r="E512">
        <f t="shared" ca="1" si="81"/>
        <v>0.62812988779796686</v>
      </c>
      <c r="F512" s="47">
        <f t="shared" ca="1" si="82"/>
        <v>385.34</v>
      </c>
      <c r="G512" s="32" t="str">
        <f t="shared" ca="1" si="83"/>
        <v>hipotecario</v>
      </c>
      <c r="H51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512" t="str">
        <f t="shared" ca="1" si="84"/>
        <v>Sí</v>
      </c>
      <c r="J51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12" s="32">
        <f ca="1">IF(Tabla2[[#This Row],[¿cliente deuda abierta?]]="Sí", Tabla2[[#This Row],[Deuda actual]]*Tabla2[[#This Row],[diferencia de días]], "0")</f>
        <v>13101.56</v>
      </c>
      <c r="L51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1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1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12">
        <f t="shared" ca="1" si="85"/>
        <v>1404.02</v>
      </c>
      <c r="P512">
        <f t="shared" ca="1" si="86"/>
        <v>128603.57</v>
      </c>
      <c r="Q512">
        <f t="shared" ca="1" si="87"/>
        <v>0</v>
      </c>
      <c r="R512">
        <f ca="1">((Tabla2[[#This Row],[Fantasma Comunicación]]+1)/(Tabla2[[#This Row],[Fantasma Comunicación]]+RANDBETWEEN(0,5)+2))-0.5</f>
        <v>-0.25</v>
      </c>
      <c r="S512" s="51">
        <f ca="1">1+MAX(0,Tabla2[[#This Row],[Deuda actual]]/Tabla2[[#This Row],[Liquidez]]+Tabla2[[#This Row],[Liquidez]]/(Tabla2[[#This Row],[Activos]]+Tabla2[[#This Row],[Liquidez]])+Tabla2[[#This Row],[Comunicación]])</f>
        <v>1.0352543031665793</v>
      </c>
      <c r="T512">
        <f ca="1">Tabla2[[#This Row],[Deuda actual]]*EXP(Tabla2[[#This Row],[Ki]]*Tabla2[[#This Row],[diferencia de días]])*(1+Tabla2[[#This Row],[Hg]])</f>
        <v>418.60017397444358</v>
      </c>
    </row>
    <row r="513" spans="1:20" ht="14.5" x14ac:dyDescent="0.35">
      <c r="A513" t="e">
        <f t="shared" si="77"/>
        <v>#VALUE!</v>
      </c>
      <c r="B513" s="21">
        <f t="shared" ca="1" si="78"/>
        <v>46133</v>
      </c>
      <c r="C513" s="21">
        <f t="shared" ca="1" si="79"/>
        <v>46157</v>
      </c>
      <c r="D513">
        <f t="shared" ca="1" si="80"/>
        <v>11</v>
      </c>
      <c r="E513">
        <f t="shared" ca="1" si="81"/>
        <v>0.23411877577497153</v>
      </c>
      <c r="F513" s="47">
        <f t="shared" ca="1" si="82"/>
        <v>543.76</v>
      </c>
      <c r="G513" s="32" t="str">
        <f t="shared" ca="1" si="83"/>
        <v>personal</v>
      </c>
      <c r="H51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13" t="str">
        <f t="shared" ca="1" si="84"/>
        <v>Sí</v>
      </c>
      <c r="J51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13" s="32">
        <f ca="1">IF(Tabla2[[#This Row],[¿cliente deuda abierta?]]="Sí", Tabla2[[#This Row],[Deuda actual]]*Tabla2[[#This Row],[diferencia de días]], "0")</f>
        <v>5981.36</v>
      </c>
      <c r="L51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1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1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13">
        <f t="shared" ca="1" si="85"/>
        <v>1657.95</v>
      </c>
      <c r="P513">
        <f t="shared" ca="1" si="86"/>
        <v>56371.22</v>
      </c>
      <c r="Q513">
        <f t="shared" ca="1" si="87"/>
        <v>1</v>
      </c>
      <c r="R513">
        <f ca="1">((Tabla2[[#This Row],[Fantasma Comunicación]]+1)/(Tabla2[[#This Row],[Fantasma Comunicación]]+RANDBETWEEN(0,5)+2))-0.5</f>
        <v>0.16666666666666663</v>
      </c>
      <c r="S513" s="51">
        <f ca="1">1+MAX(0,Tabla2[[#This Row],[Deuda actual]]/Tabla2[[#This Row],[Liquidez]]+Tabla2[[#This Row],[Liquidez]]/(Tabla2[[#This Row],[Activos]]+Tabla2[[#This Row],[Liquidez]])+Tabla2[[#This Row],[Comunicación]])</f>
        <v>1.5232089321098337</v>
      </c>
      <c r="T513">
        <f ca="1">Tabla2[[#This Row],[Deuda actual]]*EXP(Tabla2[[#This Row],[Ki]]*Tabla2[[#This Row],[diferencia de días]])*(1+Tabla2[[#This Row],[Hg]])</f>
        <v>572.2054683079599</v>
      </c>
    </row>
    <row r="514" spans="1:20" ht="14.5" x14ac:dyDescent="0.35">
      <c r="A514" t="e">
        <f t="shared" ref="A514:A577" si="88">A513+1</f>
        <v>#VALUE!</v>
      </c>
      <c r="B514" s="21">
        <f t="shared" ref="B514:B577" ca="1" si="89">RANDBETWEEN(DATE(2026,3,1), DATE(2026,5,1))</f>
        <v>46095</v>
      </c>
      <c r="C514" s="21">
        <f t="shared" ref="C514:C577" ca="1" si="90">TODAY()</f>
        <v>46157</v>
      </c>
      <c r="D514">
        <f t="shared" ref="D514:D577" ca="1" si="91">ROUND((-(15) * LN(RAND())),0)</f>
        <v>41</v>
      </c>
      <c r="E514">
        <f t="shared" ref="E514:E577" ca="1" si="92">RAND()</f>
        <v>0.48026674941885095</v>
      </c>
      <c r="F514" s="47">
        <f t="shared" ref="F514:F577" ca="1" si="93">ROUND(MIN(10000, _xlfn.LOGNORM.INV(RAND(), 69/10, 13/10)),2)</f>
        <v>369.26</v>
      </c>
      <c r="G514" s="32" t="str">
        <f t="shared" ref="G514:G577" ca="1" si="94">IF(RAND()&lt;=0.5,"personal","hipotecario")</f>
        <v>hipotecario</v>
      </c>
      <c r="H51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514" t="str">
        <f t="shared" ref="I514:I577" ca="1" si="95">IF(RAND()&lt;=0.65, "Sí", "No")</f>
        <v>Sí</v>
      </c>
      <c r="J51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14" s="32">
        <f ca="1">IF(Tabla2[[#This Row],[¿cliente deuda abierta?]]="Sí", Tabla2[[#This Row],[Deuda actual]]*Tabla2[[#This Row],[diferencia de días]], "0")</f>
        <v>15139.66</v>
      </c>
      <c r="L51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1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1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14">
        <f t="shared" ref="O514:O577" ca="1" si="96">ROUND(1000*(_xlfn.LOGNORM.INV(RAND(), 0.5, 0.2)),2)</f>
        <v>1519.6</v>
      </c>
      <c r="P514">
        <f t="shared" ref="P514:P577" ca="1" si="97">ROUND(50000*(_xlfn.LOGNORM.INV(RAND(), 1, 0.75)),2)</f>
        <v>49375.27</v>
      </c>
      <c r="Q514">
        <f t="shared" ref="Q514:Q577" ca="1" si="98">RANDBETWEEN(0,5)</f>
        <v>2</v>
      </c>
      <c r="R514">
        <f ca="1">((Tabla2[[#This Row],[Fantasma Comunicación]]+1)/(Tabla2[[#This Row],[Fantasma Comunicación]]+RANDBETWEEN(0,5)+2))-0.5</f>
        <v>9.9999999999999978E-2</v>
      </c>
      <c r="S514" s="51">
        <f ca="1">1+MAX(0,Tabla2[[#This Row],[Deuda actual]]/Tabla2[[#This Row],[Liquidez]]+Tabla2[[#This Row],[Liquidez]]/(Tabla2[[#This Row],[Activos]]+Tabla2[[#This Row],[Liquidez]])+Tabla2[[#This Row],[Comunicación]])</f>
        <v>1.3728557835320845</v>
      </c>
      <c r="T514">
        <f ca="1">Tabla2[[#This Row],[Deuda actual]]*EXP(Tabla2[[#This Row],[Ki]]*Tabla2[[#This Row],[diferencia de días]])*(1+Tabla2[[#This Row],[Hg]])</f>
        <v>403.95002391840995</v>
      </c>
    </row>
    <row r="515" spans="1:20" ht="14.5" x14ac:dyDescent="0.35">
      <c r="A515" t="e">
        <f t="shared" si="88"/>
        <v>#VALUE!</v>
      </c>
      <c r="B515" s="21">
        <f t="shared" ca="1" si="89"/>
        <v>46098</v>
      </c>
      <c r="C515" s="21">
        <f t="shared" ca="1" si="90"/>
        <v>46157</v>
      </c>
      <c r="D515">
        <f t="shared" ca="1" si="91"/>
        <v>32</v>
      </c>
      <c r="E515">
        <f t="shared" ca="1" si="92"/>
        <v>0.15312088678163938</v>
      </c>
      <c r="F515" s="47">
        <f t="shared" ca="1" si="93"/>
        <v>1038.95</v>
      </c>
      <c r="G515" s="32" t="str">
        <f t="shared" ca="1" si="94"/>
        <v>personal</v>
      </c>
      <c r="H51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515" t="str">
        <f t="shared" ca="1" si="95"/>
        <v>No</v>
      </c>
      <c r="J51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11999.998097454596</v>
      </c>
      <c r="K515" s="32" t="str">
        <f ca="1">IF(Tabla2[[#This Row],[¿cliente deuda abierta?]]="Sí", Tabla2[[#This Row],[Deuda actual]]*Tabla2[[#This Row],[diferencia de días]], "0")</f>
        <v>0</v>
      </c>
      <c r="L51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1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51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515">
        <f t="shared" ca="1" si="96"/>
        <v>1704.81</v>
      </c>
      <c r="P515">
        <f t="shared" ca="1" si="97"/>
        <v>537624.38</v>
      </c>
      <c r="Q515">
        <f t="shared" ca="1" si="98"/>
        <v>0</v>
      </c>
      <c r="R515">
        <f ca="1">((Tabla2[[#This Row],[Fantasma Comunicación]]+1)/(Tabla2[[#This Row],[Fantasma Comunicación]]+RANDBETWEEN(0,5)+2))-0.5</f>
        <v>0</v>
      </c>
      <c r="S515" s="51">
        <f ca="1">1+MAX(0,Tabla2[[#This Row],[Deuda actual]]/Tabla2[[#This Row],[Liquidez]]+Tabla2[[#This Row],[Liquidez]]/(Tabla2[[#This Row],[Activos]]+Tabla2[[#This Row],[Liquidez]])+Tabla2[[#This Row],[Comunicación]])</f>
        <v>1.6125837331788855</v>
      </c>
      <c r="T515">
        <f ca="1">Tabla2[[#This Row],[Deuda actual]]*EXP(Tabla2[[#This Row],[Ki]]*Tabla2[[#This Row],[diferencia de días]])*(1+Tabla2[[#This Row],[Hg]])</f>
        <v>965.46065592307752</v>
      </c>
    </row>
    <row r="516" spans="1:20" ht="14.5" x14ac:dyDescent="0.35">
      <c r="A516" t="e">
        <f t="shared" si="88"/>
        <v>#VALUE!</v>
      </c>
      <c r="B516" s="21">
        <f t="shared" ca="1" si="89"/>
        <v>46092</v>
      </c>
      <c r="C516" s="21">
        <f t="shared" ca="1" si="90"/>
        <v>46157</v>
      </c>
      <c r="D516">
        <f t="shared" ca="1" si="91"/>
        <v>2</v>
      </c>
      <c r="E516">
        <f t="shared" ca="1" si="92"/>
        <v>0.96884873005227845</v>
      </c>
      <c r="F516" s="47">
        <f t="shared" ca="1" si="93"/>
        <v>5518</v>
      </c>
      <c r="G516" s="32" t="str">
        <f t="shared" ca="1" si="94"/>
        <v>hipotecario</v>
      </c>
      <c r="H51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16" t="str">
        <f t="shared" ca="1" si="95"/>
        <v>Sí</v>
      </c>
      <c r="J51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16" s="32">
        <f ca="1">IF(Tabla2[[#This Row],[¿cliente deuda abierta?]]="Sí", Tabla2[[#This Row],[Deuda actual]]*Tabla2[[#This Row],[diferencia de días]], "0")</f>
        <v>11036</v>
      </c>
      <c r="L51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1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1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16">
        <f t="shared" ca="1" si="96"/>
        <v>1944.01</v>
      </c>
      <c r="P516">
        <f t="shared" ca="1" si="97"/>
        <v>418958.22</v>
      </c>
      <c r="Q516">
        <f t="shared" ca="1" si="98"/>
        <v>1</v>
      </c>
      <c r="R516">
        <f ca="1">((Tabla2[[#This Row],[Fantasma Comunicación]]+1)/(Tabla2[[#This Row],[Fantasma Comunicación]]+RANDBETWEEN(0,5)+2))-0.5</f>
        <v>-9.9999999999999978E-2</v>
      </c>
      <c r="S516" s="51">
        <f ca="1">1+MAX(0,Tabla2[[#This Row],[Deuda actual]]/Tabla2[[#This Row],[Liquidez]]+Tabla2[[#This Row],[Liquidez]]/(Tabla2[[#This Row],[Activos]]+Tabla2[[#This Row],[Liquidez]])+Tabla2[[#This Row],[Comunicación]])</f>
        <v>3.7430814386667479</v>
      </c>
      <c r="T516">
        <f ca="1">Tabla2[[#This Row],[Deuda actual]]*EXP(Tabla2[[#This Row],[Ki]]*Tabla2[[#This Row],[diferencia de días]])*(1+Tabla2[[#This Row],[Hg]])</f>
        <v>5796.2180235738088</v>
      </c>
    </row>
    <row r="517" spans="1:20" ht="14.5" x14ac:dyDescent="0.35">
      <c r="A517" t="e">
        <f t="shared" si="88"/>
        <v>#VALUE!</v>
      </c>
      <c r="B517" s="21">
        <f t="shared" ca="1" si="89"/>
        <v>46118</v>
      </c>
      <c r="C517" s="21">
        <f t="shared" ca="1" si="90"/>
        <v>46157</v>
      </c>
      <c r="D517">
        <f t="shared" ca="1" si="91"/>
        <v>4</v>
      </c>
      <c r="E517">
        <f t="shared" ca="1" si="92"/>
        <v>0.49210107395434144</v>
      </c>
      <c r="F517" s="47">
        <f t="shared" ca="1" si="93"/>
        <v>568.39</v>
      </c>
      <c r="G517" s="32" t="str">
        <f t="shared" ca="1" si="94"/>
        <v>personal</v>
      </c>
      <c r="H51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17" t="str">
        <f t="shared" ca="1" si="95"/>
        <v>Sí</v>
      </c>
      <c r="J51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17" s="32">
        <f ca="1">IF(Tabla2[[#This Row],[¿cliente deuda abierta?]]="Sí", Tabla2[[#This Row],[Deuda actual]]*Tabla2[[#This Row],[diferencia de días]], "0")</f>
        <v>2273.56</v>
      </c>
      <c r="L51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1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1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17">
        <f t="shared" ca="1" si="96"/>
        <v>1666.87</v>
      </c>
      <c r="P517">
        <f t="shared" ca="1" si="97"/>
        <v>125401.44</v>
      </c>
      <c r="Q517">
        <f t="shared" ca="1" si="98"/>
        <v>3</v>
      </c>
      <c r="R517">
        <f ca="1">((Tabla2[[#This Row],[Fantasma Comunicación]]+1)/(Tabla2[[#This Row],[Fantasma Comunicación]]+RANDBETWEEN(0,5)+2))-0.5</f>
        <v>0.30000000000000004</v>
      </c>
      <c r="S517" s="51">
        <f ca="1">1+MAX(0,Tabla2[[#This Row],[Deuda actual]]/Tabla2[[#This Row],[Liquidez]]+Tabla2[[#This Row],[Liquidez]]/(Tabla2[[#This Row],[Activos]]+Tabla2[[#This Row],[Liquidez]])+Tabla2[[#This Row],[Comunicación]])</f>
        <v>1.6541103037770923</v>
      </c>
      <c r="T517">
        <f ca="1">Tabla2[[#This Row],[Deuda actual]]*EXP(Tabla2[[#This Row],[Ki]]*Tabla2[[#This Row],[diferencia de días]])*(1+Tabla2[[#This Row],[Hg]])</f>
        <v>597.2871386299779</v>
      </c>
    </row>
    <row r="518" spans="1:20" ht="14.5" x14ac:dyDescent="0.35">
      <c r="A518" t="e">
        <f t="shared" si="88"/>
        <v>#VALUE!</v>
      </c>
      <c r="B518" s="21">
        <f t="shared" ca="1" si="89"/>
        <v>46098</v>
      </c>
      <c r="C518" s="21">
        <f t="shared" ca="1" si="90"/>
        <v>46157</v>
      </c>
      <c r="D518">
        <f t="shared" ca="1" si="91"/>
        <v>90</v>
      </c>
      <c r="E518">
        <f t="shared" ca="1" si="92"/>
        <v>0.37717790002753204</v>
      </c>
      <c r="F518" s="47">
        <f t="shared" ca="1" si="93"/>
        <v>2711.14</v>
      </c>
      <c r="G518" s="32" t="str">
        <f t="shared" ca="1" si="94"/>
        <v>personal</v>
      </c>
      <c r="H51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0</v>
      </c>
      <c r="I518" t="str">
        <f t="shared" ca="1" si="95"/>
        <v>No</v>
      </c>
      <c r="J51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12000.805053104728</v>
      </c>
      <c r="K518" s="32" t="str">
        <f ca="1">IF(Tabla2[[#This Row],[¿cliente deuda abierta?]]="Sí", Tabla2[[#This Row],[Deuda actual]]*Tabla2[[#This Row],[diferencia de días]], "0")</f>
        <v>0</v>
      </c>
      <c r="L51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0.5</v>
      </c>
      <c r="M51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51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-0.5</v>
      </c>
      <c r="O518">
        <f t="shared" ca="1" si="96"/>
        <v>1823.96</v>
      </c>
      <c r="P518">
        <f t="shared" ca="1" si="97"/>
        <v>211632.03</v>
      </c>
      <c r="Q518">
        <f t="shared" ca="1" si="98"/>
        <v>1</v>
      </c>
      <c r="R518">
        <f ca="1">((Tabla2[[#This Row],[Fantasma Comunicación]]+1)/(Tabla2[[#This Row],[Fantasma Comunicación]]+RANDBETWEEN(0,5)+2))-0.5</f>
        <v>-9.9999999999999978E-2</v>
      </c>
      <c r="S518" s="51">
        <f ca="1">1+MAX(0,Tabla2[[#This Row],[Deuda actual]]/Tabla2[[#This Row],[Liquidez]]+Tabla2[[#This Row],[Liquidez]]/(Tabla2[[#This Row],[Activos]]+Tabla2[[#This Row],[Liquidez]])+Tabla2[[#This Row],[Comunicación]])</f>
        <v>2.3949481101800054</v>
      </c>
      <c r="T518">
        <f ca="1">Tabla2[[#This Row],[Deuda actual]]*EXP(Tabla2[[#This Row],[Ki]]*Tabla2[[#This Row],[diferencia de días]])*(1+Tabla2[[#This Row],[Hg]])</f>
        <v>1355.57</v>
      </c>
    </row>
    <row r="519" spans="1:20" ht="14.5" x14ac:dyDescent="0.35">
      <c r="A519" t="e">
        <f t="shared" si="88"/>
        <v>#VALUE!</v>
      </c>
      <c r="B519" s="21">
        <f t="shared" ca="1" si="89"/>
        <v>46100</v>
      </c>
      <c r="C519" s="21">
        <f t="shared" ca="1" si="90"/>
        <v>46157</v>
      </c>
      <c r="D519">
        <f t="shared" ca="1" si="91"/>
        <v>49</v>
      </c>
      <c r="E519">
        <f t="shared" ca="1" si="92"/>
        <v>0.4751663975446988</v>
      </c>
      <c r="F519" s="47">
        <f t="shared" ca="1" si="93"/>
        <v>820.39</v>
      </c>
      <c r="G519" s="32" t="str">
        <f t="shared" ca="1" si="94"/>
        <v>personal</v>
      </c>
      <c r="H51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519" t="str">
        <f t="shared" ca="1" si="95"/>
        <v>Sí</v>
      </c>
      <c r="J51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19" s="32">
        <f ca="1">IF(Tabla2[[#This Row],[¿cliente deuda abierta?]]="Sí", Tabla2[[#This Row],[Deuda actual]]*Tabla2[[#This Row],[diferencia de días]], "0")</f>
        <v>40199.11</v>
      </c>
      <c r="L51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51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19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519">
        <f t="shared" ca="1" si="96"/>
        <v>1906.76</v>
      </c>
      <c r="P519">
        <f t="shared" ca="1" si="97"/>
        <v>120361.24</v>
      </c>
      <c r="Q519">
        <f t="shared" ca="1" si="98"/>
        <v>4</v>
      </c>
      <c r="R519">
        <f ca="1">((Tabla2[[#This Row],[Fantasma Comunicación]]+1)/(Tabla2[[#This Row],[Fantasma Comunicación]]+RANDBETWEEN(0,5)+2))-0.5</f>
        <v>0</v>
      </c>
      <c r="S519" s="51">
        <f ca="1">1+MAX(0,Tabla2[[#This Row],[Deuda actual]]/Tabla2[[#This Row],[Liquidez]]+Tabla2[[#This Row],[Liquidez]]/(Tabla2[[#This Row],[Activos]]+Tabla2[[#This Row],[Liquidez]])+Tabla2[[#This Row],[Comunicación]])</f>
        <v>1.4458483367975161</v>
      </c>
      <c r="T519">
        <f ca="1">Tabla2[[#This Row],[Deuda actual]]*EXP(Tabla2[[#This Row],[Ki]]*Tabla2[[#This Row],[diferencia de días]])*(1+Tabla2[[#This Row],[Hg]])</f>
        <v>947.74930089797283</v>
      </c>
    </row>
    <row r="520" spans="1:20" ht="14.5" x14ac:dyDescent="0.35">
      <c r="A520" t="e">
        <f t="shared" si="88"/>
        <v>#VALUE!</v>
      </c>
      <c r="B520" s="21">
        <f t="shared" ca="1" si="89"/>
        <v>46131</v>
      </c>
      <c r="C520" s="21">
        <f t="shared" ca="1" si="90"/>
        <v>46157</v>
      </c>
      <c r="D520">
        <f t="shared" ca="1" si="91"/>
        <v>12</v>
      </c>
      <c r="E520">
        <f t="shared" ca="1" si="92"/>
        <v>0.4632156753314588</v>
      </c>
      <c r="F520" s="47">
        <f t="shared" ca="1" si="93"/>
        <v>1771.01</v>
      </c>
      <c r="G520" s="32" t="str">
        <f t="shared" ca="1" si="94"/>
        <v>hipotecario</v>
      </c>
      <c r="H52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20" t="str">
        <f t="shared" ca="1" si="95"/>
        <v>No</v>
      </c>
      <c r="J52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164999.06525869929</v>
      </c>
      <c r="K520" s="32" t="str">
        <f ca="1">IF(Tabla2[[#This Row],[¿cliente deuda abierta?]]="Sí", Tabla2[[#This Row],[Deuda actual]]*Tabla2[[#This Row],[diferencia de días]], "0")</f>
        <v>0</v>
      </c>
      <c r="L52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2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52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520">
        <f t="shared" ca="1" si="96"/>
        <v>1507.63</v>
      </c>
      <c r="P520">
        <f t="shared" ca="1" si="97"/>
        <v>89543.96</v>
      </c>
      <c r="Q520">
        <f t="shared" ca="1" si="98"/>
        <v>5</v>
      </c>
      <c r="R520">
        <f ca="1">((Tabla2[[#This Row],[Fantasma Comunicación]]+1)/(Tabla2[[#This Row],[Fantasma Comunicación]]+RANDBETWEEN(0,5)+2))-0.5</f>
        <v>9.9999999999999978E-2</v>
      </c>
      <c r="S520" s="51">
        <f ca="1">1+MAX(0,Tabla2[[#This Row],[Deuda actual]]/Tabla2[[#This Row],[Liquidez]]+Tabla2[[#This Row],[Liquidez]]/(Tabla2[[#This Row],[Activos]]+Tabla2[[#This Row],[Liquidez]])+Tabla2[[#This Row],[Comunicación]])</f>
        <v>2.2912560115291853</v>
      </c>
      <c r="T520">
        <f ca="1">Tabla2[[#This Row],[Deuda actual]]*EXP(Tabla2[[#This Row],[Ki]]*Tabla2[[#This Row],[diferencia de días]])*(1+Tabla2[[#This Row],[Hg]])</f>
        <v>1420.2124228733251</v>
      </c>
    </row>
    <row r="521" spans="1:20" ht="14.5" x14ac:dyDescent="0.35">
      <c r="A521" t="e">
        <f t="shared" si="88"/>
        <v>#VALUE!</v>
      </c>
      <c r="B521" s="21">
        <f t="shared" ca="1" si="89"/>
        <v>46136</v>
      </c>
      <c r="C521" s="21">
        <f t="shared" ca="1" si="90"/>
        <v>46157</v>
      </c>
      <c r="D521">
        <f t="shared" ca="1" si="91"/>
        <v>4</v>
      </c>
      <c r="E521">
        <f t="shared" ca="1" si="92"/>
        <v>0.42471355366455965</v>
      </c>
      <c r="F521" s="47">
        <f t="shared" ca="1" si="93"/>
        <v>454.18</v>
      </c>
      <c r="G521" s="32" t="str">
        <f t="shared" ca="1" si="94"/>
        <v>personal</v>
      </c>
      <c r="H52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21" t="str">
        <f t="shared" ca="1" si="95"/>
        <v>No</v>
      </c>
      <c r="J52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11999.718140729939</v>
      </c>
      <c r="K521" s="32" t="str">
        <f ca="1">IF(Tabla2[[#This Row],[¿cliente deuda abierta?]]="Sí", Tabla2[[#This Row],[Deuda actual]]*Tabla2[[#This Row],[diferencia de días]], "0")</f>
        <v>0</v>
      </c>
      <c r="L52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2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52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521">
        <f t="shared" ca="1" si="96"/>
        <v>1543.75</v>
      </c>
      <c r="P521">
        <f t="shared" ca="1" si="97"/>
        <v>27547.53</v>
      </c>
      <c r="Q521">
        <f t="shared" ca="1" si="98"/>
        <v>4</v>
      </c>
      <c r="R521">
        <f ca="1">((Tabla2[[#This Row],[Fantasma Comunicación]]+1)/(Tabla2[[#This Row],[Fantasma Comunicación]]+RANDBETWEEN(0,5)+2))-0.5</f>
        <v>-4.545454545454547E-2</v>
      </c>
      <c r="S521" s="51">
        <f ca="1">1+MAX(0,Tabla2[[#This Row],[Deuda actual]]/Tabla2[[#This Row],[Liquidez]]+Tabla2[[#This Row],[Liquidez]]/(Tabla2[[#This Row],[Activos]]+Tabla2[[#This Row],[Liquidez]])+Tabla2[[#This Row],[Comunicación]])</f>
        <v>1.3018168522235958</v>
      </c>
      <c r="T521">
        <f ca="1">Tabla2[[#This Row],[Deuda actual]]*EXP(Tabla2[[#This Row],[Ki]]*Tabla2[[#This Row],[diferencia de días]])*(1+Tabla2[[#This Row],[Hg]])</f>
        <v>409.08914043872801</v>
      </c>
    </row>
    <row r="522" spans="1:20" ht="14.5" x14ac:dyDescent="0.35">
      <c r="A522" t="e">
        <f t="shared" si="88"/>
        <v>#VALUE!</v>
      </c>
      <c r="B522" s="21">
        <f t="shared" ca="1" si="89"/>
        <v>46129</v>
      </c>
      <c r="C522" s="21">
        <f t="shared" ca="1" si="90"/>
        <v>46157</v>
      </c>
      <c r="D522">
        <f t="shared" ca="1" si="91"/>
        <v>15</v>
      </c>
      <c r="E522">
        <f t="shared" ca="1" si="92"/>
        <v>0.27343153160810008</v>
      </c>
      <c r="F522" s="47">
        <f t="shared" ca="1" si="93"/>
        <v>323.5</v>
      </c>
      <c r="G522" s="32" t="str">
        <f t="shared" ca="1" si="94"/>
        <v>hipotecario</v>
      </c>
      <c r="H52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522" t="str">
        <f t="shared" ca="1" si="95"/>
        <v>Sí</v>
      </c>
      <c r="J52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22" s="32">
        <f ca="1">IF(Tabla2[[#This Row],[¿cliente deuda abierta?]]="Sí", Tabla2[[#This Row],[Deuda actual]]*Tabla2[[#This Row],[diferencia de días]], "0")</f>
        <v>4852.5</v>
      </c>
      <c r="L52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2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2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22">
        <f t="shared" ca="1" si="96"/>
        <v>2133.0100000000002</v>
      </c>
      <c r="P522">
        <f t="shared" ca="1" si="97"/>
        <v>427631.47</v>
      </c>
      <c r="Q522">
        <f t="shared" ca="1" si="98"/>
        <v>2</v>
      </c>
      <c r="R522">
        <f ca="1">((Tabla2[[#This Row],[Fantasma Comunicación]]+1)/(Tabla2[[#This Row],[Fantasma Comunicación]]+RANDBETWEEN(0,5)+2))-0.5</f>
        <v>-0.16666666666666669</v>
      </c>
      <c r="S522" s="51">
        <f ca="1">1+MAX(0,Tabla2[[#This Row],[Deuda actual]]/Tabla2[[#This Row],[Liquidez]]+Tabla2[[#This Row],[Liquidez]]/(Tabla2[[#This Row],[Activos]]+Tabla2[[#This Row],[Liquidez]])+Tabla2[[#This Row],[Comunicación]])</f>
        <v>1</v>
      </c>
      <c r="T522">
        <f ca="1">Tabla2[[#This Row],[Deuda actual]]*EXP(Tabla2[[#This Row],[Ki]]*Tabla2[[#This Row],[diferencia de días]])*(1+Tabla2[[#This Row],[Hg]])</f>
        <v>341.71917639666452</v>
      </c>
    </row>
    <row r="523" spans="1:20" ht="14.5" x14ac:dyDescent="0.35">
      <c r="A523" t="e">
        <f t="shared" si="88"/>
        <v>#VALUE!</v>
      </c>
      <c r="B523" s="21">
        <f t="shared" ca="1" si="89"/>
        <v>46118</v>
      </c>
      <c r="C523" s="21">
        <f t="shared" ca="1" si="90"/>
        <v>46157</v>
      </c>
      <c r="D523">
        <f t="shared" ca="1" si="91"/>
        <v>13</v>
      </c>
      <c r="E523">
        <f t="shared" ca="1" si="92"/>
        <v>2.3684923940145874E-2</v>
      </c>
      <c r="F523" s="47">
        <f t="shared" ca="1" si="93"/>
        <v>683.68</v>
      </c>
      <c r="G523" s="32" t="str">
        <f t="shared" ca="1" si="94"/>
        <v>personal</v>
      </c>
      <c r="H52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23" t="str">
        <f t="shared" ca="1" si="95"/>
        <v>Sí</v>
      </c>
      <c r="J52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23" s="32">
        <f ca="1">IF(Tabla2[[#This Row],[¿cliente deuda abierta?]]="Sí", Tabla2[[#This Row],[Deuda actual]]*Tabla2[[#This Row],[diferencia de días]], "0")</f>
        <v>8887.84</v>
      </c>
      <c r="L52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2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2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23">
        <f t="shared" ca="1" si="96"/>
        <v>2304.86</v>
      </c>
      <c r="P523">
        <f t="shared" ca="1" si="97"/>
        <v>493711.73</v>
      </c>
      <c r="Q523">
        <f t="shared" ca="1" si="98"/>
        <v>0</v>
      </c>
      <c r="R523">
        <f ca="1">((Tabla2[[#This Row],[Fantasma Comunicación]]+1)/(Tabla2[[#This Row],[Fantasma Comunicación]]+RANDBETWEEN(0,5)+2))-0.5</f>
        <v>-0.25</v>
      </c>
      <c r="S523" s="51">
        <f ca="1">1+MAX(0,Tabla2[[#This Row],[Deuda actual]]/Tabla2[[#This Row],[Liquidez]]+Tabla2[[#This Row],[Liquidez]]/(Tabla2[[#This Row],[Activos]]+Tabla2[[#This Row],[Liquidez]])+Tabla2[[#This Row],[Comunicación]])</f>
        <v>1.0512721313030009</v>
      </c>
      <c r="T523">
        <f ca="1">Tabla2[[#This Row],[Deuda actual]]*EXP(Tabla2[[#This Row],[Ki]]*Tabla2[[#This Row],[diferencia de días]])*(1+Tabla2[[#This Row],[Hg]])</f>
        <v>719.73287488455048</v>
      </c>
    </row>
    <row r="524" spans="1:20" ht="14.5" x14ac:dyDescent="0.35">
      <c r="A524" t="e">
        <f t="shared" si="88"/>
        <v>#VALUE!</v>
      </c>
      <c r="B524" s="21">
        <f t="shared" ca="1" si="89"/>
        <v>46134</v>
      </c>
      <c r="C524" s="21">
        <f t="shared" ca="1" si="90"/>
        <v>46157</v>
      </c>
      <c r="D524">
        <f t="shared" ca="1" si="91"/>
        <v>51</v>
      </c>
      <c r="E524">
        <f t="shared" ca="1" si="92"/>
        <v>0.27722324941090304</v>
      </c>
      <c r="F524" s="47">
        <f t="shared" ca="1" si="93"/>
        <v>180.19</v>
      </c>
      <c r="G524" s="32" t="str">
        <f t="shared" ca="1" si="94"/>
        <v>personal</v>
      </c>
      <c r="H52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1.5E-3</v>
      </c>
      <c r="I524" t="str">
        <f t="shared" ca="1" si="95"/>
        <v>No</v>
      </c>
      <c r="J52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12000.417678047623</v>
      </c>
      <c r="K524" s="32" t="str">
        <f ca="1">IF(Tabla2[[#This Row],[¿cliente deuda abierta?]]="Sí", Tabla2[[#This Row],[Deuda actual]]*Tabla2[[#This Row],[diferencia de días]], "0")</f>
        <v>0</v>
      </c>
      <c r="L52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2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52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524">
        <f t="shared" ca="1" si="96"/>
        <v>1407.66</v>
      </c>
      <c r="P524">
        <f t="shared" ca="1" si="97"/>
        <v>260692.09</v>
      </c>
      <c r="Q524">
        <f t="shared" ca="1" si="98"/>
        <v>5</v>
      </c>
      <c r="R524">
        <f ca="1">((Tabla2[[#This Row],[Fantasma Comunicación]]+1)/(Tabla2[[#This Row],[Fantasma Comunicación]]+RANDBETWEEN(0,5)+2))-0.5</f>
        <v>9.9999999999999978E-2</v>
      </c>
      <c r="S524" s="51">
        <f ca="1">1+MAX(0,Tabla2[[#This Row],[Deuda actual]]/Tabla2[[#This Row],[Liquidez]]+Tabla2[[#This Row],[Liquidez]]/(Tabla2[[#This Row],[Activos]]+Tabla2[[#This Row],[Liquidez]])+Tabla2[[#This Row],[Comunicación]])</f>
        <v>1.2333774663262993</v>
      </c>
      <c r="T524">
        <f ca="1">Tabla2[[#This Row],[Deuda actual]]*EXP(Tabla2[[#This Row],[Ki]]*Tabla2[[#This Row],[diferencia de días]])*(1+Tabla2[[#This Row],[Hg]])</f>
        <v>175.06394970916847</v>
      </c>
    </row>
    <row r="525" spans="1:20" ht="14.5" x14ac:dyDescent="0.35">
      <c r="A525" t="e">
        <f t="shared" si="88"/>
        <v>#VALUE!</v>
      </c>
      <c r="B525" s="21">
        <f t="shared" ca="1" si="89"/>
        <v>46083</v>
      </c>
      <c r="C525" s="21">
        <f t="shared" ca="1" si="90"/>
        <v>46157</v>
      </c>
      <c r="D525">
        <f t="shared" ca="1" si="91"/>
        <v>29</v>
      </c>
      <c r="E525">
        <f t="shared" ca="1" si="92"/>
        <v>0.39037976714783984</v>
      </c>
      <c r="F525" s="47">
        <f t="shared" ca="1" si="93"/>
        <v>401.33</v>
      </c>
      <c r="G525" s="32" t="str">
        <f t="shared" ca="1" si="94"/>
        <v>personal</v>
      </c>
      <c r="H52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525" t="str">
        <f t="shared" ca="1" si="95"/>
        <v>Sí</v>
      </c>
      <c r="J52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25" s="32">
        <f ca="1">IF(Tabla2[[#This Row],[¿cliente deuda abierta?]]="Sí", Tabla2[[#This Row],[Deuda actual]]*Tabla2[[#This Row],[diferencia de días]], "0")</f>
        <v>11638.57</v>
      </c>
      <c r="L52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2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2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25">
        <f t="shared" ca="1" si="96"/>
        <v>1416.54</v>
      </c>
      <c r="P525">
        <f t="shared" ca="1" si="97"/>
        <v>263721.67</v>
      </c>
      <c r="Q525">
        <f t="shared" ca="1" si="98"/>
        <v>3</v>
      </c>
      <c r="R525">
        <f ca="1">((Tabla2[[#This Row],[Fantasma Comunicación]]+1)/(Tabla2[[#This Row],[Fantasma Comunicación]]+RANDBETWEEN(0,5)+2))-0.5</f>
        <v>0</v>
      </c>
      <c r="S525" s="51">
        <f ca="1">1+MAX(0,Tabla2[[#This Row],[Deuda actual]]/Tabla2[[#This Row],[Liquidez]]+Tabla2[[#This Row],[Liquidez]]/(Tabla2[[#This Row],[Activos]]+Tabla2[[#This Row],[Liquidez]])+Tabla2[[#This Row],[Comunicación]])</f>
        <v>1.2886597441070307</v>
      </c>
      <c r="T525">
        <f ca="1">Tabla2[[#This Row],[Deuda actual]]*EXP(Tabla2[[#This Row],[Ki]]*Tabla2[[#This Row],[diferencia de días]])*(1+Tabla2[[#This Row],[Hg]])</f>
        <v>426.31316090119299</v>
      </c>
    </row>
    <row r="526" spans="1:20" ht="14.5" x14ac:dyDescent="0.35">
      <c r="A526" t="e">
        <f t="shared" si="88"/>
        <v>#VALUE!</v>
      </c>
      <c r="B526" s="21">
        <f t="shared" ca="1" si="89"/>
        <v>46133</v>
      </c>
      <c r="C526" s="21">
        <f t="shared" ca="1" si="90"/>
        <v>46157</v>
      </c>
      <c r="D526">
        <f t="shared" ca="1" si="91"/>
        <v>12</v>
      </c>
      <c r="E526">
        <f t="shared" ca="1" si="92"/>
        <v>0.34550920795763895</v>
      </c>
      <c r="F526" s="47">
        <f t="shared" ca="1" si="93"/>
        <v>912.2</v>
      </c>
      <c r="G526" s="32" t="str">
        <f t="shared" ca="1" si="94"/>
        <v>hipotecario</v>
      </c>
      <c r="H52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26" t="str">
        <f t="shared" ca="1" si="95"/>
        <v>No</v>
      </c>
      <c r="J52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165000.26755654294</v>
      </c>
      <c r="K526" s="32" t="str">
        <f ca="1">IF(Tabla2[[#This Row],[¿cliente deuda abierta?]]="Sí", Tabla2[[#This Row],[Deuda actual]]*Tabla2[[#This Row],[diferencia de días]], "0")</f>
        <v>0</v>
      </c>
      <c r="L52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2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52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526">
        <f t="shared" ca="1" si="96"/>
        <v>1230.4000000000001</v>
      </c>
      <c r="P526">
        <f t="shared" ca="1" si="97"/>
        <v>170731.95</v>
      </c>
      <c r="Q526">
        <f t="shared" ca="1" si="98"/>
        <v>3</v>
      </c>
      <c r="R526">
        <f ca="1">((Tabla2[[#This Row],[Fantasma Comunicación]]+1)/(Tabla2[[#This Row],[Fantasma Comunicación]]+RANDBETWEEN(0,5)+2))-0.5</f>
        <v>-5.555555555555558E-2</v>
      </c>
      <c r="S526" s="51">
        <f ca="1">1+MAX(0,Tabla2[[#This Row],[Deuda actual]]/Tabla2[[#This Row],[Liquidez]]+Tabla2[[#This Row],[Liquidez]]/(Tabla2[[#This Row],[Activos]]+Tabla2[[#This Row],[Liquidez]])+Tabla2[[#This Row],[Comunicación]])</f>
        <v>1.6929844144993482</v>
      </c>
      <c r="T526">
        <f ca="1">Tabla2[[#This Row],[Deuda actual]]*EXP(Tabla2[[#This Row],[Ki]]*Tabla2[[#This Row],[diferencia de días]])*(1+Tabla2[[#This Row],[Hg]])</f>
        <v>731.51352739117635</v>
      </c>
    </row>
    <row r="527" spans="1:20" ht="14.5" x14ac:dyDescent="0.35">
      <c r="A527" t="e">
        <f t="shared" si="88"/>
        <v>#VALUE!</v>
      </c>
      <c r="B527" s="21">
        <f t="shared" ca="1" si="89"/>
        <v>46122</v>
      </c>
      <c r="C527" s="21">
        <f t="shared" ca="1" si="90"/>
        <v>46157</v>
      </c>
      <c r="D527">
        <f t="shared" ca="1" si="91"/>
        <v>1</v>
      </c>
      <c r="E527">
        <f t="shared" ca="1" si="92"/>
        <v>2.772463408131387E-2</v>
      </c>
      <c r="F527" s="47">
        <f t="shared" ca="1" si="93"/>
        <v>665.99</v>
      </c>
      <c r="G527" s="32" t="str">
        <f t="shared" ca="1" si="94"/>
        <v>personal</v>
      </c>
      <c r="H52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27" t="str">
        <f t="shared" ca="1" si="95"/>
        <v>No</v>
      </c>
      <c r="J52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11998.640433291566</v>
      </c>
      <c r="K527" s="32" t="str">
        <f ca="1">IF(Tabla2[[#This Row],[¿cliente deuda abierta?]]="Sí", Tabla2[[#This Row],[Deuda actual]]*Tabla2[[#This Row],[diferencia de días]], "0")</f>
        <v>0</v>
      </c>
      <c r="L52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2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52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527">
        <f t="shared" ca="1" si="96"/>
        <v>1769.34</v>
      </c>
      <c r="P527">
        <f t="shared" ca="1" si="97"/>
        <v>526495.12</v>
      </c>
      <c r="Q527">
        <f t="shared" ca="1" si="98"/>
        <v>2</v>
      </c>
      <c r="R527">
        <f ca="1">((Tabla2[[#This Row],[Fantasma Comunicación]]+1)/(Tabla2[[#This Row],[Fantasma Comunicación]]+RANDBETWEEN(0,5)+2))-0.5</f>
        <v>-7.1428571428571452E-2</v>
      </c>
      <c r="S527" s="51">
        <f ca="1">1+MAX(0,Tabla2[[#This Row],[Deuda actual]]/Tabla2[[#This Row],[Liquidez]]+Tabla2[[#This Row],[Liquidez]]/(Tabla2[[#This Row],[Activos]]+Tabla2[[#This Row],[Liquidez]])+Tabla2[[#This Row],[Comunicación]])</f>
        <v>1.3083266651704961</v>
      </c>
      <c r="T527">
        <f ca="1">Tabla2[[#This Row],[Deuda actual]]*EXP(Tabla2[[#This Row],[Ki]]*Tabla2[[#This Row],[diferencia de días]])*(1+Tabla2[[#This Row],[Hg]])</f>
        <v>599.51089018861921</v>
      </c>
    </row>
    <row r="528" spans="1:20" ht="14.5" x14ac:dyDescent="0.35">
      <c r="A528" t="e">
        <f t="shared" si="88"/>
        <v>#VALUE!</v>
      </c>
      <c r="B528" s="21">
        <f t="shared" ca="1" si="89"/>
        <v>46138</v>
      </c>
      <c r="C528" s="21">
        <f t="shared" ca="1" si="90"/>
        <v>46157</v>
      </c>
      <c r="D528">
        <f t="shared" ca="1" si="91"/>
        <v>32</v>
      </c>
      <c r="E528">
        <f t="shared" ca="1" si="92"/>
        <v>0.82328883435838762</v>
      </c>
      <c r="F528" s="47">
        <f t="shared" ca="1" si="93"/>
        <v>462.65</v>
      </c>
      <c r="G528" s="32" t="str">
        <f t="shared" ca="1" si="94"/>
        <v>personal</v>
      </c>
      <c r="H52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528" t="str">
        <f t="shared" ca="1" si="95"/>
        <v>Sí</v>
      </c>
      <c r="J52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28" s="32">
        <f ca="1">IF(Tabla2[[#This Row],[¿cliente deuda abierta?]]="Sí", Tabla2[[#This Row],[Deuda actual]]*Tabla2[[#This Row],[diferencia de días]], "0")</f>
        <v>14804.8</v>
      </c>
      <c r="L52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2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2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28">
        <f t="shared" ca="1" si="96"/>
        <v>2015.47</v>
      </c>
      <c r="P528">
        <f t="shared" ca="1" si="97"/>
        <v>110725.91</v>
      </c>
      <c r="Q528">
        <f t="shared" ca="1" si="98"/>
        <v>2</v>
      </c>
      <c r="R528">
        <f ca="1">((Tabla2[[#This Row],[Fantasma Comunicación]]+1)/(Tabla2[[#This Row],[Fantasma Comunicación]]+RANDBETWEEN(0,5)+2))-0.5</f>
        <v>-7.1428571428571452E-2</v>
      </c>
      <c r="S528" s="51">
        <f ca="1">1+MAX(0,Tabla2[[#This Row],[Deuda actual]]/Tabla2[[#This Row],[Liquidez]]+Tabla2[[#This Row],[Liquidez]]/(Tabla2[[#This Row],[Activos]]+Tabla2[[#This Row],[Liquidez]])+Tabla2[[#This Row],[Comunicación]])</f>
        <v>1.1759977958340626</v>
      </c>
      <c r="T528">
        <f ca="1">Tabla2[[#This Row],[Deuda actual]]*EXP(Tabla2[[#This Row],[Ki]]*Tabla2[[#This Row],[diferencia de días]])*(1+Tabla2[[#This Row],[Hg]])</f>
        <v>501.57893502088365</v>
      </c>
    </row>
    <row r="529" spans="1:20" ht="14.5" x14ac:dyDescent="0.35">
      <c r="A529" t="e">
        <f t="shared" si="88"/>
        <v>#VALUE!</v>
      </c>
      <c r="B529" s="21">
        <f t="shared" ca="1" si="89"/>
        <v>46133</v>
      </c>
      <c r="C529" s="21">
        <f t="shared" ca="1" si="90"/>
        <v>46157</v>
      </c>
      <c r="D529">
        <f t="shared" ca="1" si="91"/>
        <v>8</v>
      </c>
      <c r="E529">
        <f t="shared" ca="1" si="92"/>
        <v>0.88428492176780094</v>
      </c>
      <c r="F529" s="47">
        <f t="shared" ca="1" si="93"/>
        <v>5773.46</v>
      </c>
      <c r="G529" s="32" t="str">
        <f t="shared" ca="1" si="94"/>
        <v>personal</v>
      </c>
      <c r="H52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29" t="str">
        <f t="shared" ca="1" si="95"/>
        <v>Sí</v>
      </c>
      <c r="J52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29" s="32">
        <f ca="1">IF(Tabla2[[#This Row],[¿cliente deuda abierta?]]="Sí", Tabla2[[#This Row],[Deuda actual]]*Tabla2[[#This Row],[diferencia de días]], "0")</f>
        <v>46187.68</v>
      </c>
      <c r="L52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52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29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529">
        <f t="shared" ca="1" si="96"/>
        <v>1467.2</v>
      </c>
      <c r="P529">
        <f t="shared" ca="1" si="97"/>
        <v>118807.67999999999</v>
      </c>
      <c r="Q529">
        <f t="shared" ca="1" si="98"/>
        <v>0</v>
      </c>
      <c r="R529">
        <f ca="1">((Tabla2[[#This Row],[Fantasma Comunicación]]+1)/(Tabla2[[#This Row],[Fantasma Comunicación]]+RANDBETWEEN(0,5)+2))-0.5</f>
        <v>-0.3</v>
      </c>
      <c r="S529" s="51">
        <f ca="1">1+MAX(0,Tabla2[[#This Row],[Deuda actual]]/Tabla2[[#This Row],[Liquidez]]+Tabla2[[#This Row],[Liquidez]]/(Tabla2[[#This Row],[Activos]]+Tabla2[[#This Row],[Liquidez]])+Tabla2[[#This Row],[Comunicación]])</f>
        <v>4.6472178074269328</v>
      </c>
      <c r="T529">
        <f ca="1">Tabla2[[#This Row],[Deuda actual]]*EXP(Tabla2[[#This Row],[Ki]]*Tabla2[[#This Row],[diferencia de días]])*(1+Tabla2[[#This Row],[Hg]])</f>
        <v>6360.9754229688988</v>
      </c>
    </row>
    <row r="530" spans="1:20" ht="14.5" x14ac:dyDescent="0.35">
      <c r="A530" t="e">
        <f t="shared" si="88"/>
        <v>#VALUE!</v>
      </c>
      <c r="B530" s="21">
        <f t="shared" ca="1" si="89"/>
        <v>46105</v>
      </c>
      <c r="C530" s="21">
        <f t="shared" ca="1" si="90"/>
        <v>46157</v>
      </c>
      <c r="D530">
        <f t="shared" ca="1" si="91"/>
        <v>26</v>
      </c>
      <c r="E530">
        <f t="shared" ca="1" si="92"/>
        <v>0.74727845314954411</v>
      </c>
      <c r="F530" s="47">
        <f t="shared" ca="1" si="93"/>
        <v>1027.82</v>
      </c>
      <c r="G530" s="32" t="str">
        <f t="shared" ca="1" si="94"/>
        <v>hipotecario</v>
      </c>
      <c r="H53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530" t="str">
        <f t="shared" ca="1" si="95"/>
        <v>Sí</v>
      </c>
      <c r="J53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30" s="32">
        <f ca="1">IF(Tabla2[[#This Row],[¿cliente deuda abierta?]]="Sí", Tabla2[[#This Row],[Deuda actual]]*Tabla2[[#This Row],[diferencia de días]], "0")</f>
        <v>26723.32</v>
      </c>
      <c r="L53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3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3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30">
        <f t="shared" ca="1" si="96"/>
        <v>1409.61</v>
      </c>
      <c r="P530">
        <f t="shared" ca="1" si="97"/>
        <v>53804.26</v>
      </c>
      <c r="Q530">
        <f t="shared" ca="1" si="98"/>
        <v>5</v>
      </c>
      <c r="R530">
        <f ca="1">((Tabla2[[#This Row],[Fantasma Comunicación]]+1)/(Tabla2[[#This Row],[Fantasma Comunicación]]+RANDBETWEEN(0,5)+2))-0.5</f>
        <v>0</v>
      </c>
      <c r="S530" s="51">
        <f ca="1">1+MAX(0,Tabla2[[#This Row],[Deuda actual]]/Tabla2[[#This Row],[Liquidez]]+Tabla2[[#This Row],[Liquidez]]/(Tabla2[[#This Row],[Activos]]+Tabla2[[#This Row],[Liquidez]])+Tabla2[[#This Row],[Comunicación]])</f>
        <v>1.7546820331289628</v>
      </c>
      <c r="T530">
        <f ca="1">Tabla2[[#This Row],[Deuda actual]]*EXP(Tabla2[[#This Row],[Ki]]*Tabla2[[#This Row],[diferencia de días]])*(1+Tabla2[[#This Row],[Hg]])</f>
        <v>1090.4933609856282</v>
      </c>
    </row>
    <row r="531" spans="1:20" ht="14.5" x14ac:dyDescent="0.35">
      <c r="A531" t="e">
        <f t="shared" si="88"/>
        <v>#VALUE!</v>
      </c>
      <c r="B531" s="21">
        <f t="shared" ca="1" si="89"/>
        <v>46136</v>
      </c>
      <c r="C531" s="21">
        <f t="shared" ca="1" si="90"/>
        <v>46157</v>
      </c>
      <c r="D531">
        <f t="shared" ca="1" si="91"/>
        <v>4</v>
      </c>
      <c r="E531">
        <f t="shared" ca="1" si="92"/>
        <v>0.86634282228753823</v>
      </c>
      <c r="F531" s="47">
        <f t="shared" ca="1" si="93"/>
        <v>366.77</v>
      </c>
      <c r="G531" s="32" t="str">
        <f t="shared" ca="1" si="94"/>
        <v>personal</v>
      </c>
      <c r="H53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31" t="str">
        <f t="shared" ca="1" si="95"/>
        <v>Sí</v>
      </c>
      <c r="J53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31" s="32">
        <f ca="1">IF(Tabla2[[#This Row],[¿cliente deuda abierta?]]="Sí", Tabla2[[#This Row],[Deuda actual]]*Tabla2[[#This Row],[diferencia de días]], "0")</f>
        <v>1467.08</v>
      </c>
      <c r="L53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3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3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31">
        <f t="shared" ca="1" si="96"/>
        <v>1244.77</v>
      </c>
      <c r="P531">
        <f t="shared" ca="1" si="97"/>
        <v>135700.69</v>
      </c>
      <c r="Q531">
        <f t="shared" ca="1" si="98"/>
        <v>2</v>
      </c>
      <c r="R531">
        <f ca="1">((Tabla2[[#This Row],[Fantasma Comunicación]]+1)/(Tabla2[[#This Row],[Fantasma Comunicación]]+RANDBETWEEN(0,5)+2))-0.5</f>
        <v>0.25</v>
      </c>
      <c r="S531" s="51">
        <f ca="1">1+MAX(0,Tabla2[[#This Row],[Deuda actual]]/Tabla2[[#This Row],[Liquidez]]+Tabla2[[#This Row],[Liquidez]]/(Tabla2[[#This Row],[Activos]]+Tabla2[[#This Row],[Liquidez]])+Tabla2[[#This Row],[Comunicación]])</f>
        <v>1.553738341594592</v>
      </c>
      <c r="T531">
        <f ca="1">Tabla2[[#This Row],[Deuda actual]]*EXP(Tabla2[[#This Row],[Ki]]*Tabla2[[#This Row],[diferencia de días]])*(1+Tabla2[[#This Row],[Hg]])</f>
        <v>385.41671006758912</v>
      </c>
    </row>
    <row r="532" spans="1:20" ht="14.5" x14ac:dyDescent="0.35">
      <c r="A532" t="e">
        <f t="shared" si="88"/>
        <v>#VALUE!</v>
      </c>
      <c r="B532" s="21">
        <f t="shared" ca="1" si="89"/>
        <v>46105</v>
      </c>
      <c r="C532" s="21">
        <f t="shared" ca="1" si="90"/>
        <v>46157</v>
      </c>
      <c r="D532">
        <f t="shared" ca="1" si="91"/>
        <v>6</v>
      </c>
      <c r="E532">
        <f t="shared" ca="1" si="92"/>
        <v>0.17962779413175511</v>
      </c>
      <c r="F532" s="47">
        <f t="shared" ca="1" si="93"/>
        <v>368.71</v>
      </c>
      <c r="G532" s="32" t="str">
        <f t="shared" ca="1" si="94"/>
        <v>hipotecario</v>
      </c>
      <c r="H53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32" t="str">
        <f t="shared" ca="1" si="95"/>
        <v>No</v>
      </c>
      <c r="J53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165000.8225888701</v>
      </c>
      <c r="K532" s="32" t="str">
        <f ca="1">IF(Tabla2[[#This Row],[¿cliente deuda abierta?]]="Sí", Tabla2[[#This Row],[Deuda actual]]*Tabla2[[#This Row],[diferencia de días]], "0")</f>
        <v>0</v>
      </c>
      <c r="L53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3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53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532">
        <f t="shared" ca="1" si="96"/>
        <v>1245.82</v>
      </c>
      <c r="P532">
        <f t="shared" ca="1" si="97"/>
        <v>99820.92</v>
      </c>
      <c r="Q532">
        <f t="shared" ca="1" si="98"/>
        <v>5</v>
      </c>
      <c r="R532">
        <f ca="1">((Tabla2[[#This Row],[Fantasma Comunicación]]+1)/(Tabla2[[#This Row],[Fantasma Comunicación]]+RANDBETWEEN(0,5)+2))-0.5</f>
        <v>0.25</v>
      </c>
      <c r="S532" s="51">
        <f ca="1">1+MAX(0,Tabla2[[#This Row],[Deuda actual]]/Tabla2[[#This Row],[Liquidez]]+Tabla2[[#This Row],[Liquidez]]/(Tabla2[[#This Row],[Activos]]+Tabla2[[#This Row],[Liquidez]])+Tabla2[[#This Row],[Comunicación]])</f>
        <v>1.5582843885856454</v>
      </c>
      <c r="T532">
        <f ca="1">Tabla2[[#This Row],[Deuda actual]]*EXP(Tabla2[[#This Row],[Ki]]*Tabla2[[#This Row],[diferencia de días]])*(1+Tabla2[[#This Row],[Hg]])</f>
        <v>295.32217406193627</v>
      </c>
    </row>
    <row r="533" spans="1:20" ht="14.5" x14ac:dyDescent="0.35">
      <c r="A533" t="e">
        <f t="shared" si="88"/>
        <v>#VALUE!</v>
      </c>
      <c r="B533" s="21">
        <f t="shared" ca="1" si="89"/>
        <v>46086</v>
      </c>
      <c r="C533" s="21">
        <f t="shared" ca="1" si="90"/>
        <v>46157</v>
      </c>
      <c r="D533">
        <f t="shared" ca="1" si="91"/>
        <v>15</v>
      </c>
      <c r="E533">
        <f t="shared" ca="1" si="92"/>
        <v>7.1819188370803255E-2</v>
      </c>
      <c r="F533" s="47">
        <f t="shared" ca="1" si="93"/>
        <v>168.94</v>
      </c>
      <c r="G533" s="32" t="str">
        <f t="shared" ca="1" si="94"/>
        <v>personal</v>
      </c>
      <c r="H53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533" t="str">
        <f t="shared" ca="1" si="95"/>
        <v>Sí</v>
      </c>
      <c r="J53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33" s="32">
        <f ca="1">IF(Tabla2[[#This Row],[¿cliente deuda abierta?]]="Sí", Tabla2[[#This Row],[Deuda actual]]*Tabla2[[#This Row],[diferencia de días]], "0")</f>
        <v>2534.1</v>
      </c>
      <c r="L53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3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3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33">
        <f t="shared" ca="1" si="96"/>
        <v>1575.31</v>
      </c>
      <c r="P533">
        <f t="shared" ca="1" si="97"/>
        <v>39194.92</v>
      </c>
      <c r="Q533">
        <f t="shared" ca="1" si="98"/>
        <v>5</v>
      </c>
      <c r="R533">
        <f ca="1">((Tabla2[[#This Row],[Fantasma Comunicación]]+1)/(Tabla2[[#This Row],[Fantasma Comunicación]]+RANDBETWEEN(0,5)+2))-0.5</f>
        <v>9.9999999999999978E-2</v>
      </c>
      <c r="S533" s="51">
        <f ca="1">1+MAX(0,Tabla2[[#This Row],[Deuda actual]]/Tabla2[[#This Row],[Liquidez]]+Tabla2[[#This Row],[Liquidez]]/(Tabla2[[#This Row],[Activos]]+Tabla2[[#This Row],[Liquidez]])+Tabla2[[#This Row],[Comunicación]])</f>
        <v>1.2458811162705241</v>
      </c>
      <c r="T533">
        <f ca="1">Tabla2[[#This Row],[Deuda actual]]*EXP(Tabla2[[#This Row],[Ki]]*Tabla2[[#This Row],[diferencia de días]])*(1+Tabla2[[#This Row],[Hg]])</f>
        <v>178.45452136152241</v>
      </c>
    </row>
    <row r="534" spans="1:20" ht="14.5" x14ac:dyDescent="0.35">
      <c r="A534" t="e">
        <f t="shared" si="88"/>
        <v>#VALUE!</v>
      </c>
      <c r="B534" s="21">
        <f t="shared" ca="1" si="89"/>
        <v>46128</v>
      </c>
      <c r="C534" s="21">
        <f t="shared" ca="1" si="90"/>
        <v>46157</v>
      </c>
      <c r="D534">
        <f t="shared" ca="1" si="91"/>
        <v>2</v>
      </c>
      <c r="E534">
        <f t="shared" ca="1" si="92"/>
        <v>0.63591452546523486</v>
      </c>
      <c r="F534" s="47">
        <f t="shared" ca="1" si="93"/>
        <v>615.79999999999995</v>
      </c>
      <c r="G534" s="32" t="str">
        <f t="shared" ca="1" si="94"/>
        <v>hipotecario</v>
      </c>
      <c r="H53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34" t="str">
        <f t="shared" ca="1" si="95"/>
        <v>No</v>
      </c>
      <c r="J53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165001.18134794768</v>
      </c>
      <c r="K534" s="32" t="str">
        <f ca="1">IF(Tabla2[[#This Row],[¿cliente deuda abierta?]]="Sí", Tabla2[[#This Row],[Deuda actual]]*Tabla2[[#This Row],[diferencia de días]], "0")</f>
        <v>0</v>
      </c>
      <c r="L53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3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53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534">
        <f t="shared" ca="1" si="96"/>
        <v>1480.16</v>
      </c>
      <c r="P534">
        <f t="shared" ca="1" si="97"/>
        <v>84986.68</v>
      </c>
      <c r="Q534">
        <f t="shared" ca="1" si="98"/>
        <v>2</v>
      </c>
      <c r="R534">
        <f ca="1">((Tabla2[[#This Row],[Fantasma Comunicación]]+1)/(Tabla2[[#This Row],[Fantasma Comunicación]]+RANDBETWEEN(0,5)+2))-0.5</f>
        <v>-7.1428571428571452E-2</v>
      </c>
      <c r="S534" s="51">
        <f ca="1">1+MAX(0,Tabla2[[#This Row],[Deuda actual]]/Tabla2[[#This Row],[Liquidez]]+Tabla2[[#This Row],[Liquidez]]/(Tabla2[[#This Row],[Activos]]+Tabla2[[#This Row],[Liquidez]])+Tabla2[[#This Row],[Comunicación]])</f>
        <v>1.3617257713982602</v>
      </c>
      <c r="T534">
        <f ca="1">Tabla2[[#This Row],[Deuda actual]]*EXP(Tabla2[[#This Row],[Ki]]*Tabla2[[#This Row],[diferencia de días]])*(1+Tabla2[[#This Row],[Hg]])</f>
        <v>492.83709541645544</v>
      </c>
    </row>
    <row r="535" spans="1:20" ht="14.5" x14ac:dyDescent="0.35">
      <c r="A535" t="e">
        <f t="shared" si="88"/>
        <v>#VALUE!</v>
      </c>
      <c r="B535" s="21">
        <f t="shared" ca="1" si="89"/>
        <v>46139</v>
      </c>
      <c r="C535" s="21">
        <f t="shared" ca="1" si="90"/>
        <v>46157</v>
      </c>
      <c r="D535">
        <f t="shared" ca="1" si="91"/>
        <v>6</v>
      </c>
      <c r="E535">
        <f t="shared" ca="1" si="92"/>
        <v>0.61069258662386605</v>
      </c>
      <c r="F535" s="47">
        <f t="shared" ca="1" si="93"/>
        <v>2413.0100000000002</v>
      </c>
      <c r="G535" s="32" t="str">
        <f t="shared" ca="1" si="94"/>
        <v>personal</v>
      </c>
      <c r="H53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35" t="str">
        <f t="shared" ca="1" si="95"/>
        <v>No</v>
      </c>
      <c r="J53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11999.712303740724</v>
      </c>
      <c r="K535" s="32" t="str">
        <f ca="1">IF(Tabla2[[#This Row],[¿cliente deuda abierta?]]="Sí", Tabla2[[#This Row],[Deuda actual]]*Tabla2[[#This Row],[diferencia de días]], "0")</f>
        <v>0</v>
      </c>
      <c r="L53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3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53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535">
        <f t="shared" ca="1" si="96"/>
        <v>1873.91</v>
      </c>
      <c r="P535">
        <f t="shared" ca="1" si="97"/>
        <v>329001.43</v>
      </c>
      <c r="Q535">
        <f t="shared" ca="1" si="98"/>
        <v>0</v>
      </c>
      <c r="R535">
        <f ca="1">((Tabla2[[#This Row],[Fantasma Comunicación]]+1)/(Tabla2[[#This Row],[Fantasma Comunicación]]+RANDBETWEEN(0,5)+2))-0.5</f>
        <v>-0.33333333333333337</v>
      </c>
      <c r="S535" s="51">
        <f ca="1">1+MAX(0,Tabla2[[#This Row],[Deuda actual]]/Tabla2[[#This Row],[Liquidez]]+Tabla2[[#This Row],[Liquidez]]/(Tabla2[[#This Row],[Activos]]+Tabla2[[#This Row],[Liquidez]])+Tabla2[[#This Row],[Comunicación]])</f>
        <v>1.9600174013304024</v>
      </c>
      <c r="T535">
        <f ca="1">Tabla2[[#This Row],[Deuda actual]]*EXP(Tabla2[[#This Row],[Ki]]*Tabla2[[#This Row],[diferencia de días]])*(1+Tabla2[[#This Row],[Hg]])</f>
        <v>2174.3166150561201</v>
      </c>
    </row>
    <row r="536" spans="1:20" ht="14.5" x14ac:dyDescent="0.35">
      <c r="A536" t="e">
        <f t="shared" si="88"/>
        <v>#VALUE!</v>
      </c>
      <c r="B536" s="21">
        <f t="shared" ca="1" si="89"/>
        <v>46093</v>
      </c>
      <c r="C536" s="21">
        <f t="shared" ca="1" si="90"/>
        <v>46157</v>
      </c>
      <c r="D536">
        <f t="shared" ca="1" si="91"/>
        <v>38</v>
      </c>
      <c r="E536">
        <f t="shared" ca="1" si="92"/>
        <v>2.5014075926147461E-3</v>
      </c>
      <c r="F536" s="47">
        <f t="shared" ca="1" si="93"/>
        <v>3193.32</v>
      </c>
      <c r="G536" s="32" t="str">
        <f t="shared" ca="1" si="94"/>
        <v>hipotecario</v>
      </c>
      <c r="H53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536" t="str">
        <f t="shared" ca="1" si="95"/>
        <v>Sí</v>
      </c>
      <c r="J53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36" s="32">
        <f ca="1">IF(Tabla2[[#This Row],[¿cliente deuda abierta?]]="Sí", Tabla2[[#This Row],[Deuda actual]]*Tabla2[[#This Row],[diferencia de días]], "0")</f>
        <v>121346.16</v>
      </c>
      <c r="L53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53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36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536">
        <f t="shared" ca="1" si="96"/>
        <v>1396.93</v>
      </c>
      <c r="P536">
        <f t="shared" ca="1" si="97"/>
        <v>133131.41</v>
      </c>
      <c r="Q536">
        <f t="shared" ca="1" si="98"/>
        <v>1</v>
      </c>
      <c r="R536">
        <f ca="1">((Tabla2[[#This Row],[Fantasma Comunicación]]+1)/(Tabla2[[#This Row],[Fantasma Comunicación]]+RANDBETWEEN(0,5)+2))-0.5</f>
        <v>-0.2142857142857143</v>
      </c>
      <c r="S536" s="51">
        <f ca="1">1+MAX(0,Tabla2[[#This Row],[Deuda actual]]/Tabla2[[#This Row],[Liquidez]]+Tabla2[[#This Row],[Liquidez]]/(Tabla2[[#This Row],[Activos]]+Tabla2[[#This Row],[Liquidez]])+Tabla2[[#This Row],[Comunicación]])</f>
        <v>3.0820538256905321</v>
      </c>
      <c r="T536">
        <f ca="1">Tabla2[[#This Row],[Deuda actual]]*EXP(Tabla2[[#This Row],[Ki]]*Tabla2[[#This Row],[diferencia de días]])*(1+Tabla2[[#This Row],[Hg]])</f>
        <v>3814.5514036618988</v>
      </c>
    </row>
    <row r="537" spans="1:20" ht="14.5" x14ac:dyDescent="0.35">
      <c r="A537" t="e">
        <f t="shared" si="88"/>
        <v>#VALUE!</v>
      </c>
      <c r="B537" s="21">
        <f t="shared" ca="1" si="89"/>
        <v>46143</v>
      </c>
      <c r="C537" s="21">
        <f t="shared" ca="1" si="90"/>
        <v>46157</v>
      </c>
      <c r="D537">
        <f t="shared" ca="1" si="91"/>
        <v>22</v>
      </c>
      <c r="E537">
        <f t="shared" ca="1" si="92"/>
        <v>0.66954002076744379</v>
      </c>
      <c r="F537" s="47">
        <f t="shared" ca="1" si="93"/>
        <v>4319.37</v>
      </c>
      <c r="G537" s="32" t="str">
        <f t="shared" ca="1" si="94"/>
        <v>hipotecario</v>
      </c>
      <c r="H53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537" t="str">
        <f t="shared" ca="1" si="95"/>
        <v>No</v>
      </c>
      <c r="J53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165000.9295988011</v>
      </c>
      <c r="K537" s="32" t="str">
        <f ca="1">IF(Tabla2[[#This Row],[¿cliente deuda abierta?]]="Sí", Tabla2[[#This Row],[Deuda actual]]*Tabla2[[#This Row],[diferencia de días]], "0")</f>
        <v>0</v>
      </c>
      <c r="L53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3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53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537">
        <f t="shared" ca="1" si="96"/>
        <v>2235.9499999999998</v>
      </c>
      <c r="P537">
        <f t="shared" ca="1" si="97"/>
        <v>195356.31</v>
      </c>
      <c r="Q537">
        <f t="shared" ca="1" si="98"/>
        <v>5</v>
      </c>
      <c r="R537">
        <f ca="1">((Tabla2[[#This Row],[Fantasma Comunicación]]+1)/(Tabla2[[#This Row],[Fantasma Comunicación]]+RANDBETWEEN(0,5)+2))-0.5</f>
        <v>0.3571428571428571</v>
      </c>
      <c r="S537" s="51">
        <f ca="1">1+MAX(0,Tabla2[[#This Row],[Deuda actual]]/Tabla2[[#This Row],[Liquidez]]+Tabla2[[#This Row],[Liquidez]]/(Tabla2[[#This Row],[Activos]]+Tabla2[[#This Row],[Liquidez]])+Tabla2[[#This Row],[Comunicación]])</f>
        <v>3.3002417478943711</v>
      </c>
      <c r="T537">
        <f ca="1">Tabla2[[#This Row],[Deuda actual]]*EXP(Tabla2[[#This Row],[Ki]]*Tabla2[[#This Row],[diferencia de días]])*(1+Tabla2[[#This Row],[Hg]])</f>
        <v>3486.038554940706</v>
      </c>
    </row>
    <row r="538" spans="1:20" ht="14.5" x14ac:dyDescent="0.35">
      <c r="A538" t="e">
        <f t="shared" si="88"/>
        <v>#VALUE!</v>
      </c>
      <c r="B538" s="21">
        <f t="shared" ca="1" si="89"/>
        <v>46140</v>
      </c>
      <c r="C538" s="21">
        <f t="shared" ca="1" si="90"/>
        <v>46157</v>
      </c>
      <c r="D538">
        <f t="shared" ca="1" si="91"/>
        <v>49</v>
      </c>
      <c r="E538">
        <f t="shared" ca="1" si="92"/>
        <v>0.81246446646173665</v>
      </c>
      <c r="F538" s="47">
        <f t="shared" ca="1" si="93"/>
        <v>784.38</v>
      </c>
      <c r="G538" s="32" t="str">
        <f t="shared" ca="1" si="94"/>
        <v>hipotecario</v>
      </c>
      <c r="H53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538" t="str">
        <f t="shared" ca="1" si="95"/>
        <v>Sí</v>
      </c>
      <c r="J53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38" s="32">
        <f ca="1">IF(Tabla2[[#This Row],[¿cliente deuda abierta?]]="Sí", Tabla2[[#This Row],[Deuda actual]]*Tabla2[[#This Row],[diferencia de días]], "0")</f>
        <v>38434.620000000003</v>
      </c>
      <c r="L53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53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38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538">
        <f t="shared" ca="1" si="96"/>
        <v>1325.21</v>
      </c>
      <c r="P538">
        <f t="shared" ca="1" si="97"/>
        <v>19840.400000000001</v>
      </c>
      <c r="Q538">
        <f t="shared" ca="1" si="98"/>
        <v>2</v>
      </c>
      <c r="R538">
        <f ca="1">((Tabla2[[#This Row],[Fantasma Comunicación]]+1)/(Tabla2[[#This Row],[Fantasma Comunicación]]+RANDBETWEEN(0,5)+2))-0.5</f>
        <v>-7.1428571428571452E-2</v>
      </c>
      <c r="S538" s="51">
        <f ca="1">1+MAX(0,Tabla2[[#This Row],[Deuda actual]]/Tabla2[[#This Row],[Liquidez]]+Tabla2[[#This Row],[Liquidez]]/(Tabla2[[#This Row],[Activos]]+Tabla2[[#This Row],[Liquidez]])+Tabla2[[#This Row],[Comunicación]])</f>
        <v>1.5830739971771488</v>
      </c>
      <c r="T538">
        <f ca="1">Tabla2[[#This Row],[Deuda actual]]*EXP(Tabla2[[#This Row],[Ki]]*Tabla2[[#This Row],[diferencia de días]])*(1+Tabla2[[#This Row],[Hg]])</f>
        <v>906.14902258480959</v>
      </c>
    </row>
    <row r="539" spans="1:20" ht="14.5" x14ac:dyDescent="0.35">
      <c r="A539" t="e">
        <f t="shared" si="88"/>
        <v>#VALUE!</v>
      </c>
      <c r="B539" s="21">
        <f t="shared" ca="1" si="89"/>
        <v>46094</v>
      </c>
      <c r="C539" s="21">
        <f t="shared" ca="1" si="90"/>
        <v>46157</v>
      </c>
      <c r="D539">
        <f t="shared" ca="1" si="91"/>
        <v>17</v>
      </c>
      <c r="E539">
        <f t="shared" ca="1" si="92"/>
        <v>7.1854675423840386E-2</v>
      </c>
      <c r="F539" s="47">
        <f t="shared" ca="1" si="93"/>
        <v>10000</v>
      </c>
      <c r="G539" s="32" t="str">
        <f t="shared" ca="1" si="94"/>
        <v>hipotecario</v>
      </c>
      <c r="H53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539" t="str">
        <f t="shared" ca="1" si="95"/>
        <v>Sí</v>
      </c>
      <c r="J53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39" s="32">
        <f ca="1">IF(Tabla2[[#This Row],[¿cliente deuda abierta?]]="Sí", Tabla2[[#This Row],[Deuda actual]]*Tabla2[[#This Row],[diferencia de días]], "0")</f>
        <v>170000</v>
      </c>
      <c r="L53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53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39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539">
        <f t="shared" ca="1" si="96"/>
        <v>1823.85</v>
      </c>
      <c r="P539">
        <f t="shared" ca="1" si="97"/>
        <v>226933.16</v>
      </c>
      <c r="Q539">
        <f t="shared" ca="1" si="98"/>
        <v>5</v>
      </c>
      <c r="R539">
        <f ca="1">((Tabla2[[#This Row],[Fantasma Comunicación]]+1)/(Tabla2[[#This Row],[Fantasma Comunicación]]+RANDBETWEEN(0,5)+2))-0.5</f>
        <v>0</v>
      </c>
      <c r="S539" s="51">
        <f ca="1">1+MAX(0,Tabla2[[#This Row],[Deuda actual]]/Tabla2[[#This Row],[Liquidez]]+Tabla2[[#This Row],[Liquidez]]/(Tabla2[[#This Row],[Activos]]+Tabla2[[#This Row],[Liquidez]])+Tabla2[[#This Row],[Comunicación]])</f>
        <v>6.4908799077381918</v>
      </c>
      <c r="T539">
        <f ca="1">Tabla2[[#This Row],[Deuda actual]]*EXP(Tabla2[[#This Row],[Ki]]*Tabla2[[#This Row],[diferencia de días]])*(1+Tabla2[[#This Row],[Hg]])</f>
        <v>11578.466483687253</v>
      </c>
    </row>
    <row r="540" spans="1:20" ht="14.5" x14ac:dyDescent="0.35">
      <c r="A540" t="e">
        <f t="shared" si="88"/>
        <v>#VALUE!</v>
      </c>
      <c r="B540" s="21">
        <f t="shared" ca="1" si="89"/>
        <v>46117</v>
      </c>
      <c r="C540" s="21">
        <f t="shared" ca="1" si="90"/>
        <v>46157</v>
      </c>
      <c r="D540">
        <f t="shared" ca="1" si="91"/>
        <v>2</v>
      </c>
      <c r="E540">
        <f t="shared" ca="1" si="92"/>
        <v>0.5879504206868772</v>
      </c>
      <c r="F540" s="47">
        <f t="shared" ca="1" si="93"/>
        <v>115.1</v>
      </c>
      <c r="G540" s="32" t="str">
        <f t="shared" ca="1" si="94"/>
        <v>personal</v>
      </c>
      <c r="H54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40" t="str">
        <f t="shared" ca="1" si="95"/>
        <v>Sí</v>
      </c>
      <c r="J54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40" s="32">
        <f ca="1">IF(Tabla2[[#This Row],[¿cliente deuda abierta?]]="Sí", Tabla2[[#This Row],[Deuda actual]]*Tabla2[[#This Row],[diferencia de días]], "0")</f>
        <v>230.2</v>
      </c>
      <c r="L54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4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4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40">
        <f t="shared" ca="1" si="96"/>
        <v>2215.46</v>
      </c>
      <c r="P540">
        <f t="shared" ca="1" si="97"/>
        <v>17469.07</v>
      </c>
      <c r="Q540">
        <f t="shared" ca="1" si="98"/>
        <v>5</v>
      </c>
      <c r="R540">
        <f ca="1">((Tabla2[[#This Row],[Fantasma Comunicación]]+1)/(Tabla2[[#This Row],[Fantasma Comunicación]]+RANDBETWEEN(0,5)+2))-0.5</f>
        <v>0</v>
      </c>
      <c r="S540" s="51">
        <f ca="1">1+MAX(0,Tabla2[[#This Row],[Deuda actual]]/Tabla2[[#This Row],[Liquidez]]+Tabla2[[#This Row],[Liquidez]]/(Tabla2[[#This Row],[Activos]]+Tabla2[[#This Row],[Liquidez]])+Tabla2[[#This Row],[Comunicación]])</f>
        <v>1.1645013735620997</v>
      </c>
      <c r="T540">
        <f ca="1">Tabla2[[#This Row],[Deuda actual]]*EXP(Tabla2[[#This Row],[Ki]]*Tabla2[[#This Row],[diferencia de días]])*(1+Tabla2[[#This Row],[Hg]])</f>
        <v>120.90335166968926</v>
      </c>
    </row>
    <row r="541" spans="1:20" ht="14.5" x14ac:dyDescent="0.35">
      <c r="A541" t="e">
        <f t="shared" si="88"/>
        <v>#VALUE!</v>
      </c>
      <c r="B541" s="21">
        <f t="shared" ca="1" si="89"/>
        <v>46099</v>
      </c>
      <c r="C541" s="21">
        <f t="shared" ca="1" si="90"/>
        <v>46157</v>
      </c>
      <c r="D541">
        <f t="shared" ca="1" si="91"/>
        <v>1</v>
      </c>
      <c r="E541">
        <f t="shared" ca="1" si="92"/>
        <v>0.56468769041612743</v>
      </c>
      <c r="F541" s="47">
        <f t="shared" ca="1" si="93"/>
        <v>4015.88</v>
      </c>
      <c r="G541" s="32" t="str">
        <f t="shared" ca="1" si="94"/>
        <v>personal</v>
      </c>
      <c r="H54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41" t="str">
        <f t="shared" ca="1" si="95"/>
        <v>No</v>
      </c>
      <c r="J54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12002.077977598014</v>
      </c>
      <c r="K541" s="32" t="str">
        <f ca="1">IF(Tabla2[[#This Row],[¿cliente deuda abierta?]]="Sí", Tabla2[[#This Row],[Deuda actual]]*Tabla2[[#This Row],[diferencia de días]], "0")</f>
        <v>0</v>
      </c>
      <c r="L54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4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54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541">
        <f t="shared" ca="1" si="96"/>
        <v>2204.5700000000002</v>
      </c>
      <c r="P541">
        <f t="shared" ca="1" si="97"/>
        <v>128529.06</v>
      </c>
      <c r="Q541">
        <f t="shared" ca="1" si="98"/>
        <v>1</v>
      </c>
      <c r="R541">
        <f ca="1">((Tabla2[[#This Row],[Fantasma Comunicación]]+1)/(Tabla2[[#This Row],[Fantasma Comunicación]]+RANDBETWEEN(0,5)+2))-0.5</f>
        <v>0.16666666666666663</v>
      </c>
      <c r="S541" s="51">
        <f ca="1">1+MAX(0,Tabla2[[#This Row],[Deuda actual]]/Tabla2[[#This Row],[Liquidez]]+Tabla2[[#This Row],[Liquidez]]/(Tabla2[[#This Row],[Activos]]+Tabla2[[#This Row],[Liquidez]])+Tabla2[[#This Row],[Comunicación]])</f>
        <v>3.0051457407081488</v>
      </c>
      <c r="T541">
        <f ca="1">Tabla2[[#This Row],[Deuda actual]]*EXP(Tabla2[[#This Row],[Ki]]*Tabla2[[#This Row],[diferencia de días]])*(1+Tabla2[[#This Row],[Hg]])</f>
        <v>3615.0149306906596</v>
      </c>
    </row>
    <row r="542" spans="1:20" ht="14.5" x14ac:dyDescent="0.35">
      <c r="A542" t="e">
        <f t="shared" si="88"/>
        <v>#VALUE!</v>
      </c>
      <c r="B542" s="21">
        <f t="shared" ca="1" si="89"/>
        <v>46105</v>
      </c>
      <c r="C542" s="21">
        <f t="shared" ca="1" si="90"/>
        <v>46157</v>
      </c>
      <c r="D542">
        <f t="shared" ca="1" si="91"/>
        <v>5</v>
      </c>
      <c r="E542">
        <f t="shared" ca="1" si="92"/>
        <v>0.19927329741706468</v>
      </c>
      <c r="F542" s="47">
        <f t="shared" ca="1" si="93"/>
        <v>3247.29</v>
      </c>
      <c r="G542" s="32" t="str">
        <f t="shared" ca="1" si="94"/>
        <v>hipotecario</v>
      </c>
      <c r="H54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42" t="str">
        <f t="shared" ca="1" si="95"/>
        <v>Sí</v>
      </c>
      <c r="J54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42" s="32">
        <f ca="1">IF(Tabla2[[#This Row],[¿cliente deuda abierta?]]="Sí", Tabla2[[#This Row],[Deuda actual]]*Tabla2[[#This Row],[diferencia de días]], "0")</f>
        <v>16236.45</v>
      </c>
      <c r="L54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4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4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42">
        <f t="shared" ca="1" si="96"/>
        <v>1428.99</v>
      </c>
      <c r="P542">
        <f t="shared" ca="1" si="97"/>
        <v>117226.27</v>
      </c>
      <c r="Q542">
        <f t="shared" ca="1" si="98"/>
        <v>3</v>
      </c>
      <c r="R542">
        <f ca="1">((Tabla2[[#This Row],[Fantasma Comunicación]]+1)/(Tabla2[[#This Row],[Fantasma Comunicación]]+RANDBETWEEN(0,5)+2))-0.5</f>
        <v>7.1428571428571397E-2</v>
      </c>
      <c r="S542" s="51">
        <f ca="1">1+MAX(0,Tabla2[[#This Row],[Deuda actual]]/Tabla2[[#This Row],[Liquidez]]+Tabla2[[#This Row],[Liquidez]]/(Tabla2[[#This Row],[Activos]]+Tabla2[[#This Row],[Liquidez]])+Tabla2[[#This Row],[Comunicación]])</f>
        <v>3.3559089555343018</v>
      </c>
      <c r="T542">
        <f ca="1">Tabla2[[#This Row],[Deuda actual]]*EXP(Tabla2[[#This Row],[Ki]]*Tabla2[[#This Row],[diferencia de días]])*(1+Tabla2[[#This Row],[Hg]])</f>
        <v>3413.0658598956679</v>
      </c>
    </row>
    <row r="543" spans="1:20" ht="14.5" x14ac:dyDescent="0.35">
      <c r="A543" t="e">
        <f t="shared" si="88"/>
        <v>#VALUE!</v>
      </c>
      <c r="B543" s="21">
        <f t="shared" ca="1" si="89"/>
        <v>46140</v>
      </c>
      <c r="C543" s="21">
        <f t="shared" ca="1" si="90"/>
        <v>46157</v>
      </c>
      <c r="D543">
        <f t="shared" ca="1" si="91"/>
        <v>18</v>
      </c>
      <c r="E543">
        <f t="shared" ca="1" si="92"/>
        <v>0.82027683949299113</v>
      </c>
      <c r="F543" s="47">
        <f t="shared" ca="1" si="93"/>
        <v>315.88</v>
      </c>
      <c r="G543" s="32" t="str">
        <f t="shared" ca="1" si="94"/>
        <v>hipotecario</v>
      </c>
      <c r="H54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543" t="str">
        <f t="shared" ca="1" si="95"/>
        <v>Sí</v>
      </c>
      <c r="J54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43" s="32">
        <f ca="1">IF(Tabla2[[#This Row],[¿cliente deuda abierta?]]="Sí", Tabla2[[#This Row],[Deuda actual]]*Tabla2[[#This Row],[diferencia de días]], "0")</f>
        <v>5685.84</v>
      </c>
      <c r="L54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4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4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43">
        <f t="shared" ca="1" si="96"/>
        <v>2005.04</v>
      </c>
      <c r="P543">
        <f t="shared" ca="1" si="97"/>
        <v>86048.74</v>
      </c>
      <c r="Q543">
        <f t="shared" ca="1" si="98"/>
        <v>0</v>
      </c>
      <c r="R543">
        <f ca="1">((Tabla2[[#This Row],[Fantasma Comunicación]]+1)/(Tabla2[[#This Row],[Fantasma Comunicación]]+RANDBETWEEN(0,5)+2))-0.5</f>
        <v>-0.25</v>
      </c>
      <c r="S543" s="51">
        <f ca="1">1+MAX(0,Tabla2[[#This Row],[Deuda actual]]/Tabla2[[#This Row],[Liquidez]]+Tabla2[[#This Row],[Liquidez]]/(Tabla2[[#This Row],[Activos]]+Tabla2[[#This Row],[Liquidez]])+Tabla2[[#This Row],[Comunicación]])</f>
        <v>1</v>
      </c>
      <c r="T543">
        <f ca="1">Tabla2[[#This Row],[Deuda actual]]*EXP(Tabla2[[#This Row],[Ki]]*Tabla2[[#This Row],[diferencia de días]])*(1+Tabla2[[#This Row],[Hg]])</f>
        <v>334.0706704600488</v>
      </c>
    </row>
    <row r="544" spans="1:20" ht="14.5" x14ac:dyDescent="0.35">
      <c r="A544" t="e">
        <f t="shared" si="88"/>
        <v>#VALUE!</v>
      </c>
      <c r="B544" s="21">
        <f t="shared" ca="1" si="89"/>
        <v>46089</v>
      </c>
      <c r="C544" s="21">
        <f t="shared" ca="1" si="90"/>
        <v>46157</v>
      </c>
      <c r="D544">
        <f t="shared" ca="1" si="91"/>
        <v>2</v>
      </c>
      <c r="E544">
        <f t="shared" ca="1" si="92"/>
        <v>0.90549751715657067</v>
      </c>
      <c r="F544" s="47">
        <f t="shared" ca="1" si="93"/>
        <v>437.71</v>
      </c>
      <c r="G544" s="32" t="str">
        <f t="shared" ca="1" si="94"/>
        <v>hipotecario</v>
      </c>
      <c r="H54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44" t="str">
        <f t="shared" ca="1" si="95"/>
        <v>Sí</v>
      </c>
      <c r="J54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44" s="32">
        <f ca="1">IF(Tabla2[[#This Row],[¿cliente deuda abierta?]]="Sí", Tabla2[[#This Row],[Deuda actual]]*Tabla2[[#This Row],[diferencia de días]], "0")</f>
        <v>875.42</v>
      </c>
      <c r="L54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4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4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44">
        <f t="shared" ca="1" si="96"/>
        <v>2048.31</v>
      </c>
      <c r="P544">
        <f t="shared" ca="1" si="97"/>
        <v>147723.79</v>
      </c>
      <c r="Q544">
        <f t="shared" ca="1" si="98"/>
        <v>1</v>
      </c>
      <c r="R544">
        <f ca="1">((Tabla2[[#This Row],[Fantasma Comunicación]]+1)/(Tabla2[[#This Row],[Fantasma Comunicación]]+RANDBETWEEN(0,5)+2))-0.5</f>
        <v>-0.16666666666666669</v>
      </c>
      <c r="S544" s="51">
        <f ca="1">1+MAX(0,Tabla2[[#This Row],[Deuda actual]]/Tabla2[[#This Row],[Liquidez]]+Tabla2[[#This Row],[Liquidez]]/(Tabla2[[#This Row],[Activos]]+Tabla2[[#This Row],[Liquidez]])+Tabla2[[#This Row],[Comunicación]])</f>
        <v>1.0607027518002703</v>
      </c>
      <c r="T544">
        <f ca="1">Tabla2[[#This Row],[Deuda actual]]*EXP(Tabla2[[#This Row],[Ki]]*Tabla2[[#This Row],[diferencia de días]])*(1+Tabla2[[#This Row],[Hg]])</f>
        <v>459.77937497254288</v>
      </c>
    </row>
    <row r="545" spans="1:20" ht="14.5" x14ac:dyDescent="0.35">
      <c r="A545" t="e">
        <f t="shared" si="88"/>
        <v>#VALUE!</v>
      </c>
      <c r="B545" s="21">
        <f t="shared" ca="1" si="89"/>
        <v>46089</v>
      </c>
      <c r="C545" s="21">
        <f t="shared" ca="1" si="90"/>
        <v>46157</v>
      </c>
      <c r="D545">
        <f t="shared" ca="1" si="91"/>
        <v>1</v>
      </c>
      <c r="E545">
        <f t="shared" ca="1" si="92"/>
        <v>0.34886641327215895</v>
      </c>
      <c r="F545" s="47">
        <f t="shared" ca="1" si="93"/>
        <v>2409.27</v>
      </c>
      <c r="G545" s="32" t="str">
        <f t="shared" ca="1" si="94"/>
        <v>hipotecario</v>
      </c>
      <c r="H54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45" t="str">
        <f t="shared" ca="1" si="95"/>
        <v>Sí</v>
      </c>
      <c r="J54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45" s="32">
        <f ca="1">IF(Tabla2[[#This Row],[¿cliente deuda abierta?]]="Sí", Tabla2[[#This Row],[Deuda actual]]*Tabla2[[#This Row],[diferencia de días]], "0")</f>
        <v>2409.27</v>
      </c>
      <c r="L54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4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4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45">
        <f t="shared" ca="1" si="96"/>
        <v>1340.69</v>
      </c>
      <c r="P545">
        <f t="shared" ca="1" si="97"/>
        <v>92529.39</v>
      </c>
      <c r="Q545">
        <f t="shared" ca="1" si="98"/>
        <v>4</v>
      </c>
      <c r="R545">
        <f ca="1">((Tabla2[[#This Row],[Fantasma Comunicación]]+1)/(Tabla2[[#This Row],[Fantasma Comunicación]]+RANDBETWEEN(0,5)+2))-0.5</f>
        <v>0.33333333333333337</v>
      </c>
      <c r="S545" s="51">
        <f ca="1">1+MAX(0,Tabla2[[#This Row],[Deuda actual]]/Tabla2[[#This Row],[Liquidez]]+Tabla2[[#This Row],[Liquidez]]/(Tabla2[[#This Row],[Activos]]+Tabla2[[#This Row],[Liquidez]])+Tabla2[[#This Row],[Comunicación]])</f>
        <v>3.1446530794484477</v>
      </c>
      <c r="T545">
        <f ca="1">Tabla2[[#This Row],[Deuda actual]]*EXP(Tabla2[[#This Row],[Ki]]*Tabla2[[#This Row],[diferencia de días]])*(1+Tabla2[[#This Row],[Hg]])</f>
        <v>2530.2394972980437</v>
      </c>
    </row>
    <row r="546" spans="1:20" ht="14.5" x14ac:dyDescent="0.35">
      <c r="A546" t="e">
        <f t="shared" si="88"/>
        <v>#VALUE!</v>
      </c>
      <c r="B546" s="21">
        <f t="shared" ca="1" si="89"/>
        <v>46123</v>
      </c>
      <c r="C546" s="21">
        <f t="shared" ca="1" si="90"/>
        <v>46157</v>
      </c>
      <c r="D546">
        <f t="shared" ca="1" si="91"/>
        <v>13</v>
      </c>
      <c r="E546">
        <f t="shared" ca="1" si="92"/>
        <v>0.46289738344717724</v>
      </c>
      <c r="F546" s="47">
        <f t="shared" ca="1" si="93"/>
        <v>895.52</v>
      </c>
      <c r="G546" s="32" t="str">
        <f t="shared" ca="1" si="94"/>
        <v>hipotecario</v>
      </c>
      <c r="H54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46" t="str">
        <f t="shared" ca="1" si="95"/>
        <v>No</v>
      </c>
      <c r="J54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165000.3295909091</v>
      </c>
      <c r="K546" s="32" t="str">
        <f ca="1">IF(Tabla2[[#This Row],[¿cliente deuda abierta?]]="Sí", Tabla2[[#This Row],[Deuda actual]]*Tabla2[[#This Row],[diferencia de días]], "0")</f>
        <v>0</v>
      </c>
      <c r="L54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4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54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546">
        <f t="shared" ca="1" si="96"/>
        <v>1980.5</v>
      </c>
      <c r="P546">
        <f t="shared" ca="1" si="97"/>
        <v>215156.54</v>
      </c>
      <c r="Q546">
        <f t="shared" ca="1" si="98"/>
        <v>2</v>
      </c>
      <c r="R546">
        <f ca="1">((Tabla2[[#This Row],[Fantasma Comunicación]]+1)/(Tabla2[[#This Row],[Fantasma Comunicación]]+RANDBETWEEN(0,5)+2))-0.5</f>
        <v>-7.1428571428571452E-2</v>
      </c>
      <c r="S546" s="51">
        <f ca="1">1+MAX(0,Tabla2[[#This Row],[Deuda actual]]/Tabla2[[#This Row],[Liquidez]]+Tabla2[[#This Row],[Liquidez]]/(Tabla2[[#This Row],[Activos]]+Tabla2[[#This Row],[Liquidez]])+Tabla2[[#This Row],[Comunicación]])</f>
        <v>1.3898610408833192</v>
      </c>
      <c r="T546">
        <f ca="1">Tabla2[[#This Row],[Deuda actual]]*EXP(Tabla2[[#This Row],[Ki]]*Tabla2[[#This Row],[diferencia de días]])*(1+Tabla2[[#This Row],[Hg]])</f>
        <v>718.28110518606616</v>
      </c>
    </row>
    <row r="547" spans="1:20" ht="14.5" x14ac:dyDescent="0.35">
      <c r="A547" t="e">
        <f t="shared" si="88"/>
        <v>#VALUE!</v>
      </c>
      <c r="B547" s="21">
        <f t="shared" ca="1" si="89"/>
        <v>46131</v>
      </c>
      <c r="C547" s="21">
        <f t="shared" ca="1" si="90"/>
        <v>46157</v>
      </c>
      <c r="D547">
        <f t="shared" ca="1" si="91"/>
        <v>22</v>
      </c>
      <c r="E547">
        <f t="shared" ca="1" si="92"/>
        <v>0.84165238290159083</v>
      </c>
      <c r="F547" s="47">
        <f t="shared" ca="1" si="93"/>
        <v>494.26</v>
      </c>
      <c r="G547" s="32" t="str">
        <f t="shared" ca="1" si="94"/>
        <v>hipotecario</v>
      </c>
      <c r="H54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547" t="str">
        <f t="shared" ca="1" si="95"/>
        <v>No</v>
      </c>
      <c r="J54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165000.1380661405</v>
      </c>
      <c r="K547" s="32" t="str">
        <f ca="1">IF(Tabla2[[#This Row],[¿cliente deuda abierta?]]="Sí", Tabla2[[#This Row],[Deuda actual]]*Tabla2[[#This Row],[diferencia de días]], "0")</f>
        <v>0</v>
      </c>
      <c r="L54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4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54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547">
        <f t="shared" ca="1" si="96"/>
        <v>1959.2</v>
      </c>
      <c r="P547">
        <f t="shared" ca="1" si="97"/>
        <v>54178.17</v>
      </c>
      <c r="Q547">
        <f t="shared" ca="1" si="98"/>
        <v>4</v>
      </c>
      <c r="R547">
        <f ca="1">((Tabla2[[#This Row],[Fantasma Comunicación]]+1)/(Tabla2[[#This Row],[Fantasma Comunicación]]+RANDBETWEEN(0,5)+2))-0.5</f>
        <v>-4.545454545454547E-2</v>
      </c>
      <c r="S547" s="51">
        <f ca="1">1+MAX(0,Tabla2[[#This Row],[Deuda actual]]/Tabla2[[#This Row],[Liquidez]]+Tabla2[[#This Row],[Liquidez]]/(Tabla2[[#This Row],[Activos]]+Tabla2[[#This Row],[Liquidez]])+Tabla2[[#This Row],[Comunicación]])</f>
        <v>1.241721996994871</v>
      </c>
      <c r="T547">
        <f ca="1">Tabla2[[#This Row],[Deuda actual]]*EXP(Tabla2[[#This Row],[Ki]]*Tabla2[[#This Row],[diferencia de días]])*(1+Tabla2[[#This Row],[Hg]])</f>
        <v>398.90294560664938</v>
      </c>
    </row>
    <row r="548" spans="1:20" ht="14.5" x14ac:dyDescent="0.35">
      <c r="A548" t="e">
        <f t="shared" si="88"/>
        <v>#VALUE!</v>
      </c>
      <c r="B548" s="21">
        <f t="shared" ca="1" si="89"/>
        <v>46130</v>
      </c>
      <c r="C548" s="21">
        <f t="shared" ca="1" si="90"/>
        <v>46157</v>
      </c>
      <c r="D548">
        <f t="shared" ca="1" si="91"/>
        <v>6</v>
      </c>
      <c r="E548">
        <f t="shared" ca="1" si="92"/>
        <v>0.94256147808599677</v>
      </c>
      <c r="F548" s="47">
        <f t="shared" ca="1" si="93"/>
        <v>147.36000000000001</v>
      </c>
      <c r="G548" s="32" t="str">
        <f t="shared" ca="1" si="94"/>
        <v>personal</v>
      </c>
      <c r="H54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48" t="str">
        <f t="shared" ca="1" si="95"/>
        <v>No</v>
      </c>
      <c r="J54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11999.207661051603</v>
      </c>
      <c r="K548" s="32" t="str">
        <f ca="1">IF(Tabla2[[#This Row],[¿cliente deuda abierta?]]="Sí", Tabla2[[#This Row],[Deuda actual]]*Tabla2[[#This Row],[diferencia de días]], "0")</f>
        <v>0</v>
      </c>
      <c r="L54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4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54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548">
        <f t="shared" ca="1" si="96"/>
        <v>1994.63</v>
      </c>
      <c r="P548">
        <f t="shared" ca="1" si="97"/>
        <v>51526.09</v>
      </c>
      <c r="Q548">
        <f t="shared" ca="1" si="98"/>
        <v>4</v>
      </c>
      <c r="R548">
        <f ca="1">((Tabla2[[#This Row],[Fantasma Comunicación]]+1)/(Tabla2[[#This Row],[Fantasma Comunicación]]+RANDBETWEEN(0,5)+2))-0.5</f>
        <v>0.33333333333333337</v>
      </c>
      <c r="S548" s="51">
        <f ca="1">1+MAX(0,Tabla2[[#This Row],[Deuda actual]]/Tabla2[[#This Row],[Liquidez]]+Tabla2[[#This Row],[Liquidez]]/(Tabla2[[#This Row],[Activos]]+Tabla2[[#This Row],[Liquidez]])+Tabla2[[#This Row],[Comunicación]])</f>
        <v>1.4444800668207955</v>
      </c>
      <c r="T548">
        <f ca="1">Tabla2[[#This Row],[Deuda actual]]*EXP(Tabla2[[#This Row],[Ki]]*Tabla2[[#This Row],[diferencia de días]])*(1+Tabla2[[#This Row],[Hg]])</f>
        <v>132.78324432748718</v>
      </c>
    </row>
    <row r="549" spans="1:20" ht="14.5" x14ac:dyDescent="0.35">
      <c r="A549" t="e">
        <f t="shared" si="88"/>
        <v>#VALUE!</v>
      </c>
      <c r="B549" s="21">
        <f t="shared" ca="1" si="89"/>
        <v>46121</v>
      </c>
      <c r="C549" s="21">
        <f t="shared" ca="1" si="90"/>
        <v>46157</v>
      </c>
      <c r="D549">
        <f t="shared" ca="1" si="91"/>
        <v>3</v>
      </c>
      <c r="E549">
        <f t="shared" ca="1" si="92"/>
        <v>2.5843064622777301E-2</v>
      </c>
      <c r="F549" s="47">
        <f t="shared" ca="1" si="93"/>
        <v>477.52</v>
      </c>
      <c r="G549" s="32" t="str">
        <f t="shared" ca="1" si="94"/>
        <v>hipotecario</v>
      </c>
      <c r="H54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49" t="str">
        <f t="shared" ca="1" si="95"/>
        <v>Sí</v>
      </c>
      <c r="J54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49" s="32">
        <f ca="1">IF(Tabla2[[#This Row],[¿cliente deuda abierta?]]="Sí", Tabla2[[#This Row],[Deuda actual]]*Tabla2[[#This Row],[diferencia de días]], "0")</f>
        <v>1432.56</v>
      </c>
      <c r="L54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4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4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49">
        <f t="shared" ca="1" si="96"/>
        <v>1982.59</v>
      </c>
      <c r="P549">
        <f t="shared" ca="1" si="97"/>
        <v>293549.59000000003</v>
      </c>
      <c r="Q549">
        <f t="shared" ca="1" si="98"/>
        <v>1</v>
      </c>
      <c r="R549">
        <f ca="1">((Tabla2[[#This Row],[Fantasma Comunicación]]+1)/(Tabla2[[#This Row],[Fantasma Comunicación]]+RANDBETWEEN(0,5)+2))-0.5</f>
        <v>-0.2142857142857143</v>
      </c>
      <c r="S549" s="51">
        <f ca="1">1+MAX(0,Tabla2[[#This Row],[Deuda actual]]/Tabla2[[#This Row],[Liquidez]]+Tabla2[[#This Row],[Liquidez]]/(Tabla2[[#This Row],[Activos]]+Tabla2[[#This Row],[Liquidez]])+Tabla2[[#This Row],[Comunicación]])</f>
        <v>1.0332794847735041</v>
      </c>
      <c r="T549">
        <f ca="1">Tabla2[[#This Row],[Deuda actual]]*EXP(Tabla2[[#This Row],[Ki]]*Tabla2[[#This Row],[diferencia de días]])*(1+Tabla2[[#This Row],[Hg]])</f>
        <v>501.69692786933297</v>
      </c>
    </row>
    <row r="550" spans="1:20" ht="14.5" x14ac:dyDescent="0.35">
      <c r="A550" t="e">
        <f t="shared" si="88"/>
        <v>#VALUE!</v>
      </c>
      <c r="B550" s="21">
        <f t="shared" ca="1" si="89"/>
        <v>46130</v>
      </c>
      <c r="C550" s="21">
        <f t="shared" ca="1" si="90"/>
        <v>46157</v>
      </c>
      <c r="D550">
        <f t="shared" ca="1" si="91"/>
        <v>2</v>
      </c>
      <c r="E550">
        <f t="shared" ca="1" si="92"/>
        <v>0.6690315963671194</v>
      </c>
      <c r="F550" s="47">
        <f t="shared" ca="1" si="93"/>
        <v>488.25</v>
      </c>
      <c r="G550" s="32" t="str">
        <f t="shared" ca="1" si="94"/>
        <v>personal</v>
      </c>
      <c r="H55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50" t="str">
        <f t="shared" ca="1" si="95"/>
        <v>No</v>
      </c>
      <c r="J55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12000.821865606767</v>
      </c>
      <c r="K550" s="32" t="str">
        <f ca="1">IF(Tabla2[[#This Row],[¿cliente deuda abierta?]]="Sí", Tabla2[[#This Row],[Deuda actual]]*Tabla2[[#This Row],[diferencia de días]], "0")</f>
        <v>0</v>
      </c>
      <c r="L55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5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55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550">
        <f t="shared" ca="1" si="96"/>
        <v>1960.38</v>
      </c>
      <c r="P550">
        <f t="shared" ca="1" si="97"/>
        <v>140783.95000000001</v>
      </c>
      <c r="Q550">
        <f t="shared" ca="1" si="98"/>
        <v>1</v>
      </c>
      <c r="R550">
        <f ca="1">((Tabla2[[#This Row],[Fantasma Comunicación]]+1)/(Tabla2[[#This Row],[Fantasma Comunicación]]+RANDBETWEEN(0,5)+2))-0.5</f>
        <v>-9.9999999999999978E-2</v>
      </c>
      <c r="S550" s="51">
        <f ca="1">1+MAX(0,Tabla2[[#This Row],[Deuda actual]]/Tabla2[[#This Row],[Liquidez]]+Tabla2[[#This Row],[Liquidez]]/(Tabla2[[#This Row],[Activos]]+Tabla2[[#This Row],[Liquidez]])+Tabla2[[#This Row],[Comunicación]])</f>
        <v>1.1627923611478246</v>
      </c>
      <c r="T550">
        <f ca="1">Tabla2[[#This Row],[Deuda actual]]*EXP(Tabla2[[#This Row],[Ki]]*Tabla2[[#This Row],[diferencia de días]])*(1+Tabla2[[#This Row],[Hg]])</f>
        <v>439.60080515868771</v>
      </c>
    </row>
    <row r="551" spans="1:20" ht="14.5" x14ac:dyDescent="0.35">
      <c r="A551" t="e">
        <f t="shared" si="88"/>
        <v>#VALUE!</v>
      </c>
      <c r="B551" s="21">
        <f t="shared" ca="1" si="89"/>
        <v>46107</v>
      </c>
      <c r="C551" s="21">
        <f t="shared" ca="1" si="90"/>
        <v>46157</v>
      </c>
      <c r="D551">
        <f t="shared" ca="1" si="91"/>
        <v>8</v>
      </c>
      <c r="E551">
        <f t="shared" ca="1" si="92"/>
        <v>0.77525642392317751</v>
      </c>
      <c r="F551" s="47">
        <f t="shared" ca="1" si="93"/>
        <v>570.54</v>
      </c>
      <c r="G551" s="32" t="str">
        <f t="shared" ca="1" si="94"/>
        <v>hipotecario</v>
      </c>
      <c r="H55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51" t="str">
        <f t="shared" ca="1" si="95"/>
        <v>Sí</v>
      </c>
      <c r="J55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51" s="32">
        <f ca="1">IF(Tabla2[[#This Row],[¿cliente deuda abierta?]]="Sí", Tabla2[[#This Row],[Deuda actual]]*Tabla2[[#This Row],[diferencia de días]], "0")</f>
        <v>4564.32</v>
      </c>
      <c r="L55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5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5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51">
        <f t="shared" ca="1" si="96"/>
        <v>1805.68</v>
      </c>
      <c r="P551">
        <f t="shared" ca="1" si="97"/>
        <v>444966.81</v>
      </c>
      <c r="Q551">
        <f t="shared" ca="1" si="98"/>
        <v>1</v>
      </c>
      <c r="R551">
        <f ca="1">((Tabla2[[#This Row],[Fantasma Comunicación]]+1)/(Tabla2[[#This Row],[Fantasma Comunicación]]+RANDBETWEEN(0,5)+2))-0.5</f>
        <v>-0.25</v>
      </c>
      <c r="S551" s="51">
        <f ca="1">1+MAX(0,Tabla2[[#This Row],[Deuda actual]]/Tabla2[[#This Row],[Liquidez]]+Tabla2[[#This Row],[Liquidez]]/(Tabla2[[#This Row],[Activos]]+Tabla2[[#This Row],[Liquidez]])+Tabla2[[#This Row],[Comunicación]])</f>
        <v>1.0700112166523243</v>
      </c>
      <c r="T551">
        <f ca="1">Tabla2[[#This Row],[Deuda actual]]*EXP(Tabla2[[#This Row],[Ki]]*Tabla2[[#This Row],[diferencia de días]])*(1+Tabla2[[#This Row],[Hg]])</f>
        <v>600.02627441488664</v>
      </c>
    </row>
    <row r="552" spans="1:20" ht="14.5" x14ac:dyDescent="0.35">
      <c r="A552" t="e">
        <f t="shared" si="88"/>
        <v>#VALUE!</v>
      </c>
      <c r="B552" s="21">
        <f t="shared" ca="1" si="89"/>
        <v>46129</v>
      </c>
      <c r="C552" s="21">
        <f t="shared" ca="1" si="90"/>
        <v>46157</v>
      </c>
      <c r="D552">
        <f t="shared" ca="1" si="91"/>
        <v>5</v>
      </c>
      <c r="E552">
        <f t="shared" ca="1" si="92"/>
        <v>4.7413772210933902E-2</v>
      </c>
      <c r="F552" s="47">
        <f t="shared" ca="1" si="93"/>
        <v>676.28</v>
      </c>
      <c r="G552" s="32" t="str">
        <f t="shared" ca="1" si="94"/>
        <v>personal</v>
      </c>
      <c r="H55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52" t="str">
        <f t="shared" ca="1" si="95"/>
        <v>Sí</v>
      </c>
      <c r="J55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52" s="32">
        <f ca="1">IF(Tabla2[[#This Row],[¿cliente deuda abierta?]]="Sí", Tabla2[[#This Row],[Deuda actual]]*Tabla2[[#This Row],[diferencia de días]], "0")</f>
        <v>3381.3999999999996</v>
      </c>
      <c r="L55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5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5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52">
        <f t="shared" ca="1" si="96"/>
        <v>1384.34</v>
      </c>
      <c r="P552">
        <f t="shared" ca="1" si="97"/>
        <v>134825.89000000001</v>
      </c>
      <c r="Q552">
        <f t="shared" ca="1" si="98"/>
        <v>2</v>
      </c>
      <c r="R552">
        <f ca="1">((Tabla2[[#This Row],[Fantasma Comunicación]]+1)/(Tabla2[[#This Row],[Fantasma Comunicación]]+RANDBETWEEN(0,5)+2))-0.5</f>
        <v>-0.125</v>
      </c>
      <c r="S552" s="51">
        <f ca="1">1+MAX(0,Tabla2[[#This Row],[Deuda actual]]/Tabla2[[#This Row],[Liquidez]]+Tabla2[[#This Row],[Liquidez]]/(Tabla2[[#This Row],[Activos]]+Tabla2[[#This Row],[Liquidez]])+Tabla2[[#This Row],[Comunicación]])</f>
        <v>1.3736848660949017</v>
      </c>
      <c r="T552">
        <f ca="1">Tabla2[[#This Row],[Deuda actual]]*EXP(Tabla2[[#This Row],[Ki]]*Tabla2[[#This Row],[diferencia de días]])*(1+Tabla2[[#This Row],[Hg]])</f>
        <v>710.80444916537851</v>
      </c>
    </row>
    <row r="553" spans="1:20" ht="14.5" x14ac:dyDescent="0.35">
      <c r="A553" t="e">
        <f t="shared" si="88"/>
        <v>#VALUE!</v>
      </c>
      <c r="B553" s="21">
        <f t="shared" ca="1" si="89"/>
        <v>46126</v>
      </c>
      <c r="C553" s="21">
        <f t="shared" ca="1" si="90"/>
        <v>46157</v>
      </c>
      <c r="D553">
        <f t="shared" ca="1" si="91"/>
        <v>0</v>
      </c>
      <c r="E553">
        <f t="shared" ca="1" si="92"/>
        <v>0.22860045708827914</v>
      </c>
      <c r="F553" s="47">
        <f t="shared" ca="1" si="93"/>
        <v>1362.1</v>
      </c>
      <c r="G553" s="32" t="str">
        <f t="shared" ca="1" si="94"/>
        <v>personal</v>
      </c>
      <c r="H55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53" t="str">
        <f t="shared" ca="1" si="95"/>
        <v>Sí</v>
      </c>
      <c r="J55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53" s="32">
        <f ca="1">IF(Tabla2[[#This Row],[¿cliente deuda abierta?]]="Sí", Tabla2[[#This Row],[Deuda actual]]*Tabla2[[#This Row],[diferencia de días]], "0")</f>
        <v>0</v>
      </c>
      <c r="L55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5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53" s="32">
        <f ca="1">MAX(Tabla2[[#This Row],[VALORES DE Hg para actuales deudores]:[Valores de HG para deudores cerrados]])*IF(Tabla2[[#This Row],[VALORES DE Hg para actuales deudores]]&gt;Tabla2[[#This Row],[Valores de HG para deudores cerrados]],-1,1)</f>
        <v>0</v>
      </c>
      <c r="O553">
        <f t="shared" ca="1" si="96"/>
        <v>1409.54</v>
      </c>
      <c r="P553">
        <f t="shared" ca="1" si="97"/>
        <v>103303.03</v>
      </c>
      <c r="Q553">
        <f t="shared" ca="1" si="98"/>
        <v>2</v>
      </c>
      <c r="R553">
        <f ca="1">((Tabla2[[#This Row],[Fantasma Comunicación]]+1)/(Tabla2[[#This Row],[Fantasma Comunicación]]+RANDBETWEEN(0,5)+2))-0.5</f>
        <v>0.25</v>
      </c>
      <c r="S553" s="51">
        <f ca="1">1+MAX(0,Tabla2[[#This Row],[Deuda actual]]/Tabla2[[#This Row],[Liquidez]]+Tabla2[[#This Row],[Liquidez]]/(Tabla2[[#This Row],[Activos]]+Tabla2[[#This Row],[Liquidez]])+Tabla2[[#This Row],[Comunicación]])</f>
        <v>2.2298046689459334</v>
      </c>
      <c r="T553">
        <f ca="1">Tabla2[[#This Row],[Deuda actual]]*EXP(Tabla2[[#This Row],[Ki]]*Tabla2[[#This Row],[diferencia de días]])*(1+Tabla2[[#This Row],[Hg]])</f>
        <v>1362.1</v>
      </c>
    </row>
    <row r="554" spans="1:20" ht="14.5" x14ac:dyDescent="0.35">
      <c r="A554" t="e">
        <f t="shared" si="88"/>
        <v>#VALUE!</v>
      </c>
      <c r="B554" s="21">
        <f t="shared" ca="1" si="89"/>
        <v>46114</v>
      </c>
      <c r="C554" s="21">
        <f t="shared" ca="1" si="90"/>
        <v>46157</v>
      </c>
      <c r="D554">
        <f t="shared" ca="1" si="91"/>
        <v>3</v>
      </c>
      <c r="E554">
        <f t="shared" ca="1" si="92"/>
        <v>0.88053243170354001</v>
      </c>
      <c r="F554" s="47">
        <f t="shared" ca="1" si="93"/>
        <v>169.2</v>
      </c>
      <c r="G554" s="32" t="str">
        <f t="shared" ca="1" si="94"/>
        <v>hipotecario</v>
      </c>
      <c r="H55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54" t="str">
        <f t="shared" ca="1" si="95"/>
        <v>Sí</v>
      </c>
      <c r="J55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54" s="32">
        <f ca="1">IF(Tabla2[[#This Row],[¿cliente deuda abierta?]]="Sí", Tabla2[[#This Row],[Deuda actual]]*Tabla2[[#This Row],[diferencia de días]], "0")</f>
        <v>507.59999999999997</v>
      </c>
      <c r="L55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5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5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54">
        <f t="shared" ca="1" si="96"/>
        <v>1423.6</v>
      </c>
      <c r="P554">
        <f t="shared" ca="1" si="97"/>
        <v>375417.25</v>
      </c>
      <c r="Q554">
        <f t="shared" ca="1" si="98"/>
        <v>5</v>
      </c>
      <c r="R554">
        <f ca="1">((Tabla2[[#This Row],[Fantasma Comunicación]]+1)/(Tabla2[[#This Row],[Fantasma Comunicación]]+RANDBETWEEN(0,5)+2))-0.5</f>
        <v>0.3571428571428571</v>
      </c>
      <c r="S554" s="51">
        <f ca="1">1+MAX(0,Tabla2[[#This Row],[Deuda actual]]/Tabla2[[#This Row],[Liquidez]]+Tabla2[[#This Row],[Liquidez]]/(Tabla2[[#This Row],[Activos]]+Tabla2[[#This Row],[Liquidez]])+Tabla2[[#This Row],[Comunicación]])</f>
        <v>1.4797741897884427</v>
      </c>
      <c r="T554">
        <f ca="1">Tabla2[[#This Row],[Deuda actual]]*EXP(Tabla2[[#This Row],[Ki]]*Tabla2[[#This Row],[diferencia de días]])*(1+Tabla2[[#This Row],[Hg]])</f>
        <v>177.76662798519672</v>
      </c>
    </row>
    <row r="555" spans="1:20" ht="14.5" x14ac:dyDescent="0.35">
      <c r="A555" t="e">
        <f t="shared" si="88"/>
        <v>#VALUE!</v>
      </c>
      <c r="B555" s="21">
        <f t="shared" ca="1" si="89"/>
        <v>46138</v>
      </c>
      <c r="C555" s="21">
        <f t="shared" ca="1" si="90"/>
        <v>46157</v>
      </c>
      <c r="D555">
        <f t="shared" ca="1" si="91"/>
        <v>2</v>
      </c>
      <c r="E555">
        <f t="shared" ca="1" si="92"/>
        <v>0.69554997701352506</v>
      </c>
      <c r="F555" s="47">
        <f t="shared" ca="1" si="93"/>
        <v>209.63</v>
      </c>
      <c r="G555" s="32" t="str">
        <f t="shared" ca="1" si="94"/>
        <v>personal</v>
      </c>
      <c r="H55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55" t="str">
        <f t="shared" ca="1" si="95"/>
        <v>Sí</v>
      </c>
      <c r="J55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55" s="32">
        <f ca="1">IF(Tabla2[[#This Row],[¿cliente deuda abierta?]]="Sí", Tabla2[[#This Row],[Deuda actual]]*Tabla2[[#This Row],[diferencia de días]], "0")</f>
        <v>419.26</v>
      </c>
      <c r="L55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5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5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55">
        <f t="shared" ca="1" si="96"/>
        <v>1753.35</v>
      </c>
      <c r="P555">
        <f t="shared" ca="1" si="97"/>
        <v>114253.97</v>
      </c>
      <c r="Q555">
        <f t="shared" ca="1" si="98"/>
        <v>2</v>
      </c>
      <c r="R555">
        <f ca="1">((Tabla2[[#This Row],[Fantasma Comunicación]]+1)/(Tabla2[[#This Row],[Fantasma Comunicación]]+RANDBETWEEN(0,5)+2))-0.5</f>
        <v>9.9999999999999978E-2</v>
      </c>
      <c r="S555" s="51">
        <f ca="1">1+MAX(0,Tabla2[[#This Row],[Deuda actual]]/Tabla2[[#This Row],[Liquidez]]+Tabla2[[#This Row],[Liquidez]]/(Tabla2[[#This Row],[Activos]]+Tabla2[[#This Row],[Liquidez]])+Tabla2[[#This Row],[Comunicación]])</f>
        <v>1.2346738324558728</v>
      </c>
      <c r="T555">
        <f ca="1">Tabla2[[#This Row],[Deuda actual]]*EXP(Tabla2[[#This Row],[Ki]]*Tabla2[[#This Row],[diferencia de días]])*(1+Tabla2[[#This Row],[Hg]])</f>
        <v>220.1995622112681</v>
      </c>
    </row>
    <row r="556" spans="1:20" ht="14.5" x14ac:dyDescent="0.35">
      <c r="A556" t="e">
        <f t="shared" si="88"/>
        <v>#VALUE!</v>
      </c>
      <c r="B556" s="21">
        <f t="shared" ca="1" si="89"/>
        <v>46135</v>
      </c>
      <c r="C556" s="21">
        <f t="shared" ca="1" si="90"/>
        <v>46157</v>
      </c>
      <c r="D556">
        <f t="shared" ca="1" si="91"/>
        <v>6</v>
      </c>
      <c r="E556">
        <f t="shared" ca="1" si="92"/>
        <v>0.23175444948797086</v>
      </c>
      <c r="F556" s="47">
        <f t="shared" ca="1" si="93"/>
        <v>5158.28</v>
      </c>
      <c r="G556" s="32" t="str">
        <f t="shared" ca="1" si="94"/>
        <v>hipotecario</v>
      </c>
      <c r="H55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56" t="str">
        <f t="shared" ca="1" si="95"/>
        <v>Sí</v>
      </c>
      <c r="J55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56" s="32">
        <f ca="1">IF(Tabla2[[#This Row],[¿cliente deuda abierta?]]="Sí", Tabla2[[#This Row],[Deuda actual]]*Tabla2[[#This Row],[diferencia de días]], "0")</f>
        <v>30949.68</v>
      </c>
      <c r="L55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55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56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556">
        <f t="shared" ca="1" si="96"/>
        <v>1934.55</v>
      </c>
      <c r="P556">
        <f t="shared" ca="1" si="97"/>
        <v>49451.58</v>
      </c>
      <c r="Q556">
        <f t="shared" ca="1" si="98"/>
        <v>1</v>
      </c>
      <c r="R556">
        <f ca="1">((Tabla2[[#This Row],[Fantasma Comunicación]]+1)/(Tabla2[[#This Row],[Fantasma Comunicación]]+RANDBETWEEN(0,5)+2))-0.5</f>
        <v>-9.9999999999999978E-2</v>
      </c>
      <c r="S556" s="51">
        <f ca="1">1+MAX(0,Tabla2[[#This Row],[Deuda actual]]/Tabla2[[#This Row],[Liquidez]]+Tabla2[[#This Row],[Liquidez]]/(Tabla2[[#This Row],[Activos]]+Tabla2[[#This Row],[Liquidez]])+Tabla2[[#This Row],[Comunicación]])</f>
        <v>3.6040451887553062</v>
      </c>
      <c r="T556">
        <f ca="1">Tabla2[[#This Row],[Deuda actual]]*EXP(Tabla2[[#This Row],[Ki]]*Tabla2[[#This Row],[diferencia de días]])*(1+Tabla2[[#This Row],[Hg]])</f>
        <v>5680.9210165923932</v>
      </c>
    </row>
    <row r="557" spans="1:20" ht="14.5" x14ac:dyDescent="0.35">
      <c r="A557" t="e">
        <f t="shared" si="88"/>
        <v>#VALUE!</v>
      </c>
      <c r="B557" s="21">
        <f t="shared" ca="1" si="89"/>
        <v>46132</v>
      </c>
      <c r="C557" s="21">
        <f t="shared" ca="1" si="90"/>
        <v>46157</v>
      </c>
      <c r="D557">
        <f t="shared" ca="1" si="91"/>
        <v>107</v>
      </c>
      <c r="E557">
        <f t="shared" ca="1" si="92"/>
        <v>0.73875836593264133</v>
      </c>
      <c r="F557" s="47">
        <f t="shared" ca="1" si="93"/>
        <v>581.37</v>
      </c>
      <c r="G557" s="32" t="str">
        <f t="shared" ca="1" si="94"/>
        <v>personal</v>
      </c>
      <c r="H55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0</v>
      </c>
      <c r="I557" t="str">
        <f t="shared" ca="1" si="95"/>
        <v>Sí</v>
      </c>
      <c r="J55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57" s="32">
        <f ca="1">IF(Tabla2[[#This Row],[¿cliente deuda abierta?]]="Sí", Tabla2[[#This Row],[Deuda actual]]*Tabla2[[#This Row],[diferencia de días]], "0")</f>
        <v>62206.590000000004</v>
      </c>
      <c r="L55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0.5</v>
      </c>
      <c r="M55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57" s="32">
        <f ca="1">MAX(Tabla2[[#This Row],[VALORES DE Hg para actuales deudores]:[Valores de HG para deudores cerrados]])*IF(Tabla2[[#This Row],[VALORES DE Hg para actuales deudores]]&gt;Tabla2[[#This Row],[Valores de HG para deudores cerrados]],-1,1)</f>
        <v>0.5</v>
      </c>
      <c r="O557">
        <f t="shared" ca="1" si="96"/>
        <v>2241.69</v>
      </c>
      <c r="P557">
        <f t="shared" ca="1" si="97"/>
        <v>306650.40000000002</v>
      </c>
      <c r="Q557">
        <f t="shared" ca="1" si="98"/>
        <v>1</v>
      </c>
      <c r="R557">
        <f ca="1">((Tabla2[[#This Row],[Fantasma Comunicación]]+1)/(Tabla2[[#This Row],[Fantasma Comunicación]]+RANDBETWEEN(0,5)+2))-0.5</f>
        <v>-9.9999999999999978E-2</v>
      </c>
      <c r="S557" s="51">
        <f ca="1">1+MAX(0,Tabla2[[#This Row],[Deuda actual]]/Tabla2[[#This Row],[Liquidez]]+Tabla2[[#This Row],[Liquidez]]/(Tabla2[[#This Row],[Activos]]+Tabla2[[#This Row],[Liquidez]])+Tabla2[[#This Row],[Comunicación]])</f>
        <v>1.1666017069747476</v>
      </c>
      <c r="T557">
        <f ca="1">Tabla2[[#This Row],[Deuda actual]]*EXP(Tabla2[[#This Row],[Ki]]*Tabla2[[#This Row],[diferencia de días]])*(1+Tabla2[[#This Row],[Hg]])</f>
        <v>872.05500000000006</v>
      </c>
    </row>
    <row r="558" spans="1:20" ht="14.5" x14ac:dyDescent="0.35">
      <c r="A558" t="e">
        <f t="shared" si="88"/>
        <v>#VALUE!</v>
      </c>
      <c r="B558" s="21">
        <f t="shared" ca="1" si="89"/>
        <v>46142</v>
      </c>
      <c r="C558" s="21">
        <f t="shared" ca="1" si="90"/>
        <v>46157</v>
      </c>
      <c r="D558">
        <f t="shared" ca="1" si="91"/>
        <v>11</v>
      </c>
      <c r="E558">
        <f t="shared" ca="1" si="92"/>
        <v>0.70784227236126895</v>
      </c>
      <c r="F558" s="47">
        <f t="shared" ca="1" si="93"/>
        <v>9656.1200000000008</v>
      </c>
      <c r="G558" s="32" t="str">
        <f t="shared" ca="1" si="94"/>
        <v>hipotecario</v>
      </c>
      <c r="H55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58" t="str">
        <f t="shared" ca="1" si="95"/>
        <v>Sí</v>
      </c>
      <c r="J55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58" s="32">
        <f ca="1">IF(Tabla2[[#This Row],[¿cliente deuda abierta?]]="Sí", Tabla2[[#This Row],[Deuda actual]]*Tabla2[[#This Row],[diferencia de días]], "0")</f>
        <v>106217.32</v>
      </c>
      <c r="L55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55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58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558">
        <f t="shared" ca="1" si="96"/>
        <v>1601.02</v>
      </c>
      <c r="P558">
        <f t="shared" ca="1" si="97"/>
        <v>351348.49</v>
      </c>
      <c r="Q558">
        <f t="shared" ca="1" si="98"/>
        <v>0</v>
      </c>
      <c r="R558">
        <f ca="1">((Tabla2[[#This Row],[Fantasma Comunicación]]+1)/(Tabla2[[#This Row],[Fantasma Comunicación]]+RANDBETWEEN(0,5)+2))-0.5</f>
        <v>-0.35714285714285715</v>
      </c>
      <c r="S558" s="51">
        <f ca="1">1+MAX(0,Tabla2[[#This Row],[Deuda actual]]/Tabla2[[#This Row],[Liquidez]]+Tabla2[[#This Row],[Liquidez]]/(Tabla2[[#This Row],[Activos]]+Tabla2[[#This Row],[Liquidez]])+Tabla2[[#This Row],[Comunicación]])</f>
        <v>6.6786233499023169</v>
      </c>
      <c r="T558">
        <f ca="1">Tabla2[[#This Row],[Deuda actual]]*EXP(Tabla2[[#This Row],[Ki]]*Tabla2[[#This Row],[diferencia de días]])*(1+Tabla2[[#This Row],[Hg]])</f>
        <v>11128.994876299657</v>
      </c>
    </row>
    <row r="559" spans="1:20" ht="14.5" x14ac:dyDescent="0.35">
      <c r="A559" t="e">
        <f t="shared" si="88"/>
        <v>#VALUE!</v>
      </c>
      <c r="B559" s="21">
        <f t="shared" ca="1" si="89"/>
        <v>46094</v>
      </c>
      <c r="C559" s="21">
        <f t="shared" ca="1" si="90"/>
        <v>46157</v>
      </c>
      <c r="D559">
        <f t="shared" ca="1" si="91"/>
        <v>2</v>
      </c>
      <c r="E559">
        <f t="shared" ca="1" si="92"/>
        <v>0.42254510115815547</v>
      </c>
      <c r="F559" s="47">
        <f t="shared" ca="1" si="93"/>
        <v>139.27000000000001</v>
      </c>
      <c r="G559" s="32" t="str">
        <f t="shared" ca="1" si="94"/>
        <v>personal</v>
      </c>
      <c r="H55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59" t="str">
        <f t="shared" ca="1" si="95"/>
        <v>No</v>
      </c>
      <c r="J55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11998.654985489173</v>
      </c>
      <c r="K559" s="32" t="str">
        <f ca="1">IF(Tabla2[[#This Row],[¿cliente deuda abierta?]]="Sí", Tabla2[[#This Row],[Deuda actual]]*Tabla2[[#This Row],[diferencia de días]], "0")</f>
        <v>0</v>
      </c>
      <c r="L55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5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55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559">
        <f t="shared" ca="1" si="96"/>
        <v>1810.27</v>
      </c>
      <c r="P559">
        <f t="shared" ca="1" si="97"/>
        <v>209216.42</v>
      </c>
      <c r="Q559">
        <f t="shared" ca="1" si="98"/>
        <v>0</v>
      </c>
      <c r="R559">
        <f ca="1">((Tabla2[[#This Row],[Fantasma Comunicación]]+1)/(Tabla2[[#This Row],[Fantasma Comunicación]]+RANDBETWEEN(0,5)+2))-0.5</f>
        <v>-0.35714285714285715</v>
      </c>
      <c r="S559" s="51">
        <f ca="1">1+MAX(0,Tabla2[[#This Row],[Deuda actual]]/Tabla2[[#This Row],[Liquidez]]+Tabla2[[#This Row],[Liquidez]]/(Tabla2[[#This Row],[Activos]]+Tabla2[[#This Row],[Liquidez]])+Tabla2[[#This Row],[Comunicación]])</f>
        <v>1</v>
      </c>
      <c r="T559">
        <f ca="1">Tabla2[[#This Row],[Deuda actual]]*EXP(Tabla2[[#This Row],[Ki]]*Tabla2[[#This Row],[diferencia de días]])*(1+Tabla2[[#This Row],[Hg]])</f>
        <v>125.39314722877714</v>
      </c>
    </row>
    <row r="560" spans="1:20" ht="14.5" x14ac:dyDescent="0.35">
      <c r="A560" t="e">
        <f t="shared" si="88"/>
        <v>#VALUE!</v>
      </c>
      <c r="B560" s="21">
        <f t="shared" ca="1" si="89"/>
        <v>46134</v>
      </c>
      <c r="C560" s="21">
        <f t="shared" ca="1" si="90"/>
        <v>46157</v>
      </c>
      <c r="D560">
        <f t="shared" ca="1" si="91"/>
        <v>21</v>
      </c>
      <c r="E560">
        <f t="shared" ca="1" si="92"/>
        <v>0.32547903195074623</v>
      </c>
      <c r="F560" s="47">
        <f t="shared" ca="1" si="93"/>
        <v>1170.0999999999999</v>
      </c>
      <c r="G560" s="32" t="str">
        <f t="shared" ca="1" si="94"/>
        <v>hipotecario</v>
      </c>
      <c r="H56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560" t="str">
        <f t="shared" ca="1" si="95"/>
        <v>Sí</v>
      </c>
      <c r="J56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60" s="32">
        <f ca="1">IF(Tabla2[[#This Row],[¿cliente deuda abierta?]]="Sí", Tabla2[[#This Row],[Deuda actual]]*Tabla2[[#This Row],[diferencia de días]], "0")</f>
        <v>24572.1</v>
      </c>
      <c r="L56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6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6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60">
        <f t="shared" ca="1" si="96"/>
        <v>1327.18</v>
      </c>
      <c r="P560">
        <f t="shared" ca="1" si="97"/>
        <v>151232.13</v>
      </c>
      <c r="Q560">
        <f t="shared" ca="1" si="98"/>
        <v>4</v>
      </c>
      <c r="R560">
        <f ca="1">((Tabla2[[#This Row],[Fantasma Comunicación]]+1)/(Tabla2[[#This Row],[Fantasma Comunicación]]+RANDBETWEEN(0,5)+2))-0.5</f>
        <v>5.555555555555558E-2</v>
      </c>
      <c r="S560" s="51">
        <f ca="1">1+MAX(0,Tabla2[[#This Row],[Deuda actual]]/Tabla2[[#This Row],[Liquidez]]+Tabla2[[#This Row],[Liquidez]]/(Tabla2[[#This Row],[Activos]]+Tabla2[[#This Row],[Liquidez]])+Tabla2[[#This Row],[Comunicación]])</f>
        <v>1.9458987779327583</v>
      </c>
      <c r="T560">
        <f ca="1">Tabla2[[#This Row],[Deuda actual]]*EXP(Tabla2[[#This Row],[Ki]]*Tabla2[[#This Row],[diferencia de días]])*(1+Tabla2[[#This Row],[Hg]])</f>
        <v>1238.968748806215</v>
      </c>
    </row>
    <row r="561" spans="1:20" ht="14.5" x14ac:dyDescent="0.35">
      <c r="A561" t="e">
        <f t="shared" si="88"/>
        <v>#VALUE!</v>
      </c>
      <c r="B561" s="21">
        <f t="shared" ca="1" si="89"/>
        <v>46120</v>
      </c>
      <c r="C561" s="21">
        <f t="shared" ca="1" si="90"/>
        <v>46157</v>
      </c>
      <c r="D561">
        <f t="shared" ca="1" si="91"/>
        <v>28</v>
      </c>
      <c r="E561">
        <f t="shared" ca="1" si="92"/>
        <v>0.36853923874934935</v>
      </c>
      <c r="F561" s="47">
        <f t="shared" ca="1" si="93"/>
        <v>510.68</v>
      </c>
      <c r="G561" s="32" t="str">
        <f t="shared" ca="1" si="94"/>
        <v>hipotecario</v>
      </c>
      <c r="H56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561" t="str">
        <f t="shared" ca="1" si="95"/>
        <v>Sí</v>
      </c>
      <c r="J56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61" s="32">
        <f ca="1">IF(Tabla2[[#This Row],[¿cliente deuda abierta?]]="Sí", Tabla2[[#This Row],[Deuda actual]]*Tabla2[[#This Row],[diferencia de días]], "0")</f>
        <v>14299.04</v>
      </c>
      <c r="L56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6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6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61">
        <f t="shared" ca="1" si="96"/>
        <v>1207.44</v>
      </c>
      <c r="P561">
        <f t="shared" ca="1" si="97"/>
        <v>105909.79</v>
      </c>
      <c r="Q561">
        <f t="shared" ca="1" si="98"/>
        <v>1</v>
      </c>
      <c r="R561">
        <f ca="1">((Tabla2[[#This Row],[Fantasma Comunicación]]+1)/(Tabla2[[#This Row],[Fantasma Comunicación]]+RANDBETWEEN(0,5)+2))-0.5</f>
        <v>-0.25</v>
      </c>
      <c r="S561" s="51">
        <f ca="1">1+MAX(0,Tabla2[[#This Row],[Deuda actual]]/Tabla2[[#This Row],[Liquidez]]+Tabla2[[#This Row],[Liquidez]]/(Tabla2[[#This Row],[Activos]]+Tabla2[[#This Row],[Liquidez]])+Tabla2[[#This Row],[Comunicación]])</f>
        <v>1.184216547461175</v>
      </c>
      <c r="T561">
        <f ca="1">Tabla2[[#This Row],[Deuda actual]]*EXP(Tabla2[[#This Row],[Ki]]*Tabla2[[#This Row],[diferencia de días]])*(1+Tabla2[[#This Row],[Hg]])</f>
        <v>542.25335405143903</v>
      </c>
    </row>
    <row r="562" spans="1:20" ht="14.5" x14ac:dyDescent="0.35">
      <c r="A562" t="e">
        <f t="shared" si="88"/>
        <v>#VALUE!</v>
      </c>
      <c r="B562" s="21">
        <f t="shared" ca="1" si="89"/>
        <v>46138</v>
      </c>
      <c r="C562" s="21">
        <f t="shared" ca="1" si="90"/>
        <v>46157</v>
      </c>
      <c r="D562">
        <f t="shared" ca="1" si="91"/>
        <v>18</v>
      </c>
      <c r="E562">
        <f t="shared" ca="1" si="92"/>
        <v>4.7085505688921669E-2</v>
      </c>
      <c r="F562" s="47">
        <f t="shared" ca="1" si="93"/>
        <v>416.89</v>
      </c>
      <c r="G562" s="32" t="str">
        <f t="shared" ca="1" si="94"/>
        <v>hipotecario</v>
      </c>
      <c r="H56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562" t="str">
        <f t="shared" ca="1" si="95"/>
        <v>Sí</v>
      </c>
      <c r="J56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62" s="32">
        <f ca="1">IF(Tabla2[[#This Row],[¿cliente deuda abierta?]]="Sí", Tabla2[[#This Row],[Deuda actual]]*Tabla2[[#This Row],[diferencia de días]], "0")</f>
        <v>7504.0199999999995</v>
      </c>
      <c r="L56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6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6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62">
        <f t="shared" ca="1" si="96"/>
        <v>1457.41</v>
      </c>
      <c r="P562">
        <f t="shared" ca="1" si="97"/>
        <v>216206.57</v>
      </c>
      <c r="Q562">
        <f t="shared" ca="1" si="98"/>
        <v>2</v>
      </c>
      <c r="R562">
        <f ca="1">((Tabla2[[#This Row],[Fantasma Comunicación]]+1)/(Tabla2[[#This Row],[Fantasma Comunicación]]+RANDBETWEEN(0,5)+2))-0.5</f>
        <v>-0.16666666666666669</v>
      </c>
      <c r="S562" s="51">
        <f ca="1">1+MAX(0,Tabla2[[#This Row],[Deuda actual]]/Tabla2[[#This Row],[Liquidez]]+Tabla2[[#This Row],[Liquidez]]/(Tabla2[[#This Row],[Activos]]+Tabla2[[#This Row],[Liquidez]])+Tabla2[[#This Row],[Comunicación]])</f>
        <v>1.1260775590390402</v>
      </c>
      <c r="T562">
        <f ca="1">Tabla2[[#This Row],[Deuda actual]]*EXP(Tabla2[[#This Row],[Ki]]*Tabla2[[#This Row],[diferencia de días]])*(1+Tabla2[[#This Row],[Hg]])</f>
        <v>440.89756175791354</v>
      </c>
    </row>
    <row r="563" spans="1:20" ht="14.5" x14ac:dyDescent="0.35">
      <c r="A563" t="e">
        <f t="shared" si="88"/>
        <v>#VALUE!</v>
      </c>
      <c r="B563" s="21">
        <f t="shared" ca="1" si="89"/>
        <v>46127</v>
      </c>
      <c r="C563" s="21">
        <f t="shared" ca="1" si="90"/>
        <v>46157</v>
      </c>
      <c r="D563">
        <f t="shared" ca="1" si="91"/>
        <v>24</v>
      </c>
      <c r="E563">
        <f t="shared" ca="1" si="92"/>
        <v>0.92468533363660865</v>
      </c>
      <c r="F563" s="47">
        <f t="shared" ca="1" si="93"/>
        <v>370.51</v>
      </c>
      <c r="G563" s="32" t="str">
        <f t="shared" ca="1" si="94"/>
        <v>personal</v>
      </c>
      <c r="H56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563" t="str">
        <f t="shared" ca="1" si="95"/>
        <v>No</v>
      </c>
      <c r="J56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12000.659327943678</v>
      </c>
      <c r="K563" s="32" t="str">
        <f ca="1">IF(Tabla2[[#This Row],[¿cliente deuda abierta?]]="Sí", Tabla2[[#This Row],[Deuda actual]]*Tabla2[[#This Row],[diferencia de días]], "0")</f>
        <v>0</v>
      </c>
      <c r="L56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6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56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563">
        <f t="shared" ca="1" si="96"/>
        <v>1555.61</v>
      </c>
      <c r="P563">
        <f t="shared" ca="1" si="97"/>
        <v>102950.19</v>
      </c>
      <c r="Q563">
        <f t="shared" ca="1" si="98"/>
        <v>3</v>
      </c>
      <c r="R563">
        <f ca="1">((Tabla2[[#This Row],[Fantasma Comunicación]]+1)/(Tabla2[[#This Row],[Fantasma Comunicación]]+RANDBETWEEN(0,5)+2))-0.5</f>
        <v>0</v>
      </c>
      <c r="S563" s="51">
        <f ca="1">1+MAX(0,Tabla2[[#This Row],[Deuda actual]]/Tabla2[[#This Row],[Liquidez]]+Tabla2[[#This Row],[Liquidez]]/(Tabla2[[#This Row],[Activos]]+Tabla2[[#This Row],[Liquidez]])+Tabla2[[#This Row],[Comunicación]])</f>
        <v>1.2530620577374867</v>
      </c>
      <c r="T563">
        <f ca="1">Tabla2[[#This Row],[Deuda actual]]*EXP(Tabla2[[#This Row],[Ki]]*Tabla2[[#This Row],[diferencia de días]])*(1+Tabla2[[#This Row],[Hg]])</f>
        <v>336.67562147948649</v>
      </c>
    </row>
    <row r="564" spans="1:20" ht="14.5" x14ac:dyDescent="0.35">
      <c r="A564" t="e">
        <f t="shared" si="88"/>
        <v>#VALUE!</v>
      </c>
      <c r="B564" s="21">
        <f t="shared" ca="1" si="89"/>
        <v>46102</v>
      </c>
      <c r="C564" s="21">
        <f t="shared" ca="1" si="90"/>
        <v>46157</v>
      </c>
      <c r="D564">
        <f t="shared" ca="1" si="91"/>
        <v>52</v>
      </c>
      <c r="E564">
        <f t="shared" ca="1" si="92"/>
        <v>0.85705233303967798</v>
      </c>
      <c r="F564" s="47">
        <f t="shared" ca="1" si="93"/>
        <v>86.95</v>
      </c>
      <c r="G564" s="32" t="str">
        <f t="shared" ca="1" si="94"/>
        <v>hipotecario</v>
      </c>
      <c r="H56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1.5E-3</v>
      </c>
      <c r="I564" t="str">
        <f t="shared" ca="1" si="95"/>
        <v>Sí</v>
      </c>
      <c r="J56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64" s="32">
        <f ca="1">IF(Tabla2[[#This Row],[¿cliente deuda abierta?]]="Sí", Tabla2[[#This Row],[Deuda actual]]*Tabla2[[#This Row],[diferencia de días]], "0")</f>
        <v>4521.4000000000005</v>
      </c>
      <c r="L56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6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6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64">
        <f t="shared" ca="1" si="96"/>
        <v>1470.69</v>
      </c>
      <c r="P564">
        <f t="shared" ca="1" si="97"/>
        <v>112708.72</v>
      </c>
      <c r="Q564">
        <f t="shared" ca="1" si="98"/>
        <v>1</v>
      </c>
      <c r="R564">
        <f ca="1">((Tabla2[[#This Row],[Fantasma Comunicación]]+1)/(Tabla2[[#This Row],[Fantasma Comunicación]]+RANDBETWEEN(0,5)+2))-0.5</f>
        <v>-0.16666666666666669</v>
      </c>
      <c r="S564" s="51">
        <f ca="1">1+MAX(0,Tabla2[[#This Row],[Deuda actual]]/Tabla2[[#This Row],[Liquidez]]+Tabla2[[#This Row],[Liquidez]]/(Tabla2[[#This Row],[Activos]]+Tabla2[[#This Row],[Liquidez]])+Tabla2[[#This Row],[Comunicación]])</f>
        <v>1</v>
      </c>
      <c r="T564">
        <f ca="1">Tabla2[[#This Row],[Deuda actual]]*EXP(Tabla2[[#This Row],[Ki]]*Tabla2[[#This Row],[diferencia de días]])*(1+Tabla2[[#This Row],[Hg]])</f>
        <v>98.703795929931914</v>
      </c>
    </row>
    <row r="565" spans="1:20" ht="14.5" x14ac:dyDescent="0.35">
      <c r="A565" t="e">
        <f t="shared" si="88"/>
        <v>#VALUE!</v>
      </c>
      <c r="B565" s="21">
        <f t="shared" ca="1" si="89"/>
        <v>46095</v>
      </c>
      <c r="C565" s="21">
        <f t="shared" ca="1" si="90"/>
        <v>46157</v>
      </c>
      <c r="D565">
        <f t="shared" ca="1" si="91"/>
        <v>10</v>
      </c>
      <c r="E565">
        <f t="shared" ca="1" si="92"/>
        <v>0.30401302968001009</v>
      </c>
      <c r="F565" s="47">
        <f t="shared" ca="1" si="93"/>
        <v>333.2</v>
      </c>
      <c r="G565" s="32" t="str">
        <f t="shared" ca="1" si="94"/>
        <v>personal</v>
      </c>
      <c r="H56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65" t="str">
        <f t="shared" ca="1" si="95"/>
        <v>No</v>
      </c>
      <c r="J56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12001.327367467071</v>
      </c>
      <c r="K565" s="32" t="str">
        <f ca="1">IF(Tabla2[[#This Row],[¿cliente deuda abierta?]]="Sí", Tabla2[[#This Row],[Deuda actual]]*Tabla2[[#This Row],[diferencia de días]], "0")</f>
        <v>0</v>
      </c>
      <c r="L56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6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56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565">
        <f t="shared" ca="1" si="96"/>
        <v>1638.9</v>
      </c>
      <c r="P565">
        <f t="shared" ca="1" si="97"/>
        <v>634935.44999999995</v>
      </c>
      <c r="Q565">
        <f t="shared" ca="1" si="98"/>
        <v>5</v>
      </c>
      <c r="R565">
        <f ca="1">((Tabla2[[#This Row],[Fantasma Comunicación]]+1)/(Tabla2[[#This Row],[Fantasma Comunicación]]+RANDBETWEEN(0,5)+2))-0.5</f>
        <v>9.9999999999999978E-2</v>
      </c>
      <c r="S565" s="51">
        <f ca="1">1+MAX(0,Tabla2[[#This Row],[Deuda actual]]/Tabla2[[#This Row],[Liquidez]]+Tabla2[[#This Row],[Liquidez]]/(Tabla2[[#This Row],[Activos]]+Tabla2[[#This Row],[Liquidez]])+Tabla2[[#This Row],[Comunicación]])</f>
        <v>1.3058816580162118</v>
      </c>
      <c r="T565">
        <f ca="1">Tabla2[[#This Row],[Deuda actual]]*EXP(Tabla2[[#This Row],[Ki]]*Tabla2[[#This Row],[diferencia de días]])*(1+Tabla2[[#This Row],[Hg]])</f>
        <v>300.48036016003999</v>
      </c>
    </row>
    <row r="566" spans="1:20" ht="14.5" x14ac:dyDescent="0.35">
      <c r="A566" t="e">
        <f t="shared" si="88"/>
        <v>#VALUE!</v>
      </c>
      <c r="B566" s="21">
        <f t="shared" ca="1" si="89"/>
        <v>46132</v>
      </c>
      <c r="C566" s="21">
        <f t="shared" ca="1" si="90"/>
        <v>46157</v>
      </c>
      <c r="D566">
        <f t="shared" ca="1" si="91"/>
        <v>19</v>
      </c>
      <c r="E566">
        <f t="shared" ca="1" si="92"/>
        <v>0.31301292086855437</v>
      </c>
      <c r="F566" s="47">
        <f t="shared" ca="1" si="93"/>
        <v>1516.43</v>
      </c>
      <c r="G566" s="32" t="str">
        <f t="shared" ca="1" si="94"/>
        <v>personal</v>
      </c>
      <c r="H56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566" t="str">
        <f t="shared" ca="1" si="95"/>
        <v>Sí</v>
      </c>
      <c r="J56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66" s="32">
        <f ca="1">IF(Tabla2[[#This Row],[¿cliente deuda abierta?]]="Sí", Tabla2[[#This Row],[Deuda actual]]*Tabla2[[#This Row],[diferencia de días]], "0")</f>
        <v>28812.170000000002</v>
      </c>
      <c r="L56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6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6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66">
        <f t="shared" ca="1" si="96"/>
        <v>1679.16</v>
      </c>
      <c r="P566">
        <f t="shared" ca="1" si="97"/>
        <v>95277.99</v>
      </c>
      <c r="Q566">
        <f t="shared" ca="1" si="98"/>
        <v>4</v>
      </c>
      <c r="R566">
        <f ca="1">((Tabla2[[#This Row],[Fantasma Comunicación]]+1)/(Tabla2[[#This Row],[Fantasma Comunicación]]+RANDBETWEEN(0,5)+2))-0.5</f>
        <v>0.125</v>
      </c>
      <c r="S566" s="51">
        <f ca="1">1+MAX(0,Tabla2[[#This Row],[Deuda actual]]/Tabla2[[#This Row],[Liquidez]]+Tabla2[[#This Row],[Liquidez]]/(Tabla2[[#This Row],[Activos]]+Tabla2[[#This Row],[Liquidez]])+Tabla2[[#This Row],[Comunicación]])</f>
        <v>2.0454070273480762</v>
      </c>
      <c r="T566">
        <f ca="1">Tabla2[[#This Row],[Deuda actual]]*EXP(Tabla2[[#This Row],[Ki]]*Tabla2[[#This Row],[diferencia de días]])*(1+Tabla2[[#This Row],[Hg]])</f>
        <v>1604.3987123383602</v>
      </c>
    </row>
    <row r="567" spans="1:20" ht="14.5" x14ac:dyDescent="0.35">
      <c r="A567" t="e">
        <f t="shared" si="88"/>
        <v>#VALUE!</v>
      </c>
      <c r="B567" s="21">
        <f t="shared" ca="1" si="89"/>
        <v>46090</v>
      </c>
      <c r="C567" s="21">
        <f t="shared" ca="1" si="90"/>
        <v>46157</v>
      </c>
      <c r="D567">
        <f t="shared" ca="1" si="91"/>
        <v>16</v>
      </c>
      <c r="E567">
        <f t="shared" ca="1" si="92"/>
        <v>0.52909494550149727</v>
      </c>
      <c r="F567" s="47">
        <f t="shared" ca="1" si="93"/>
        <v>544.32000000000005</v>
      </c>
      <c r="G567" s="32" t="str">
        <f t="shared" ca="1" si="94"/>
        <v>hipotecario</v>
      </c>
      <c r="H56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567" t="str">
        <f t="shared" ca="1" si="95"/>
        <v>No</v>
      </c>
      <c r="J56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164999.52575312278</v>
      </c>
      <c r="K567" s="32" t="str">
        <f ca="1">IF(Tabla2[[#This Row],[¿cliente deuda abierta?]]="Sí", Tabla2[[#This Row],[Deuda actual]]*Tabla2[[#This Row],[diferencia de días]], "0")</f>
        <v>0</v>
      </c>
      <c r="L56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6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56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567">
        <f t="shared" ca="1" si="96"/>
        <v>1680.45</v>
      </c>
      <c r="P567">
        <f t="shared" ca="1" si="97"/>
        <v>123433.7</v>
      </c>
      <c r="Q567">
        <f t="shared" ca="1" si="98"/>
        <v>5</v>
      </c>
      <c r="R567">
        <f ca="1">((Tabla2[[#This Row],[Fantasma Comunicación]]+1)/(Tabla2[[#This Row],[Fantasma Comunicación]]+RANDBETWEEN(0,5)+2))-0.5</f>
        <v>0</v>
      </c>
      <c r="S567" s="51">
        <f ca="1">1+MAX(0,Tabla2[[#This Row],[Deuda actual]]/Tabla2[[#This Row],[Liquidez]]+Tabla2[[#This Row],[Liquidez]]/(Tabla2[[#This Row],[Activos]]+Tabla2[[#This Row],[Liquidez]])+Tabla2[[#This Row],[Comunicación]])</f>
        <v>1.3373445720309927</v>
      </c>
      <c r="T567">
        <f ca="1">Tabla2[[#This Row],[Deuda actual]]*EXP(Tabla2[[#This Row],[Ki]]*Tabla2[[#This Row],[diferencia de días]])*(1+Tabla2[[#This Row],[Hg]])</f>
        <v>438.2518555947226</v>
      </c>
    </row>
    <row r="568" spans="1:20" ht="14.5" x14ac:dyDescent="0.35">
      <c r="A568" t="e">
        <f t="shared" si="88"/>
        <v>#VALUE!</v>
      </c>
      <c r="B568" s="21">
        <f t="shared" ca="1" si="89"/>
        <v>46096</v>
      </c>
      <c r="C568" s="21">
        <f t="shared" ca="1" si="90"/>
        <v>46157</v>
      </c>
      <c r="D568">
        <f t="shared" ca="1" si="91"/>
        <v>4</v>
      </c>
      <c r="E568">
        <f t="shared" ca="1" si="92"/>
        <v>0.58385423266693859</v>
      </c>
      <c r="F568" s="47">
        <f t="shared" ca="1" si="93"/>
        <v>840.55</v>
      </c>
      <c r="G568" s="32" t="str">
        <f t="shared" ca="1" si="94"/>
        <v>hipotecario</v>
      </c>
      <c r="H56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68" t="str">
        <f t="shared" ca="1" si="95"/>
        <v>No</v>
      </c>
      <c r="J56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164999.87791728033</v>
      </c>
      <c r="K568" s="32" t="str">
        <f ca="1">IF(Tabla2[[#This Row],[¿cliente deuda abierta?]]="Sí", Tabla2[[#This Row],[Deuda actual]]*Tabla2[[#This Row],[diferencia de días]], "0")</f>
        <v>0</v>
      </c>
      <c r="L56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6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56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568">
        <f t="shared" ca="1" si="96"/>
        <v>1427.27</v>
      </c>
      <c r="P568">
        <f t="shared" ca="1" si="97"/>
        <v>127098.97</v>
      </c>
      <c r="Q568">
        <f t="shared" ca="1" si="98"/>
        <v>1</v>
      </c>
      <c r="R568">
        <f ca="1">((Tabla2[[#This Row],[Fantasma Comunicación]]+1)/(Tabla2[[#This Row],[Fantasma Comunicación]]+RANDBETWEEN(0,5)+2))-0.5</f>
        <v>0.16666666666666663</v>
      </c>
      <c r="S568" s="51">
        <f ca="1">1+MAX(0,Tabla2[[#This Row],[Deuda actual]]/Tabla2[[#This Row],[Liquidez]]+Tabla2[[#This Row],[Liquidez]]/(Tabla2[[#This Row],[Activos]]+Tabla2[[#This Row],[Liquidez]])+Tabla2[[#This Row],[Comunicación]])</f>
        <v>1.7666930660482176</v>
      </c>
      <c r="T568">
        <f ca="1">Tabla2[[#This Row],[Deuda actual]]*EXP(Tabla2[[#This Row],[Ki]]*Tabla2[[#This Row],[diferencia de días]])*(1+Tabla2[[#This Row],[Hg]])</f>
        <v>672.97816723819301</v>
      </c>
    </row>
    <row r="569" spans="1:20" ht="14.5" x14ac:dyDescent="0.35">
      <c r="A569" t="e">
        <f t="shared" si="88"/>
        <v>#VALUE!</v>
      </c>
      <c r="B569" s="21">
        <f t="shared" ca="1" si="89"/>
        <v>46139</v>
      </c>
      <c r="C569" s="21">
        <f t="shared" ca="1" si="90"/>
        <v>46157</v>
      </c>
      <c r="D569">
        <f t="shared" ca="1" si="91"/>
        <v>13</v>
      </c>
      <c r="E569">
        <f t="shared" ca="1" si="92"/>
        <v>0.17110497376436784</v>
      </c>
      <c r="F569" s="47">
        <f t="shared" ca="1" si="93"/>
        <v>51.64</v>
      </c>
      <c r="G569" s="32" t="str">
        <f t="shared" ca="1" si="94"/>
        <v>personal</v>
      </c>
      <c r="H56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69" t="str">
        <f t="shared" ca="1" si="95"/>
        <v>Sí</v>
      </c>
      <c r="J56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69" s="32">
        <f ca="1">IF(Tabla2[[#This Row],[¿cliente deuda abierta?]]="Sí", Tabla2[[#This Row],[Deuda actual]]*Tabla2[[#This Row],[diferencia de días]], "0")</f>
        <v>671.32</v>
      </c>
      <c r="L56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6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6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69">
        <f t="shared" ca="1" si="96"/>
        <v>1615.45</v>
      </c>
      <c r="P569">
        <f t="shared" ca="1" si="97"/>
        <v>135585.92000000001</v>
      </c>
      <c r="Q569">
        <f t="shared" ca="1" si="98"/>
        <v>2</v>
      </c>
      <c r="R569">
        <f ca="1">((Tabla2[[#This Row],[Fantasma Comunicación]]+1)/(Tabla2[[#This Row],[Fantasma Comunicación]]+RANDBETWEEN(0,5)+2))-0.5</f>
        <v>9.9999999999999978E-2</v>
      </c>
      <c r="S569" s="51">
        <f ca="1">1+MAX(0,Tabla2[[#This Row],[Deuda actual]]/Tabla2[[#This Row],[Liquidez]]+Tabla2[[#This Row],[Liquidez]]/(Tabla2[[#This Row],[Activos]]+Tabla2[[#This Row],[Liquidez]])+Tabla2[[#This Row],[Comunicación]])</f>
        <v>1.143740624510817</v>
      </c>
      <c r="T569">
        <f ca="1">Tabla2[[#This Row],[Deuda actual]]*EXP(Tabla2[[#This Row],[Ki]]*Tabla2[[#This Row],[diferencia de días]])*(1+Tabla2[[#This Row],[Hg]])</f>
        <v>54.36316062929761</v>
      </c>
    </row>
    <row r="570" spans="1:20" ht="14.5" x14ac:dyDescent="0.35">
      <c r="A570" t="e">
        <f t="shared" si="88"/>
        <v>#VALUE!</v>
      </c>
      <c r="B570" s="21">
        <f t="shared" ca="1" si="89"/>
        <v>46134</v>
      </c>
      <c r="C570" s="21">
        <f t="shared" ca="1" si="90"/>
        <v>46157</v>
      </c>
      <c r="D570">
        <f t="shared" ca="1" si="91"/>
        <v>24</v>
      </c>
      <c r="E570">
        <f t="shared" ca="1" si="92"/>
        <v>0.65052569142872585</v>
      </c>
      <c r="F570" s="47">
        <f t="shared" ca="1" si="93"/>
        <v>510.86</v>
      </c>
      <c r="G570" s="32" t="str">
        <f t="shared" ca="1" si="94"/>
        <v>hipotecario</v>
      </c>
      <c r="H57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570" t="str">
        <f t="shared" ca="1" si="95"/>
        <v>Sí</v>
      </c>
      <c r="J57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70" s="32">
        <f ca="1">IF(Tabla2[[#This Row],[¿cliente deuda abierta?]]="Sí", Tabla2[[#This Row],[Deuda actual]]*Tabla2[[#This Row],[diferencia de días]], "0")</f>
        <v>12260.64</v>
      </c>
      <c r="L57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7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7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70">
        <f t="shared" ca="1" si="96"/>
        <v>1427.25</v>
      </c>
      <c r="P570">
        <f t="shared" ca="1" si="97"/>
        <v>96953.06</v>
      </c>
      <c r="Q570">
        <f t="shared" ca="1" si="98"/>
        <v>5</v>
      </c>
      <c r="R570">
        <f ca="1">((Tabla2[[#This Row],[Fantasma Comunicación]]+1)/(Tabla2[[#This Row],[Fantasma Comunicación]]+RANDBETWEEN(0,5)+2))-0.5</f>
        <v>0</v>
      </c>
      <c r="S570" s="51">
        <f ca="1">1+MAX(0,Tabla2[[#This Row],[Deuda actual]]/Tabla2[[#This Row],[Liquidez]]+Tabla2[[#This Row],[Liquidez]]/(Tabla2[[#This Row],[Activos]]+Tabla2[[#This Row],[Liquidez]])+Tabla2[[#This Row],[Comunicación]])</f>
        <v>1.3724405642467954</v>
      </c>
      <c r="T570">
        <f ca="1">Tabla2[[#This Row],[Deuda actual]]*EXP(Tabla2[[#This Row],[Ki]]*Tabla2[[#This Row],[diferencia de días]])*(1+Tabla2[[#This Row],[Hg]])</f>
        <v>541.57726553627583</v>
      </c>
    </row>
    <row r="571" spans="1:20" ht="14.5" x14ac:dyDescent="0.35">
      <c r="A571" t="e">
        <f t="shared" si="88"/>
        <v>#VALUE!</v>
      </c>
      <c r="B571" s="21">
        <f t="shared" ca="1" si="89"/>
        <v>46087</v>
      </c>
      <c r="C571" s="21">
        <f t="shared" ca="1" si="90"/>
        <v>46157</v>
      </c>
      <c r="D571">
        <f t="shared" ca="1" si="91"/>
        <v>19</v>
      </c>
      <c r="E571">
        <f t="shared" ca="1" si="92"/>
        <v>0.41018232507431296</v>
      </c>
      <c r="F571" s="47">
        <f t="shared" ca="1" si="93"/>
        <v>603.80999999999995</v>
      </c>
      <c r="G571" s="32" t="str">
        <f t="shared" ca="1" si="94"/>
        <v>hipotecario</v>
      </c>
      <c r="H57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571" t="str">
        <f t="shared" ca="1" si="95"/>
        <v>No</v>
      </c>
      <c r="J57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164999.31870675198</v>
      </c>
      <c r="K571" s="32" t="str">
        <f ca="1">IF(Tabla2[[#This Row],[¿cliente deuda abierta?]]="Sí", Tabla2[[#This Row],[Deuda actual]]*Tabla2[[#This Row],[diferencia de días]], "0")</f>
        <v>0</v>
      </c>
      <c r="L57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7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57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571">
        <f t="shared" ca="1" si="96"/>
        <v>2239.69</v>
      </c>
      <c r="P571">
        <f t="shared" ca="1" si="97"/>
        <v>155590.68</v>
      </c>
      <c r="Q571">
        <f t="shared" ca="1" si="98"/>
        <v>5</v>
      </c>
      <c r="R571">
        <f ca="1">((Tabla2[[#This Row],[Fantasma Comunicación]]+1)/(Tabla2[[#This Row],[Fantasma Comunicación]]+RANDBETWEEN(0,5)+2))-0.5</f>
        <v>4.5454545454545414E-2</v>
      </c>
      <c r="S571" s="51">
        <f ca="1">1+MAX(0,Tabla2[[#This Row],[Deuda actual]]/Tabla2[[#This Row],[Liquidez]]+Tabla2[[#This Row],[Liquidez]]/(Tabla2[[#This Row],[Activos]]+Tabla2[[#This Row],[Liquidez]])+Tabla2[[#This Row],[Comunicación]])</f>
        <v>1.3292403794194501</v>
      </c>
      <c r="T571">
        <f ca="1">Tabla2[[#This Row],[Deuda actual]]*EXP(Tabla2[[#This Row],[Ki]]*Tabla2[[#This Row],[diferencia de días]])*(1+Tabla2[[#This Row],[Hg]])</f>
        <v>486.73315063457005</v>
      </c>
    </row>
    <row r="572" spans="1:20" ht="14.5" x14ac:dyDescent="0.35">
      <c r="A572" t="e">
        <f t="shared" si="88"/>
        <v>#VALUE!</v>
      </c>
      <c r="B572" s="21">
        <f t="shared" ca="1" si="89"/>
        <v>46123</v>
      </c>
      <c r="C572" s="21">
        <f t="shared" ca="1" si="90"/>
        <v>46157</v>
      </c>
      <c r="D572">
        <f t="shared" ca="1" si="91"/>
        <v>12</v>
      </c>
      <c r="E572">
        <f t="shared" ca="1" si="92"/>
        <v>0.70190892184368281</v>
      </c>
      <c r="F572" s="47">
        <f t="shared" ca="1" si="93"/>
        <v>794.29</v>
      </c>
      <c r="G572" s="32" t="str">
        <f t="shared" ca="1" si="94"/>
        <v>hipotecario</v>
      </c>
      <c r="H57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72" t="str">
        <f t="shared" ca="1" si="95"/>
        <v>Sí</v>
      </c>
      <c r="J57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72" s="32">
        <f ca="1">IF(Tabla2[[#This Row],[¿cliente deuda abierta?]]="Sí", Tabla2[[#This Row],[Deuda actual]]*Tabla2[[#This Row],[diferencia de días]], "0")</f>
        <v>9531.48</v>
      </c>
      <c r="L57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7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7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72">
        <f t="shared" ca="1" si="96"/>
        <v>1552.93</v>
      </c>
      <c r="P572">
        <f t="shared" ca="1" si="97"/>
        <v>93111.06</v>
      </c>
      <c r="Q572">
        <f t="shared" ca="1" si="98"/>
        <v>4</v>
      </c>
      <c r="R572">
        <f ca="1">((Tabla2[[#This Row],[Fantasma Comunicación]]+1)/(Tabla2[[#This Row],[Fantasma Comunicación]]+RANDBETWEEN(0,5)+2))-0.5</f>
        <v>0.2142857142857143</v>
      </c>
      <c r="S572" s="51">
        <f ca="1">1+MAX(0,Tabla2[[#This Row],[Deuda actual]]/Tabla2[[#This Row],[Liquidez]]+Tabla2[[#This Row],[Liquidez]]/(Tabla2[[#This Row],[Activos]]+Tabla2[[#This Row],[Liquidez]])+Tabla2[[#This Row],[Comunicación]])</f>
        <v>1.7421686705683377</v>
      </c>
      <c r="T572">
        <f ca="1">Tabla2[[#This Row],[Deuda actual]]*EXP(Tabla2[[#This Row],[Ki]]*Tabla2[[#This Row],[diferencia de días]])*(1+Tabla2[[#This Row],[Hg]])</f>
        <v>836.00851465565984</v>
      </c>
    </row>
    <row r="573" spans="1:20" ht="14.5" x14ac:dyDescent="0.35">
      <c r="A573" t="e">
        <f t="shared" si="88"/>
        <v>#VALUE!</v>
      </c>
      <c r="B573" s="21">
        <f t="shared" ca="1" si="89"/>
        <v>46088</v>
      </c>
      <c r="C573" s="21">
        <f t="shared" ca="1" si="90"/>
        <v>46157</v>
      </c>
      <c r="D573">
        <f t="shared" ca="1" si="91"/>
        <v>43</v>
      </c>
      <c r="E573">
        <f t="shared" ca="1" si="92"/>
        <v>0.66276793791557453</v>
      </c>
      <c r="F573" s="47">
        <f t="shared" ca="1" si="93"/>
        <v>134.49</v>
      </c>
      <c r="G573" s="32" t="str">
        <f t="shared" ca="1" si="94"/>
        <v>hipotecario</v>
      </c>
      <c r="H57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573" t="str">
        <f t="shared" ca="1" si="95"/>
        <v>Sí</v>
      </c>
      <c r="J57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73" s="32">
        <f ca="1">IF(Tabla2[[#This Row],[¿cliente deuda abierta?]]="Sí", Tabla2[[#This Row],[Deuda actual]]*Tabla2[[#This Row],[diferencia de días]], "0")</f>
        <v>5783.0700000000006</v>
      </c>
      <c r="L57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7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7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73">
        <f t="shared" ca="1" si="96"/>
        <v>1800.35</v>
      </c>
      <c r="P573">
        <f t="shared" ca="1" si="97"/>
        <v>94032.6</v>
      </c>
      <c r="Q573">
        <f t="shared" ca="1" si="98"/>
        <v>5</v>
      </c>
      <c r="R573">
        <f ca="1">((Tabla2[[#This Row],[Fantasma Comunicación]]+1)/(Tabla2[[#This Row],[Fantasma Comunicación]]+RANDBETWEEN(0,5)+2))-0.5</f>
        <v>0.3571428571428571</v>
      </c>
      <c r="S573" s="51">
        <f ca="1">1+MAX(0,Tabla2[[#This Row],[Deuda actual]]/Tabla2[[#This Row],[Liquidez]]+Tabla2[[#This Row],[Liquidez]]/(Tabla2[[#This Row],[Activos]]+Tabla2[[#This Row],[Liquidez]])+Tabla2[[#This Row],[Comunicación]])</f>
        <v>1.4506313344080788</v>
      </c>
      <c r="T573">
        <f ca="1">Tabla2[[#This Row],[Deuda actual]]*EXP(Tabla2[[#This Row],[Ki]]*Tabla2[[#This Row],[diferencia de días]])*(1+Tabla2[[#This Row],[Hg]])</f>
        <v>147.41916785238183</v>
      </c>
    </row>
    <row r="574" spans="1:20" ht="14.5" x14ac:dyDescent="0.35">
      <c r="A574" t="e">
        <f t="shared" si="88"/>
        <v>#VALUE!</v>
      </c>
      <c r="B574" s="21">
        <f t="shared" ca="1" si="89"/>
        <v>46116</v>
      </c>
      <c r="C574" s="21">
        <f t="shared" ca="1" si="90"/>
        <v>46157</v>
      </c>
      <c r="D574">
        <f t="shared" ca="1" si="91"/>
        <v>3</v>
      </c>
      <c r="E574">
        <f t="shared" ca="1" si="92"/>
        <v>0.86774498970747571</v>
      </c>
      <c r="F574" s="47">
        <f t="shared" ca="1" si="93"/>
        <v>303.08999999999997</v>
      </c>
      <c r="G574" s="32" t="str">
        <f t="shared" ca="1" si="94"/>
        <v>hipotecario</v>
      </c>
      <c r="H57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74" t="str">
        <f t="shared" ca="1" si="95"/>
        <v>No</v>
      </c>
      <c r="J57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164999.67608235488</v>
      </c>
      <c r="K574" s="32" t="str">
        <f ca="1">IF(Tabla2[[#This Row],[¿cliente deuda abierta?]]="Sí", Tabla2[[#This Row],[Deuda actual]]*Tabla2[[#This Row],[diferencia de días]], "0")</f>
        <v>0</v>
      </c>
      <c r="L57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7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57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574">
        <f t="shared" ca="1" si="96"/>
        <v>1298.25</v>
      </c>
      <c r="P574">
        <f t="shared" ca="1" si="97"/>
        <v>293105</v>
      </c>
      <c r="Q574">
        <f t="shared" ca="1" si="98"/>
        <v>4</v>
      </c>
      <c r="R574">
        <f ca="1">((Tabla2[[#This Row],[Fantasma Comunicación]]+1)/(Tabla2[[#This Row],[Fantasma Comunicación]]+RANDBETWEEN(0,5)+2))-0.5</f>
        <v>0.2142857142857143</v>
      </c>
      <c r="S574" s="51">
        <f ca="1">1+MAX(0,Tabla2[[#This Row],[Deuda actual]]/Tabla2[[#This Row],[Liquidez]]+Tabla2[[#This Row],[Liquidez]]/(Tabla2[[#This Row],[Activos]]+Tabla2[[#This Row],[Liquidez]])+Tabla2[[#This Row],[Comunicación]])</f>
        <v>1.4521559096791556</v>
      </c>
      <c r="T574">
        <f ca="1">Tabla2[[#This Row],[Deuda actual]]*EXP(Tabla2[[#This Row],[Ki]]*Tabla2[[#This Row],[diferencia de días]])*(1+Tabla2[[#This Row],[Hg]])</f>
        <v>242.61752685369029</v>
      </c>
    </row>
    <row r="575" spans="1:20" ht="14.5" x14ac:dyDescent="0.35">
      <c r="A575" t="e">
        <f t="shared" si="88"/>
        <v>#VALUE!</v>
      </c>
      <c r="B575" s="21">
        <f t="shared" ca="1" si="89"/>
        <v>46136</v>
      </c>
      <c r="C575" s="21">
        <f t="shared" ca="1" si="90"/>
        <v>46157</v>
      </c>
      <c r="D575">
        <f t="shared" ca="1" si="91"/>
        <v>33</v>
      </c>
      <c r="E575">
        <f t="shared" ca="1" si="92"/>
        <v>0.61779886962595087</v>
      </c>
      <c r="F575" s="47">
        <f t="shared" ca="1" si="93"/>
        <v>3407.98</v>
      </c>
      <c r="G575" s="32" t="str">
        <f t="shared" ca="1" si="94"/>
        <v>personal</v>
      </c>
      <c r="H57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575" t="str">
        <f t="shared" ca="1" si="95"/>
        <v>Sí</v>
      </c>
      <c r="J57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75" s="32">
        <f ca="1">IF(Tabla2[[#This Row],[¿cliente deuda abierta?]]="Sí", Tabla2[[#This Row],[Deuda actual]]*Tabla2[[#This Row],[diferencia de días]], "0")</f>
        <v>112463.34</v>
      </c>
      <c r="L57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57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75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575">
        <f t="shared" ca="1" si="96"/>
        <v>1444.66</v>
      </c>
      <c r="P575">
        <f t="shared" ca="1" si="97"/>
        <v>122202.34</v>
      </c>
      <c r="Q575">
        <f t="shared" ca="1" si="98"/>
        <v>2</v>
      </c>
      <c r="R575">
        <f ca="1">((Tabla2[[#This Row],[Fantasma Comunicación]]+1)/(Tabla2[[#This Row],[Fantasma Comunicación]]+RANDBETWEEN(0,5)+2))-0.5</f>
        <v>-0.16666666666666669</v>
      </c>
      <c r="S575" s="51">
        <f ca="1">1+MAX(0,Tabla2[[#This Row],[Deuda actual]]/Tabla2[[#This Row],[Liquidez]]+Tabla2[[#This Row],[Liquidez]]/(Tabla2[[#This Row],[Activos]]+Tabla2[[#This Row],[Liquidez]])+Tabla2[[#This Row],[Comunicación]])</f>
        <v>3.2040358092385408</v>
      </c>
      <c r="T575">
        <f ca="1">Tabla2[[#This Row],[Deuda actual]]*EXP(Tabla2[[#This Row],[Ki]]*Tabla2[[#This Row],[diferencia de días]])*(1+Tabla2[[#This Row],[Hg]])</f>
        <v>4050.6675017321218</v>
      </c>
    </row>
    <row r="576" spans="1:20" ht="14.5" x14ac:dyDescent="0.35">
      <c r="A576" t="e">
        <f t="shared" si="88"/>
        <v>#VALUE!</v>
      </c>
      <c r="B576" s="21">
        <f t="shared" ca="1" si="89"/>
        <v>46099</v>
      </c>
      <c r="C576" s="21">
        <f t="shared" ca="1" si="90"/>
        <v>46157</v>
      </c>
      <c r="D576">
        <f t="shared" ca="1" si="91"/>
        <v>17</v>
      </c>
      <c r="E576">
        <f t="shared" ca="1" si="92"/>
        <v>0.5430436571449726</v>
      </c>
      <c r="F576" s="47">
        <f t="shared" ca="1" si="93"/>
        <v>8559.27</v>
      </c>
      <c r="G576" s="32" t="str">
        <f t="shared" ca="1" si="94"/>
        <v>hipotecario</v>
      </c>
      <c r="H57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576" t="str">
        <f t="shared" ca="1" si="95"/>
        <v>Sí</v>
      </c>
      <c r="J57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76" s="32">
        <f ca="1">IF(Tabla2[[#This Row],[¿cliente deuda abierta?]]="Sí", Tabla2[[#This Row],[Deuda actual]]*Tabla2[[#This Row],[diferencia de días]], "0")</f>
        <v>145507.59</v>
      </c>
      <c r="L57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57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76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576">
        <f t="shared" ca="1" si="96"/>
        <v>2025.83</v>
      </c>
      <c r="P576">
        <f t="shared" ca="1" si="97"/>
        <v>296562.94</v>
      </c>
      <c r="Q576">
        <f t="shared" ca="1" si="98"/>
        <v>5</v>
      </c>
      <c r="R576">
        <f ca="1">((Tabla2[[#This Row],[Fantasma Comunicación]]+1)/(Tabla2[[#This Row],[Fantasma Comunicación]]+RANDBETWEEN(0,5)+2))-0.5</f>
        <v>0.16666666666666663</v>
      </c>
      <c r="S576" s="51">
        <f ca="1">1+MAX(0,Tabla2[[#This Row],[Deuda actual]]/Tabla2[[#This Row],[Liquidez]]+Tabla2[[#This Row],[Liquidez]]/(Tabla2[[#This Row],[Activos]]+Tabla2[[#This Row],[Liquidez]])+Tabla2[[#This Row],[Comunicación]])</f>
        <v>5.3985195927917156</v>
      </c>
      <c r="T576">
        <f ca="1">Tabla2[[#This Row],[Deuda actual]]*EXP(Tabla2[[#This Row],[Ki]]*Tabla2[[#This Row],[diferencia de días]])*(1+Tabla2[[#This Row],[Hg]])</f>
        <v>9910.3220819829785</v>
      </c>
    </row>
    <row r="577" spans="1:20" ht="14.5" x14ac:dyDescent="0.35">
      <c r="A577" t="e">
        <f t="shared" si="88"/>
        <v>#VALUE!</v>
      </c>
      <c r="B577" s="21">
        <f t="shared" ca="1" si="89"/>
        <v>46117</v>
      </c>
      <c r="C577" s="21">
        <f t="shared" ca="1" si="90"/>
        <v>46157</v>
      </c>
      <c r="D577">
        <f t="shared" ca="1" si="91"/>
        <v>32</v>
      </c>
      <c r="E577">
        <f t="shared" ca="1" si="92"/>
        <v>0.84629664335194354</v>
      </c>
      <c r="F577" s="47">
        <f t="shared" ca="1" si="93"/>
        <v>2512.81</v>
      </c>
      <c r="G577" s="32" t="str">
        <f t="shared" ca="1" si="94"/>
        <v>personal</v>
      </c>
      <c r="H57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577" t="str">
        <f t="shared" ca="1" si="95"/>
        <v>Sí</v>
      </c>
      <c r="J57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77" s="32">
        <f ca="1">IF(Tabla2[[#This Row],[¿cliente deuda abierta?]]="Sí", Tabla2[[#This Row],[Deuda actual]]*Tabla2[[#This Row],[diferencia de días]], "0")</f>
        <v>80409.919999999998</v>
      </c>
      <c r="L57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57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77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577">
        <f t="shared" ca="1" si="96"/>
        <v>1575.74</v>
      </c>
      <c r="P577">
        <f t="shared" ca="1" si="97"/>
        <v>193448.6</v>
      </c>
      <c r="Q577">
        <f t="shared" ca="1" si="98"/>
        <v>0</v>
      </c>
      <c r="R577">
        <f ca="1">((Tabla2[[#This Row],[Fantasma Comunicación]]+1)/(Tabla2[[#This Row],[Fantasma Comunicación]]+RANDBETWEEN(0,5)+2))-0.5</f>
        <v>-0.33333333333333337</v>
      </c>
      <c r="S577" s="51">
        <f ca="1">1+MAX(0,Tabla2[[#This Row],[Deuda actual]]/Tabla2[[#This Row],[Liquidez]]+Tabla2[[#This Row],[Liquidez]]/(Tabla2[[#This Row],[Activos]]+Tabla2[[#This Row],[Liquidez]])+Tabla2[[#This Row],[Comunicación]])</f>
        <v>2.2694320475959375</v>
      </c>
      <c r="T577">
        <f ca="1">Tabla2[[#This Row],[Deuda actual]]*EXP(Tabla2[[#This Row],[Ki]]*Tabla2[[#This Row],[diferencia de días]])*(1+Tabla2[[#This Row],[Hg]])</f>
        <v>2983.6983593816171</v>
      </c>
    </row>
    <row r="578" spans="1:20" ht="14.5" x14ac:dyDescent="0.35">
      <c r="A578" t="e">
        <f t="shared" ref="A578:A641" si="99">A577+1</f>
        <v>#VALUE!</v>
      </c>
      <c r="B578" s="21">
        <f t="shared" ref="B578:B641" ca="1" si="100">RANDBETWEEN(DATE(2026,3,1), DATE(2026,5,1))</f>
        <v>46095</v>
      </c>
      <c r="C578" s="21">
        <f t="shared" ref="C578:C641" ca="1" si="101">TODAY()</f>
        <v>46157</v>
      </c>
      <c r="D578">
        <f t="shared" ref="D578:D641" ca="1" si="102">ROUND((-(15) * LN(RAND())),0)</f>
        <v>11</v>
      </c>
      <c r="E578">
        <f t="shared" ref="E578:E641" ca="1" si="103">RAND()</f>
        <v>0.30655646027626515</v>
      </c>
      <c r="F578" s="47">
        <f t="shared" ref="F578:F641" ca="1" si="104">ROUND(MIN(10000, _xlfn.LOGNORM.INV(RAND(), 69/10, 13/10)),2)</f>
        <v>301.08</v>
      </c>
      <c r="G578" s="32" t="str">
        <f t="shared" ref="G578:G641" ca="1" si="105">IF(RAND()&lt;=0.5,"personal","hipotecario")</f>
        <v>personal</v>
      </c>
      <c r="H57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78" t="str">
        <f t="shared" ref="I578:I641" ca="1" si="106">IF(RAND()&lt;=0.65, "Sí", "No")</f>
        <v>Sí</v>
      </c>
      <c r="J57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78" s="32">
        <f ca="1">IF(Tabla2[[#This Row],[¿cliente deuda abierta?]]="Sí", Tabla2[[#This Row],[Deuda actual]]*Tabla2[[#This Row],[diferencia de días]], "0")</f>
        <v>3311.8799999999997</v>
      </c>
      <c r="L57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7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7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78">
        <f t="shared" ref="O578:O641" ca="1" si="107">ROUND(1000*(_xlfn.LOGNORM.INV(RAND(), 0.5, 0.2)),2)</f>
        <v>1250.54</v>
      </c>
      <c r="P578">
        <f t="shared" ref="P578:P641" ca="1" si="108">ROUND(50000*(_xlfn.LOGNORM.INV(RAND(), 1, 0.75)),2)</f>
        <v>88087.02</v>
      </c>
      <c r="Q578">
        <f t="shared" ref="Q578:Q641" ca="1" si="109">RANDBETWEEN(0,5)</f>
        <v>1</v>
      </c>
      <c r="R578">
        <f ca="1">((Tabla2[[#This Row],[Fantasma Comunicación]]+1)/(Tabla2[[#This Row],[Fantasma Comunicación]]+RANDBETWEEN(0,5)+2))-0.5</f>
        <v>0</v>
      </c>
      <c r="S578" s="51">
        <f ca="1">1+MAX(0,Tabla2[[#This Row],[Deuda actual]]/Tabla2[[#This Row],[Liquidez]]+Tabla2[[#This Row],[Liquidez]]/(Tabla2[[#This Row],[Activos]]+Tabla2[[#This Row],[Liquidez]])+Tabla2[[#This Row],[Comunicación]])</f>
        <v>1.2547579114835066</v>
      </c>
      <c r="T578">
        <f ca="1">Tabla2[[#This Row],[Deuda actual]]*EXP(Tabla2[[#This Row],[Ki]]*Tabla2[[#This Row],[diferencia de días]])*(1+Tabla2[[#This Row],[Hg]])</f>
        <v>316.83026040562112</v>
      </c>
    </row>
    <row r="579" spans="1:20" ht="14.5" x14ac:dyDescent="0.35">
      <c r="A579" t="e">
        <f t="shared" si="99"/>
        <v>#VALUE!</v>
      </c>
      <c r="B579" s="21">
        <f t="shared" ca="1" si="100"/>
        <v>46097</v>
      </c>
      <c r="C579" s="21">
        <f t="shared" ca="1" si="101"/>
        <v>46157</v>
      </c>
      <c r="D579">
        <f t="shared" ca="1" si="102"/>
        <v>2</v>
      </c>
      <c r="E579">
        <f t="shared" ca="1" si="103"/>
        <v>0.61750137073957623</v>
      </c>
      <c r="F579" s="47">
        <f t="shared" ca="1" si="104"/>
        <v>121.25</v>
      </c>
      <c r="G579" s="32" t="str">
        <f t="shared" ca="1" si="105"/>
        <v>hipotecario</v>
      </c>
      <c r="H57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79" t="str">
        <f t="shared" ca="1" si="106"/>
        <v>Sí</v>
      </c>
      <c r="J57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79" s="32">
        <f ca="1">IF(Tabla2[[#This Row],[¿cliente deuda abierta?]]="Sí", Tabla2[[#This Row],[Deuda actual]]*Tabla2[[#This Row],[diferencia de días]], "0")</f>
        <v>242.5</v>
      </c>
      <c r="L57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7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7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79">
        <f t="shared" ca="1" si="107"/>
        <v>1488.29</v>
      </c>
      <c r="P579">
        <f t="shared" ca="1" si="108"/>
        <v>124818.59</v>
      </c>
      <c r="Q579">
        <f t="shared" ca="1" si="109"/>
        <v>0</v>
      </c>
      <c r="R579">
        <f ca="1">((Tabla2[[#This Row],[Fantasma Comunicación]]+1)/(Tabla2[[#This Row],[Fantasma Comunicación]]+RANDBETWEEN(0,5)+2))-0.5</f>
        <v>-0.33333333333333337</v>
      </c>
      <c r="S579" s="51">
        <f ca="1">1+MAX(0,Tabla2[[#This Row],[Deuda actual]]/Tabla2[[#This Row],[Liquidez]]+Tabla2[[#This Row],[Liquidez]]/(Tabla2[[#This Row],[Activos]]+Tabla2[[#This Row],[Liquidez]])+Tabla2[[#This Row],[Comunicación]])</f>
        <v>1</v>
      </c>
      <c r="T579">
        <f ca="1">Tabla2[[#This Row],[Deuda actual]]*EXP(Tabla2[[#This Row],[Ki]]*Tabla2[[#This Row],[diferencia de días]])*(1+Tabla2[[#This Row],[Hg]])</f>
        <v>127.36343518635815</v>
      </c>
    </row>
    <row r="580" spans="1:20" ht="14.5" x14ac:dyDescent="0.35">
      <c r="A580" t="e">
        <f t="shared" si="99"/>
        <v>#VALUE!</v>
      </c>
      <c r="B580" s="21">
        <f t="shared" ca="1" si="100"/>
        <v>46140</v>
      </c>
      <c r="C580" s="21">
        <f t="shared" ca="1" si="101"/>
        <v>46157</v>
      </c>
      <c r="D580">
        <f t="shared" ca="1" si="102"/>
        <v>1</v>
      </c>
      <c r="E580">
        <f t="shared" ca="1" si="103"/>
        <v>0.51980867809319731</v>
      </c>
      <c r="F580" s="47">
        <f t="shared" ca="1" si="104"/>
        <v>1424.24</v>
      </c>
      <c r="G580" s="32" t="str">
        <f t="shared" ca="1" si="105"/>
        <v>personal</v>
      </c>
      <c r="H58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80" t="str">
        <f t="shared" ca="1" si="106"/>
        <v>Sí</v>
      </c>
      <c r="J58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80" s="32">
        <f ca="1">IF(Tabla2[[#This Row],[¿cliente deuda abierta?]]="Sí", Tabla2[[#This Row],[Deuda actual]]*Tabla2[[#This Row],[diferencia de días]], "0")</f>
        <v>1424.24</v>
      </c>
      <c r="L58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8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8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80">
        <f t="shared" ca="1" si="107"/>
        <v>1595.14</v>
      </c>
      <c r="P580">
        <f t="shared" ca="1" si="108"/>
        <v>424874.28</v>
      </c>
      <c r="Q580">
        <f t="shared" ca="1" si="109"/>
        <v>4</v>
      </c>
      <c r="R580">
        <f ca="1">((Tabla2[[#This Row],[Fantasma Comunicación]]+1)/(Tabla2[[#This Row],[Fantasma Comunicación]]+RANDBETWEEN(0,5)+2))-0.5</f>
        <v>0.125</v>
      </c>
      <c r="S580" s="51">
        <f ca="1">1+MAX(0,Tabla2[[#This Row],[Deuda actual]]/Tabla2[[#This Row],[Liquidez]]+Tabla2[[#This Row],[Liquidez]]/(Tabla2[[#This Row],[Activos]]+Tabla2[[#This Row],[Liquidez]])+Tabla2[[#This Row],[Comunicación]])</f>
        <v>2.0216024070549796</v>
      </c>
      <c r="T580">
        <f ca="1">Tabla2[[#This Row],[Deuda actual]]*EXP(Tabla2[[#This Row],[Ki]]*Tabla2[[#This Row],[diferencia de días]])*(1+Tabla2[[#This Row],[Hg]])</f>
        <v>1495.7511203110341</v>
      </c>
    </row>
    <row r="581" spans="1:20" ht="14.5" x14ac:dyDescent="0.35">
      <c r="A581" t="e">
        <f t="shared" si="99"/>
        <v>#VALUE!</v>
      </c>
      <c r="B581" s="21">
        <f t="shared" ca="1" si="100"/>
        <v>46100</v>
      </c>
      <c r="C581" s="21">
        <f t="shared" ca="1" si="101"/>
        <v>46157</v>
      </c>
      <c r="D581">
        <f t="shared" ca="1" si="102"/>
        <v>3</v>
      </c>
      <c r="E581">
        <f t="shared" ca="1" si="103"/>
        <v>0.31828778265852231</v>
      </c>
      <c r="F581" s="47">
        <f t="shared" ca="1" si="104"/>
        <v>10000</v>
      </c>
      <c r="G581" s="32" t="str">
        <f t="shared" ca="1" si="105"/>
        <v>hipotecario</v>
      </c>
      <c r="H58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81" t="str">
        <f t="shared" ca="1" si="106"/>
        <v>No</v>
      </c>
      <c r="J58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164999.23592299942</v>
      </c>
      <c r="K581" s="32" t="str">
        <f ca="1">IF(Tabla2[[#This Row],[¿cliente deuda abierta?]]="Sí", Tabla2[[#This Row],[Deuda actual]]*Tabla2[[#This Row],[diferencia de días]], "0")</f>
        <v>0</v>
      </c>
      <c r="L58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8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58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581">
        <f t="shared" ca="1" si="107"/>
        <v>1850.92</v>
      </c>
      <c r="P581">
        <f t="shared" ca="1" si="108"/>
        <v>107359.38</v>
      </c>
      <c r="Q581">
        <f t="shared" ca="1" si="109"/>
        <v>0</v>
      </c>
      <c r="R581">
        <f ca="1">((Tabla2[[#This Row],[Fantasma Comunicación]]+1)/(Tabla2[[#This Row],[Fantasma Comunicación]]+RANDBETWEEN(0,5)+2))-0.5</f>
        <v>-0.35714285714285715</v>
      </c>
      <c r="S581" s="51">
        <f ca="1">1+MAX(0,Tabla2[[#This Row],[Deuda actual]]/Tabla2[[#This Row],[Liquidez]]+Tabla2[[#This Row],[Liquidez]]/(Tabla2[[#This Row],[Activos]]+Tabla2[[#This Row],[Liquidez]])+Tabla2[[#This Row],[Comunicación]])</f>
        <v>6.0625240091349681</v>
      </c>
      <c r="T581">
        <f ca="1">Tabla2[[#This Row],[Deuda actual]]*EXP(Tabla2[[#This Row],[Ki]]*Tabla2[[#This Row],[diferencia de días]])*(1+Tabla2[[#This Row],[Hg]])</f>
        <v>8004.8014402880435</v>
      </c>
    </row>
    <row r="582" spans="1:20" ht="14.5" x14ac:dyDescent="0.35">
      <c r="A582" t="e">
        <f t="shared" si="99"/>
        <v>#VALUE!</v>
      </c>
      <c r="B582" s="21">
        <f t="shared" ca="1" si="100"/>
        <v>46120</v>
      </c>
      <c r="C582" s="21">
        <f t="shared" ca="1" si="101"/>
        <v>46157</v>
      </c>
      <c r="D582">
        <f t="shared" ca="1" si="102"/>
        <v>7</v>
      </c>
      <c r="E582">
        <f t="shared" ca="1" si="103"/>
        <v>0.64732094993344402</v>
      </c>
      <c r="F582" s="47">
        <f t="shared" ca="1" si="104"/>
        <v>2366.2199999999998</v>
      </c>
      <c r="G582" s="32" t="str">
        <f t="shared" ca="1" si="105"/>
        <v>hipotecario</v>
      </c>
      <c r="H58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82" t="str">
        <f t="shared" ca="1" si="106"/>
        <v>Sí</v>
      </c>
      <c r="J58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82" s="32">
        <f ca="1">IF(Tabla2[[#This Row],[¿cliente deuda abierta?]]="Sí", Tabla2[[#This Row],[Deuda actual]]*Tabla2[[#This Row],[diferencia de días]], "0")</f>
        <v>16563.539999999997</v>
      </c>
      <c r="L58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8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8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82">
        <f t="shared" ca="1" si="107"/>
        <v>2192.9499999999998</v>
      </c>
      <c r="P582">
        <f t="shared" ca="1" si="108"/>
        <v>407307.32</v>
      </c>
      <c r="Q582">
        <f t="shared" ca="1" si="109"/>
        <v>2</v>
      </c>
      <c r="R582">
        <f ca="1">((Tabla2[[#This Row],[Fantasma Comunicación]]+1)/(Tabla2[[#This Row],[Fantasma Comunicación]]+RANDBETWEEN(0,5)+2))-0.5</f>
        <v>0.25</v>
      </c>
      <c r="S582" s="51">
        <f ca="1">1+MAX(0,Tabla2[[#This Row],[Deuda actual]]/Tabla2[[#This Row],[Liquidez]]+Tabla2[[#This Row],[Liquidez]]/(Tabla2[[#This Row],[Activos]]+Tabla2[[#This Row],[Liquidez]])+Tabla2[[#This Row],[Comunicación]])</f>
        <v>2.3343674751061805</v>
      </c>
      <c r="T582">
        <f ca="1">Tabla2[[#This Row],[Deuda actual]]*EXP(Tabla2[[#This Row],[Ki]]*Tabla2[[#This Row],[diferencia de días]])*(1+Tabla2[[#This Row],[Hg]])</f>
        <v>2488.0117793770369</v>
      </c>
    </row>
    <row r="583" spans="1:20" ht="14.5" x14ac:dyDescent="0.35">
      <c r="A583" t="e">
        <f t="shared" si="99"/>
        <v>#VALUE!</v>
      </c>
      <c r="B583" s="21">
        <f t="shared" ca="1" si="100"/>
        <v>46088</v>
      </c>
      <c r="C583" s="21">
        <f t="shared" ca="1" si="101"/>
        <v>46157</v>
      </c>
      <c r="D583">
        <f t="shared" ca="1" si="102"/>
        <v>8</v>
      </c>
      <c r="E583">
        <f t="shared" ca="1" si="103"/>
        <v>1.8572895738863338E-2</v>
      </c>
      <c r="F583" s="47">
        <f t="shared" ca="1" si="104"/>
        <v>1703.1</v>
      </c>
      <c r="G583" s="32" t="str">
        <f t="shared" ca="1" si="105"/>
        <v>personal</v>
      </c>
      <c r="H58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83" t="str">
        <f t="shared" ca="1" si="106"/>
        <v>Sí</v>
      </c>
      <c r="J58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83" s="32">
        <f ca="1">IF(Tabla2[[#This Row],[¿cliente deuda abierta?]]="Sí", Tabla2[[#This Row],[Deuda actual]]*Tabla2[[#This Row],[diferencia de días]], "0")</f>
        <v>13624.8</v>
      </c>
      <c r="L58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8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8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83">
        <f t="shared" ca="1" si="107"/>
        <v>2521.71</v>
      </c>
      <c r="P583">
        <f t="shared" ca="1" si="108"/>
        <v>74237.89</v>
      </c>
      <c r="Q583">
        <f t="shared" ca="1" si="109"/>
        <v>0</v>
      </c>
      <c r="R583">
        <f ca="1">((Tabla2[[#This Row],[Fantasma Comunicación]]+1)/(Tabla2[[#This Row],[Fantasma Comunicación]]+RANDBETWEEN(0,5)+2))-0.5</f>
        <v>-0.25</v>
      </c>
      <c r="S583" s="51">
        <f ca="1">1+MAX(0,Tabla2[[#This Row],[Deuda actual]]/Tabla2[[#This Row],[Liquidez]]+Tabla2[[#This Row],[Liquidez]]/(Tabla2[[#This Row],[Activos]]+Tabla2[[#This Row],[Liquidez]])+Tabla2[[#This Row],[Comunicación]])</f>
        <v>1.4582270902961452</v>
      </c>
      <c r="T583">
        <f ca="1">Tabla2[[#This Row],[Deuda actual]]*EXP(Tabla2[[#This Row],[Ki]]*Tabla2[[#This Row],[diferencia de días]])*(1+Tabla2[[#This Row],[Hg]])</f>
        <v>1791.1184981876704</v>
      </c>
    </row>
    <row r="584" spans="1:20" ht="14.5" x14ac:dyDescent="0.35">
      <c r="A584" t="e">
        <f t="shared" si="99"/>
        <v>#VALUE!</v>
      </c>
      <c r="B584" s="21">
        <f t="shared" ca="1" si="100"/>
        <v>46085</v>
      </c>
      <c r="C584" s="21">
        <f t="shared" ca="1" si="101"/>
        <v>46157</v>
      </c>
      <c r="D584">
        <f t="shared" ca="1" si="102"/>
        <v>14</v>
      </c>
      <c r="E584">
        <f t="shared" ca="1" si="103"/>
        <v>0.9397501041614239</v>
      </c>
      <c r="F584" s="47">
        <f t="shared" ca="1" si="104"/>
        <v>602.25</v>
      </c>
      <c r="G584" s="32" t="str">
        <f t="shared" ca="1" si="105"/>
        <v>hipotecario</v>
      </c>
      <c r="H58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84" t="str">
        <f t="shared" ca="1" si="106"/>
        <v>Sí</v>
      </c>
      <c r="J58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84" s="32">
        <f ca="1">IF(Tabla2[[#This Row],[¿cliente deuda abierta?]]="Sí", Tabla2[[#This Row],[Deuda actual]]*Tabla2[[#This Row],[diferencia de días]], "0")</f>
        <v>8431.5</v>
      </c>
      <c r="L58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8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8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84">
        <f t="shared" ca="1" si="107"/>
        <v>2139</v>
      </c>
      <c r="P584">
        <f t="shared" ca="1" si="108"/>
        <v>101519.02</v>
      </c>
      <c r="Q584">
        <f t="shared" ca="1" si="109"/>
        <v>4</v>
      </c>
      <c r="R584">
        <f ca="1">((Tabla2[[#This Row],[Fantasma Comunicación]]+1)/(Tabla2[[#This Row],[Fantasma Comunicación]]+RANDBETWEEN(0,5)+2))-0.5</f>
        <v>0.33333333333333337</v>
      </c>
      <c r="S584" s="51">
        <f ca="1">1+MAX(0,Tabla2[[#This Row],[Deuda actual]]/Tabla2[[#This Row],[Liquidez]]+Tabla2[[#This Row],[Liquidez]]/(Tabla2[[#This Row],[Activos]]+Tabla2[[#This Row],[Liquidez]])+Tabla2[[#This Row],[Comunicación]])</f>
        <v>1.635525297236837</v>
      </c>
      <c r="T584">
        <f ca="1">Tabla2[[#This Row],[Deuda actual]]*EXP(Tabla2[[#This Row],[Ki]]*Tabla2[[#This Row],[diferencia de días]])*(1+Tabla2[[#This Row],[Hg]])</f>
        <v>634.13559617622411</v>
      </c>
    </row>
    <row r="585" spans="1:20" ht="14.5" x14ac:dyDescent="0.35">
      <c r="A585" t="e">
        <f t="shared" si="99"/>
        <v>#VALUE!</v>
      </c>
      <c r="B585" s="21">
        <f t="shared" ca="1" si="100"/>
        <v>46124</v>
      </c>
      <c r="C585" s="21">
        <f t="shared" ca="1" si="101"/>
        <v>46157</v>
      </c>
      <c r="D585">
        <f t="shared" ca="1" si="102"/>
        <v>4</v>
      </c>
      <c r="E585">
        <f t="shared" ca="1" si="103"/>
        <v>0.70749150769820768</v>
      </c>
      <c r="F585" s="47">
        <f t="shared" ca="1" si="104"/>
        <v>461.69</v>
      </c>
      <c r="G585" s="32" t="str">
        <f t="shared" ca="1" si="105"/>
        <v>hipotecario</v>
      </c>
      <c r="H58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85" t="str">
        <f t="shared" ca="1" si="106"/>
        <v>No</v>
      </c>
      <c r="J58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165000.7249306099</v>
      </c>
      <c r="K585" s="32" t="str">
        <f ca="1">IF(Tabla2[[#This Row],[¿cliente deuda abierta?]]="Sí", Tabla2[[#This Row],[Deuda actual]]*Tabla2[[#This Row],[diferencia de días]], "0")</f>
        <v>0</v>
      </c>
      <c r="L58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8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58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585">
        <f t="shared" ca="1" si="107"/>
        <v>1764.82</v>
      </c>
      <c r="P585">
        <f t="shared" ca="1" si="108"/>
        <v>197044.96</v>
      </c>
      <c r="Q585">
        <f t="shared" ca="1" si="109"/>
        <v>5</v>
      </c>
      <c r="R585">
        <f ca="1">((Tabla2[[#This Row],[Fantasma Comunicación]]+1)/(Tabla2[[#This Row],[Fantasma Comunicación]]+RANDBETWEEN(0,5)+2))-0.5</f>
        <v>4.5454545454545414E-2</v>
      </c>
      <c r="S585" s="51">
        <f ca="1">1+MAX(0,Tabla2[[#This Row],[Deuda actual]]/Tabla2[[#This Row],[Liquidez]]+Tabla2[[#This Row],[Liquidez]]/(Tabla2[[#This Row],[Activos]]+Tabla2[[#This Row],[Liquidez]])+Tabla2[[#This Row],[Comunicación]])</f>
        <v>1.3159388889914523</v>
      </c>
      <c r="T585">
        <f ca="1">Tabla2[[#This Row],[Deuda actual]]*EXP(Tabla2[[#This Row],[Ki]]*Tabla2[[#This Row],[diferencia de días]])*(1+Tabla2[[#This Row],[Hg]])</f>
        <v>369.64759982416433</v>
      </c>
    </row>
    <row r="586" spans="1:20" ht="14.5" x14ac:dyDescent="0.35">
      <c r="A586" t="e">
        <f t="shared" si="99"/>
        <v>#VALUE!</v>
      </c>
      <c r="B586" s="21">
        <f t="shared" ca="1" si="100"/>
        <v>46131</v>
      </c>
      <c r="C586" s="21">
        <f t="shared" ca="1" si="101"/>
        <v>46157</v>
      </c>
      <c r="D586">
        <f t="shared" ca="1" si="102"/>
        <v>14</v>
      </c>
      <c r="E586">
        <f t="shared" ca="1" si="103"/>
        <v>0.6481288471553377</v>
      </c>
      <c r="F586" s="47">
        <f t="shared" ca="1" si="104"/>
        <v>32.85</v>
      </c>
      <c r="G586" s="32" t="str">
        <f t="shared" ca="1" si="105"/>
        <v>hipotecario</v>
      </c>
      <c r="H58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86" t="str">
        <f t="shared" ca="1" si="106"/>
        <v>Sí</v>
      </c>
      <c r="J58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86" s="32">
        <f ca="1">IF(Tabla2[[#This Row],[¿cliente deuda abierta?]]="Sí", Tabla2[[#This Row],[Deuda actual]]*Tabla2[[#This Row],[diferencia de días]], "0")</f>
        <v>459.90000000000003</v>
      </c>
      <c r="L58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8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8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86">
        <f t="shared" ca="1" si="107"/>
        <v>1569.63</v>
      </c>
      <c r="P586">
        <f t="shared" ca="1" si="108"/>
        <v>104529.13</v>
      </c>
      <c r="Q586">
        <f t="shared" ca="1" si="109"/>
        <v>4</v>
      </c>
      <c r="R586">
        <f ca="1">((Tabla2[[#This Row],[Fantasma Comunicación]]+1)/(Tabla2[[#This Row],[Fantasma Comunicación]]+RANDBETWEEN(0,5)+2))-0.5</f>
        <v>0.33333333333333337</v>
      </c>
      <c r="S586" s="51">
        <f ca="1">1+MAX(0,Tabla2[[#This Row],[Deuda actual]]/Tabla2[[#This Row],[Liquidez]]+Tabla2[[#This Row],[Liquidez]]/(Tabla2[[#This Row],[Activos]]+Tabla2[[#This Row],[Liquidez]])+Tabla2[[#This Row],[Comunicación]])</f>
        <v>1.3690558790097356</v>
      </c>
      <c r="T586">
        <f ca="1">Tabla2[[#This Row],[Deuda actual]]*EXP(Tabla2[[#This Row],[Ki]]*Tabla2[[#This Row],[diferencia de días]])*(1+Tabla2[[#This Row],[Hg]])</f>
        <v>34.58921433688495</v>
      </c>
    </row>
    <row r="587" spans="1:20" ht="14.5" x14ac:dyDescent="0.35">
      <c r="A587" t="e">
        <f t="shared" si="99"/>
        <v>#VALUE!</v>
      </c>
      <c r="B587" s="21">
        <f t="shared" ca="1" si="100"/>
        <v>46120</v>
      </c>
      <c r="C587" s="21">
        <f t="shared" ca="1" si="101"/>
        <v>46157</v>
      </c>
      <c r="D587">
        <f t="shared" ca="1" si="102"/>
        <v>56</v>
      </c>
      <c r="E587">
        <f t="shared" ca="1" si="103"/>
        <v>1.4424581521863877E-2</v>
      </c>
      <c r="F587" s="47">
        <f t="shared" ca="1" si="104"/>
        <v>1039.55</v>
      </c>
      <c r="G587" s="32" t="str">
        <f t="shared" ca="1" si="105"/>
        <v>personal</v>
      </c>
      <c r="H58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1.5E-3</v>
      </c>
      <c r="I587" t="str">
        <f t="shared" ca="1" si="106"/>
        <v>Sí</v>
      </c>
      <c r="J58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87" s="32">
        <f ca="1">IF(Tabla2[[#This Row],[¿cliente deuda abierta?]]="Sí", Tabla2[[#This Row],[Deuda actual]]*Tabla2[[#This Row],[diferencia de días]], "0")</f>
        <v>58214.799999999996</v>
      </c>
      <c r="L58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58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87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587">
        <f t="shared" ca="1" si="107"/>
        <v>1956.48</v>
      </c>
      <c r="P587">
        <f t="shared" ca="1" si="108"/>
        <v>169928.27</v>
      </c>
      <c r="Q587">
        <f t="shared" ca="1" si="109"/>
        <v>1</v>
      </c>
      <c r="R587">
        <f ca="1">((Tabla2[[#This Row],[Fantasma Comunicación]]+1)/(Tabla2[[#This Row],[Fantasma Comunicación]]+RANDBETWEEN(0,5)+2))-0.5</f>
        <v>-9.9999999999999978E-2</v>
      </c>
      <c r="S587" s="51">
        <f ca="1">1+MAX(0,Tabla2[[#This Row],[Deuda actual]]/Tabla2[[#This Row],[Liquidez]]+Tabla2[[#This Row],[Liquidez]]/(Tabla2[[#This Row],[Activos]]+Tabla2[[#This Row],[Liquidez]])+Tabla2[[#This Row],[Comunicación]])</f>
        <v>1.4427194014074076</v>
      </c>
      <c r="T587">
        <f ca="1">Tabla2[[#This Row],[Deuda actual]]*EXP(Tabla2[[#This Row],[Ki]]*Tabla2[[#This Row],[diferencia de días]])*(1+Tabla2[[#This Row],[Hg]])</f>
        <v>1243.7090782148616</v>
      </c>
    </row>
    <row r="588" spans="1:20" ht="14.5" x14ac:dyDescent="0.35">
      <c r="A588" t="e">
        <f t="shared" si="99"/>
        <v>#VALUE!</v>
      </c>
      <c r="B588" s="21">
        <f t="shared" ca="1" si="100"/>
        <v>46132</v>
      </c>
      <c r="C588" s="21">
        <f t="shared" ca="1" si="101"/>
        <v>46157</v>
      </c>
      <c r="D588">
        <f t="shared" ca="1" si="102"/>
        <v>37</v>
      </c>
      <c r="E588">
        <f t="shared" ca="1" si="103"/>
        <v>3.1930569688682686E-2</v>
      </c>
      <c r="F588" s="47">
        <f t="shared" ca="1" si="104"/>
        <v>972.67</v>
      </c>
      <c r="G588" s="32" t="str">
        <f t="shared" ca="1" si="105"/>
        <v>hipotecario</v>
      </c>
      <c r="H58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588" t="str">
        <f t="shared" ca="1" si="106"/>
        <v>No</v>
      </c>
      <c r="J58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165001.69194834362</v>
      </c>
      <c r="K588" s="32" t="str">
        <f ca="1">IF(Tabla2[[#This Row],[¿cliente deuda abierta?]]="Sí", Tabla2[[#This Row],[Deuda actual]]*Tabla2[[#This Row],[diferencia de días]], "0")</f>
        <v>0</v>
      </c>
      <c r="L58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8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58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588">
        <f t="shared" ca="1" si="107"/>
        <v>1488.69</v>
      </c>
      <c r="P588">
        <f t="shared" ca="1" si="108"/>
        <v>182461.33</v>
      </c>
      <c r="Q588">
        <f t="shared" ca="1" si="109"/>
        <v>3</v>
      </c>
      <c r="R588">
        <f ca="1">((Tabla2[[#This Row],[Fantasma Comunicación]]+1)/(Tabla2[[#This Row],[Fantasma Comunicación]]+RANDBETWEEN(0,5)+2))-0.5</f>
        <v>0</v>
      </c>
      <c r="S588" s="51">
        <f ca="1">1+MAX(0,Tabla2[[#This Row],[Deuda actual]]/Tabla2[[#This Row],[Liquidez]]+Tabla2[[#This Row],[Liquidez]]/(Tabla2[[#This Row],[Activos]]+Tabla2[[#This Row],[Liquidez]])+Tabla2[[#This Row],[Comunicación]])</f>
        <v>1.661466004640445</v>
      </c>
      <c r="T588">
        <f ca="1">Tabla2[[#This Row],[Deuda actual]]*EXP(Tabla2[[#This Row],[Ki]]*Tabla2[[#This Row],[diferencia de días]])*(1+Tabla2[[#This Row],[Hg]])</f>
        <v>807.46629646292024</v>
      </c>
    </row>
    <row r="589" spans="1:20" ht="14.5" x14ac:dyDescent="0.35">
      <c r="A589" t="e">
        <f t="shared" si="99"/>
        <v>#VALUE!</v>
      </c>
      <c r="B589" s="21">
        <f t="shared" ca="1" si="100"/>
        <v>46138</v>
      </c>
      <c r="C589" s="21">
        <f t="shared" ca="1" si="101"/>
        <v>46157</v>
      </c>
      <c r="D589">
        <f t="shared" ca="1" si="102"/>
        <v>1</v>
      </c>
      <c r="E589">
        <f t="shared" ca="1" si="103"/>
        <v>0.67763707100296211</v>
      </c>
      <c r="F589" s="47">
        <f t="shared" ca="1" si="104"/>
        <v>3970.87</v>
      </c>
      <c r="G589" s="32" t="str">
        <f t="shared" ca="1" si="105"/>
        <v>personal</v>
      </c>
      <c r="H58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89" t="str">
        <f t="shared" ca="1" si="106"/>
        <v>Sí</v>
      </c>
      <c r="J58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89" s="32">
        <f ca="1">IF(Tabla2[[#This Row],[¿cliente deuda abierta?]]="Sí", Tabla2[[#This Row],[Deuda actual]]*Tabla2[[#This Row],[diferencia de días]], "0")</f>
        <v>3970.87</v>
      </c>
      <c r="L58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8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8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89">
        <f t="shared" ca="1" si="107"/>
        <v>1355.81</v>
      </c>
      <c r="P589">
        <f t="shared" ca="1" si="108"/>
        <v>164795.60999999999</v>
      </c>
      <c r="Q589">
        <f t="shared" ca="1" si="109"/>
        <v>1</v>
      </c>
      <c r="R589">
        <f ca="1">((Tabla2[[#This Row],[Fantasma Comunicación]]+1)/(Tabla2[[#This Row],[Fantasma Comunicación]]+RANDBETWEEN(0,5)+2))-0.5</f>
        <v>-9.9999999999999978E-2</v>
      </c>
      <c r="S589" s="51">
        <f ca="1">1+MAX(0,Tabla2[[#This Row],[Deuda actual]]/Tabla2[[#This Row],[Liquidez]]+Tabla2[[#This Row],[Liquidez]]/(Tabla2[[#This Row],[Activos]]+Tabla2[[#This Row],[Liquidez]])+Tabla2[[#This Row],[Comunicación]])</f>
        <v>3.8369406680948646</v>
      </c>
      <c r="T589">
        <f ca="1">Tabla2[[#This Row],[Deuda actual]]*EXP(Tabla2[[#This Row],[Ki]]*Tabla2[[#This Row],[diferencia de días]])*(1+Tabla2[[#This Row],[Hg]])</f>
        <v>4170.2474660938296</v>
      </c>
    </row>
    <row r="590" spans="1:20" ht="14.5" x14ac:dyDescent="0.35">
      <c r="A590" t="e">
        <f t="shared" si="99"/>
        <v>#VALUE!</v>
      </c>
      <c r="B590" s="21">
        <f t="shared" ca="1" si="100"/>
        <v>46121</v>
      </c>
      <c r="C590" s="21">
        <f t="shared" ca="1" si="101"/>
        <v>46157</v>
      </c>
      <c r="D590">
        <f t="shared" ca="1" si="102"/>
        <v>35</v>
      </c>
      <c r="E590">
        <f t="shared" ca="1" si="103"/>
        <v>0.8029610169743856</v>
      </c>
      <c r="F590" s="47">
        <f t="shared" ca="1" si="104"/>
        <v>188.72</v>
      </c>
      <c r="G590" s="32" t="str">
        <f t="shared" ca="1" si="105"/>
        <v>hipotecario</v>
      </c>
      <c r="H59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590" t="str">
        <f t="shared" ca="1" si="106"/>
        <v>Sí</v>
      </c>
      <c r="J59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90" s="32">
        <f ca="1">IF(Tabla2[[#This Row],[¿cliente deuda abierta?]]="Sí", Tabla2[[#This Row],[Deuda actual]]*Tabla2[[#This Row],[diferencia de días]], "0")</f>
        <v>6605.2</v>
      </c>
      <c r="L59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9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9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90">
        <f t="shared" ca="1" si="107"/>
        <v>3272.39</v>
      </c>
      <c r="P590">
        <f t="shared" ca="1" si="108"/>
        <v>141732.85</v>
      </c>
      <c r="Q590">
        <f t="shared" ca="1" si="109"/>
        <v>2</v>
      </c>
      <c r="R590">
        <f ca="1">((Tabla2[[#This Row],[Fantasma Comunicación]]+1)/(Tabla2[[#This Row],[Fantasma Comunicación]]+RANDBETWEEN(0,5)+2))-0.5</f>
        <v>-0.16666666666666669</v>
      </c>
      <c r="S590" s="51">
        <f ca="1">1+MAX(0,Tabla2[[#This Row],[Deuda actual]]/Tabla2[[#This Row],[Liquidez]]+Tabla2[[#This Row],[Liquidez]]/(Tabla2[[#This Row],[Activos]]+Tabla2[[#This Row],[Liquidez]])+Tabla2[[#This Row],[Comunicación]])</f>
        <v>1</v>
      </c>
      <c r="T590">
        <f ca="1">Tabla2[[#This Row],[Deuda actual]]*EXP(Tabla2[[#This Row],[Ki]]*Tabla2[[#This Row],[diferencia de días]])*(1+Tabla2[[#This Row],[Hg]])</f>
        <v>205.21425901689818</v>
      </c>
    </row>
    <row r="591" spans="1:20" ht="14.5" x14ac:dyDescent="0.35">
      <c r="A591" t="e">
        <f t="shared" si="99"/>
        <v>#VALUE!</v>
      </c>
      <c r="B591" s="21">
        <f t="shared" ca="1" si="100"/>
        <v>46083</v>
      </c>
      <c r="C591" s="21">
        <f t="shared" ca="1" si="101"/>
        <v>46157</v>
      </c>
      <c r="D591">
        <f t="shared" ca="1" si="102"/>
        <v>3</v>
      </c>
      <c r="E591">
        <f t="shared" ca="1" si="103"/>
        <v>0.33523771140740921</v>
      </c>
      <c r="F591" s="47">
        <f t="shared" ca="1" si="104"/>
        <v>7316.21</v>
      </c>
      <c r="G591" s="32" t="str">
        <f t="shared" ca="1" si="105"/>
        <v>hipotecario</v>
      </c>
      <c r="H59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91" t="str">
        <f t="shared" ca="1" si="106"/>
        <v>Sí</v>
      </c>
      <c r="J59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91" s="32">
        <f ca="1">IF(Tabla2[[#This Row],[¿cliente deuda abierta?]]="Sí", Tabla2[[#This Row],[Deuda actual]]*Tabla2[[#This Row],[diferencia de días]], "0")</f>
        <v>21948.63</v>
      </c>
      <c r="L59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9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9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91">
        <f t="shared" ca="1" si="107"/>
        <v>993.04</v>
      </c>
      <c r="P591">
        <f t="shared" ca="1" si="108"/>
        <v>155148.53</v>
      </c>
      <c r="Q591">
        <f t="shared" ca="1" si="109"/>
        <v>5</v>
      </c>
      <c r="R591">
        <f ca="1">((Tabla2[[#This Row],[Fantasma Comunicación]]+1)/(Tabla2[[#This Row],[Fantasma Comunicación]]+RANDBETWEEN(0,5)+2))-0.5</f>
        <v>0.16666666666666663</v>
      </c>
      <c r="S591" s="51">
        <f ca="1">1+MAX(0,Tabla2[[#This Row],[Deuda actual]]/Tabla2[[#This Row],[Liquidez]]+Tabla2[[#This Row],[Liquidez]]/(Tabla2[[#This Row],[Activos]]+Tabla2[[#This Row],[Liquidez]])+Tabla2[[#This Row],[Comunicación]])</f>
        <v>8.5405142506036587</v>
      </c>
      <c r="T591">
        <f ca="1">Tabla2[[#This Row],[Deuda actual]]*EXP(Tabla2[[#This Row],[Ki]]*Tabla2[[#This Row],[diferencia de días]])*(1+Tabla2[[#This Row],[Hg]])</f>
        <v>7686.6310953402844</v>
      </c>
    </row>
    <row r="592" spans="1:20" ht="14.5" x14ac:dyDescent="0.35">
      <c r="A592" t="e">
        <f t="shared" si="99"/>
        <v>#VALUE!</v>
      </c>
      <c r="B592" s="21">
        <f t="shared" ca="1" si="100"/>
        <v>46133</v>
      </c>
      <c r="C592" s="21">
        <f t="shared" ca="1" si="101"/>
        <v>46157</v>
      </c>
      <c r="D592">
        <f t="shared" ca="1" si="102"/>
        <v>32</v>
      </c>
      <c r="E592">
        <f t="shared" ca="1" si="103"/>
        <v>0.77297949837524504</v>
      </c>
      <c r="F592" s="47">
        <f t="shared" ca="1" si="104"/>
        <v>3235.74</v>
      </c>
      <c r="G592" s="32" t="str">
        <f t="shared" ca="1" si="105"/>
        <v>personal</v>
      </c>
      <c r="H59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592" t="str">
        <f t="shared" ca="1" si="106"/>
        <v>Sí</v>
      </c>
      <c r="J59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92" s="32">
        <f ca="1">IF(Tabla2[[#This Row],[¿cliente deuda abierta?]]="Sí", Tabla2[[#This Row],[Deuda actual]]*Tabla2[[#This Row],[diferencia de días]], "0")</f>
        <v>103543.67999999999</v>
      </c>
      <c r="L59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59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92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592">
        <f t="shared" ca="1" si="107"/>
        <v>1204.8800000000001</v>
      </c>
      <c r="P592">
        <f t="shared" ca="1" si="108"/>
        <v>104959.36</v>
      </c>
      <c r="Q592">
        <f t="shared" ca="1" si="109"/>
        <v>5</v>
      </c>
      <c r="R592">
        <f ca="1">((Tabla2[[#This Row],[Fantasma Comunicación]]+1)/(Tabla2[[#This Row],[Fantasma Comunicación]]+RANDBETWEEN(0,5)+2))-0.5</f>
        <v>4.5454545454545414E-2</v>
      </c>
      <c r="S592" s="51">
        <f ca="1">1+MAX(0,Tabla2[[#This Row],[Deuda actual]]/Tabla2[[#This Row],[Liquidez]]+Tabla2[[#This Row],[Liquidez]]/(Tabla2[[#This Row],[Activos]]+Tabla2[[#This Row],[Liquidez]])+Tabla2[[#This Row],[Comunicación]])</f>
        <v>3.7423326024056598</v>
      </c>
      <c r="T592">
        <f ca="1">Tabla2[[#This Row],[Deuda actual]]*EXP(Tabla2[[#This Row],[Ki]]*Tabla2[[#This Row],[diferencia de días]])*(1+Tabla2[[#This Row],[Hg]])</f>
        <v>3842.1019215083807</v>
      </c>
    </row>
    <row r="593" spans="1:20" ht="14.5" x14ac:dyDescent="0.35">
      <c r="A593" t="e">
        <f t="shared" si="99"/>
        <v>#VALUE!</v>
      </c>
      <c r="B593" s="21">
        <f t="shared" ca="1" si="100"/>
        <v>46140</v>
      </c>
      <c r="C593" s="21">
        <f t="shared" ca="1" si="101"/>
        <v>46157</v>
      </c>
      <c r="D593">
        <f t="shared" ca="1" si="102"/>
        <v>10</v>
      </c>
      <c r="E593">
        <f t="shared" ca="1" si="103"/>
        <v>0.34675471712774397</v>
      </c>
      <c r="F593" s="47">
        <f t="shared" ca="1" si="104"/>
        <v>1044.06</v>
      </c>
      <c r="G593" s="32" t="str">
        <f t="shared" ca="1" si="105"/>
        <v>personal</v>
      </c>
      <c r="H59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93" t="str">
        <f t="shared" ca="1" si="106"/>
        <v>No</v>
      </c>
      <c r="J59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11999.279647543108</v>
      </c>
      <c r="K593" s="32" t="str">
        <f ca="1">IF(Tabla2[[#This Row],[¿cliente deuda abierta?]]="Sí", Tabla2[[#This Row],[Deuda actual]]*Tabla2[[#This Row],[diferencia de días]], "0")</f>
        <v>0</v>
      </c>
      <c r="L59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9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59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593">
        <f t="shared" ca="1" si="107"/>
        <v>1703.26</v>
      </c>
      <c r="P593">
        <f t="shared" ca="1" si="108"/>
        <v>135381.22</v>
      </c>
      <c r="Q593">
        <f t="shared" ca="1" si="109"/>
        <v>1</v>
      </c>
      <c r="R593">
        <f ca="1">((Tabla2[[#This Row],[Fantasma Comunicación]]+1)/(Tabla2[[#This Row],[Fantasma Comunicación]]+RANDBETWEEN(0,5)+2))-0.5</f>
        <v>-0.2142857142857143</v>
      </c>
      <c r="S593" s="51">
        <f ca="1">1+MAX(0,Tabla2[[#This Row],[Deuda actual]]/Tabla2[[#This Row],[Liquidez]]+Tabla2[[#This Row],[Liquidez]]/(Tabla2[[#This Row],[Activos]]+Tabla2[[#This Row],[Liquidez]])+Tabla2[[#This Row],[Comunicación]])</f>
        <v>1.411116645484003</v>
      </c>
      <c r="T593">
        <f ca="1">Tabla2[[#This Row],[Deuda actual]]*EXP(Tabla2[[#This Row],[Ki]]*Tabla2[[#This Row],[diferencia de días]])*(1+Tabla2[[#This Row],[Hg]])</f>
        <v>941.53518856149856</v>
      </c>
    </row>
    <row r="594" spans="1:20" ht="14.5" x14ac:dyDescent="0.35">
      <c r="A594" t="e">
        <f t="shared" si="99"/>
        <v>#VALUE!</v>
      </c>
      <c r="B594" s="21">
        <f t="shared" ca="1" si="100"/>
        <v>46134</v>
      </c>
      <c r="C594" s="21">
        <f t="shared" ca="1" si="101"/>
        <v>46157</v>
      </c>
      <c r="D594">
        <f t="shared" ca="1" si="102"/>
        <v>1</v>
      </c>
      <c r="E594">
        <f t="shared" ca="1" si="103"/>
        <v>0.92454756022843065</v>
      </c>
      <c r="F594" s="47">
        <f t="shared" ca="1" si="104"/>
        <v>678.8</v>
      </c>
      <c r="G594" s="32" t="str">
        <f t="shared" ca="1" si="105"/>
        <v>personal</v>
      </c>
      <c r="H59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94" t="str">
        <f t="shared" ca="1" si="106"/>
        <v>Sí</v>
      </c>
      <c r="J59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94" s="32">
        <f ca="1">IF(Tabla2[[#This Row],[¿cliente deuda abierta?]]="Sí", Tabla2[[#This Row],[Deuda actual]]*Tabla2[[#This Row],[diferencia de días]], "0")</f>
        <v>678.8</v>
      </c>
      <c r="L59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9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9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94">
        <f t="shared" ca="1" si="107"/>
        <v>2347.9899999999998</v>
      </c>
      <c r="P594">
        <f t="shared" ca="1" si="108"/>
        <v>87838.99</v>
      </c>
      <c r="Q594">
        <f t="shared" ca="1" si="109"/>
        <v>2</v>
      </c>
      <c r="R594">
        <f ca="1">((Tabla2[[#This Row],[Fantasma Comunicación]]+1)/(Tabla2[[#This Row],[Fantasma Comunicación]]+RANDBETWEEN(0,5)+2))-0.5</f>
        <v>9.9999999999999978E-2</v>
      </c>
      <c r="S594" s="51">
        <f ca="1">1+MAX(0,Tabla2[[#This Row],[Deuda actual]]/Tabla2[[#This Row],[Liquidez]]+Tabla2[[#This Row],[Liquidez]]/(Tabla2[[#This Row],[Activos]]+Tabla2[[#This Row],[Liquidez]])+Tabla2[[#This Row],[Comunicación]])</f>
        <v>1.4151330244362446</v>
      </c>
      <c r="T594">
        <f ca="1">Tabla2[[#This Row],[Deuda actual]]*EXP(Tabla2[[#This Row],[Ki]]*Tabla2[[#This Row],[diferencia de días]])*(1+Tabla2[[#This Row],[Hg]])</f>
        <v>712.88256225575049</v>
      </c>
    </row>
    <row r="595" spans="1:20" ht="14.5" x14ac:dyDescent="0.35">
      <c r="A595" t="e">
        <f t="shared" si="99"/>
        <v>#VALUE!</v>
      </c>
      <c r="B595" s="21">
        <f t="shared" ca="1" si="100"/>
        <v>46090</v>
      </c>
      <c r="C595" s="21">
        <f t="shared" ca="1" si="101"/>
        <v>46157</v>
      </c>
      <c r="D595">
        <f t="shared" ca="1" si="102"/>
        <v>2</v>
      </c>
      <c r="E595">
        <f t="shared" ca="1" si="103"/>
        <v>5.8323814209388147E-2</v>
      </c>
      <c r="F595" s="47">
        <f t="shared" ca="1" si="104"/>
        <v>1755.65</v>
      </c>
      <c r="G595" s="32" t="str">
        <f t="shared" ca="1" si="105"/>
        <v>hipotecario</v>
      </c>
      <c r="H59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95" t="str">
        <f t="shared" ca="1" si="106"/>
        <v>Sí</v>
      </c>
      <c r="J59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95" s="32">
        <f ca="1">IF(Tabla2[[#This Row],[¿cliente deuda abierta?]]="Sí", Tabla2[[#This Row],[Deuda actual]]*Tabla2[[#This Row],[diferencia de días]], "0")</f>
        <v>3511.3</v>
      </c>
      <c r="L59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9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9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95">
        <f t="shared" ca="1" si="107"/>
        <v>1495.61</v>
      </c>
      <c r="P595">
        <f t="shared" ca="1" si="108"/>
        <v>128011.5</v>
      </c>
      <c r="Q595">
        <f t="shared" ca="1" si="109"/>
        <v>2</v>
      </c>
      <c r="R595">
        <f ca="1">((Tabla2[[#This Row],[Fantasma Comunicación]]+1)/(Tabla2[[#This Row],[Fantasma Comunicación]]+RANDBETWEEN(0,5)+2))-0.5</f>
        <v>-0.125</v>
      </c>
      <c r="S595" s="51">
        <f ca="1">1+MAX(0,Tabla2[[#This Row],[Deuda actual]]/Tabla2[[#This Row],[Liquidez]]+Tabla2[[#This Row],[Liquidez]]/(Tabla2[[#This Row],[Activos]]+Tabla2[[#This Row],[Liquidez]])+Tabla2[[#This Row],[Comunicación]])</f>
        <v>2.060417334103315</v>
      </c>
      <c r="T595">
        <f ca="1">Tabla2[[#This Row],[Deuda actual]]*EXP(Tabla2[[#This Row],[Ki]]*Tabla2[[#This Row],[diferencia de días]])*(1+Tabla2[[#This Row],[Hg]])</f>
        <v>1844.1700204942656</v>
      </c>
    </row>
    <row r="596" spans="1:20" ht="14.5" x14ac:dyDescent="0.35">
      <c r="A596" t="e">
        <f t="shared" si="99"/>
        <v>#VALUE!</v>
      </c>
      <c r="B596" s="21">
        <f t="shared" ca="1" si="100"/>
        <v>46084</v>
      </c>
      <c r="C596" s="21">
        <f t="shared" ca="1" si="101"/>
        <v>46157</v>
      </c>
      <c r="D596">
        <f t="shared" ca="1" si="102"/>
        <v>24</v>
      </c>
      <c r="E596">
        <f t="shared" ca="1" si="103"/>
        <v>0.30136760268072882</v>
      </c>
      <c r="F596" s="47">
        <f t="shared" ca="1" si="104"/>
        <v>19.43</v>
      </c>
      <c r="G596" s="32" t="str">
        <f t="shared" ca="1" si="105"/>
        <v>personal</v>
      </c>
      <c r="H59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596" t="str">
        <f t="shared" ca="1" si="106"/>
        <v>No</v>
      </c>
      <c r="J59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11999.995715532619</v>
      </c>
      <c r="K596" s="32" t="str">
        <f ca="1">IF(Tabla2[[#This Row],[¿cliente deuda abierta?]]="Sí", Tabla2[[#This Row],[Deuda actual]]*Tabla2[[#This Row],[diferencia de días]], "0")</f>
        <v>0</v>
      </c>
      <c r="L59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9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59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596">
        <f t="shared" ca="1" si="107"/>
        <v>1222.18</v>
      </c>
      <c r="P596">
        <f t="shared" ca="1" si="108"/>
        <v>388434.47</v>
      </c>
      <c r="Q596">
        <f t="shared" ca="1" si="109"/>
        <v>3</v>
      </c>
      <c r="R596">
        <f ca="1">((Tabla2[[#This Row],[Fantasma Comunicación]]+1)/(Tabla2[[#This Row],[Fantasma Comunicación]]+RANDBETWEEN(0,5)+2))-0.5</f>
        <v>0.30000000000000004</v>
      </c>
      <c r="S596" s="51">
        <f ca="1">1+MAX(0,Tabla2[[#This Row],[Deuda actual]]/Tabla2[[#This Row],[Liquidez]]+Tabla2[[#This Row],[Liquidez]]/(Tabla2[[#This Row],[Activos]]+Tabla2[[#This Row],[Liquidez]])+Tabla2[[#This Row],[Comunicación]])</f>
        <v>1.3190343781724181</v>
      </c>
      <c r="T596">
        <f ca="1">Tabla2[[#This Row],[Deuda actual]]*EXP(Tabla2[[#This Row],[Ki]]*Tabla2[[#This Row],[diferencia de días]])*(1+Tabla2[[#This Row],[Hg]])</f>
        <v>17.655683585723523</v>
      </c>
    </row>
    <row r="597" spans="1:20" ht="14.5" x14ac:dyDescent="0.35">
      <c r="A597" t="e">
        <f t="shared" si="99"/>
        <v>#VALUE!</v>
      </c>
      <c r="B597" s="21">
        <f t="shared" ca="1" si="100"/>
        <v>46139</v>
      </c>
      <c r="C597" s="21">
        <f t="shared" ca="1" si="101"/>
        <v>46157</v>
      </c>
      <c r="D597">
        <f t="shared" ca="1" si="102"/>
        <v>31</v>
      </c>
      <c r="E597">
        <f t="shared" ca="1" si="103"/>
        <v>0.54684299315704199</v>
      </c>
      <c r="F597" s="47">
        <f t="shared" ca="1" si="104"/>
        <v>474.19</v>
      </c>
      <c r="G597" s="32" t="str">
        <f t="shared" ca="1" si="105"/>
        <v>hipotecario</v>
      </c>
      <c r="H59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597" t="str">
        <f t="shared" ca="1" si="106"/>
        <v>Sí</v>
      </c>
      <c r="J59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597" s="32">
        <f ca="1">IF(Tabla2[[#This Row],[¿cliente deuda abierta?]]="Sí", Tabla2[[#This Row],[Deuda actual]]*Tabla2[[#This Row],[diferencia de días]], "0")</f>
        <v>14699.89</v>
      </c>
      <c r="L59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59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59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597">
        <f t="shared" ca="1" si="107"/>
        <v>1453.05</v>
      </c>
      <c r="P597">
        <f t="shared" ca="1" si="108"/>
        <v>68176.14</v>
      </c>
      <c r="Q597">
        <f t="shared" ca="1" si="109"/>
        <v>3</v>
      </c>
      <c r="R597">
        <f ca="1">((Tabla2[[#This Row],[Fantasma Comunicación]]+1)/(Tabla2[[#This Row],[Fantasma Comunicación]]+RANDBETWEEN(0,5)+2))-0.5</f>
        <v>0.30000000000000004</v>
      </c>
      <c r="S597" s="51">
        <f ca="1">1+MAX(0,Tabla2[[#This Row],[Deuda actual]]/Tabla2[[#This Row],[Liquidez]]+Tabla2[[#This Row],[Liquidez]]/(Tabla2[[#This Row],[Activos]]+Tabla2[[#This Row],[Liquidez]])+Tabla2[[#This Row],[Comunicación]])</f>
        <v>1.6472095475253186</v>
      </c>
      <c r="T597">
        <f ca="1">Tabla2[[#This Row],[Deuda actual]]*EXP(Tabla2[[#This Row],[Ki]]*Tabla2[[#This Row],[diferencia de días]])*(1+Tabla2[[#This Row],[Hg]])</f>
        <v>513.57611664234776</v>
      </c>
    </row>
    <row r="598" spans="1:20" ht="14.5" x14ac:dyDescent="0.35">
      <c r="A598" t="e">
        <f t="shared" si="99"/>
        <v>#VALUE!</v>
      </c>
      <c r="B598" s="21">
        <f t="shared" ca="1" si="100"/>
        <v>46136</v>
      </c>
      <c r="C598" s="21">
        <f t="shared" ca="1" si="101"/>
        <v>46157</v>
      </c>
      <c r="D598">
        <f t="shared" ca="1" si="102"/>
        <v>73</v>
      </c>
      <c r="E598">
        <f t="shared" ca="1" si="103"/>
        <v>0.76884276390058348</v>
      </c>
      <c r="F598" s="47">
        <f t="shared" ca="1" si="104"/>
        <v>583.34</v>
      </c>
      <c r="G598" s="32" t="str">
        <f t="shared" ca="1" si="105"/>
        <v>personal</v>
      </c>
      <c r="H59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598" t="str">
        <f t="shared" ca="1" si="106"/>
        <v>No</v>
      </c>
      <c r="J59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12001.460383227835</v>
      </c>
      <c r="K598" s="32" t="str">
        <f ca="1">IF(Tabla2[[#This Row],[¿cliente deuda abierta?]]="Sí", Tabla2[[#This Row],[Deuda actual]]*Tabla2[[#This Row],[diferencia de días]], "0")</f>
        <v>0</v>
      </c>
      <c r="L59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9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59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598">
        <f t="shared" ca="1" si="107"/>
        <v>1260.56</v>
      </c>
      <c r="P598">
        <f t="shared" ca="1" si="108"/>
        <v>182447.01</v>
      </c>
      <c r="Q598">
        <f t="shared" ca="1" si="109"/>
        <v>4</v>
      </c>
      <c r="R598">
        <f ca="1">((Tabla2[[#This Row],[Fantasma Comunicación]]+1)/(Tabla2[[#This Row],[Fantasma Comunicación]]+RANDBETWEEN(0,5)+2))-0.5</f>
        <v>0.2142857142857143</v>
      </c>
      <c r="S598" s="51">
        <f ca="1">1+MAX(0,Tabla2[[#This Row],[Deuda actual]]/Tabla2[[#This Row],[Liquidez]]+Tabla2[[#This Row],[Liquidez]]/(Tabla2[[#This Row],[Activos]]+Tabla2[[#This Row],[Liquidez]])+Tabla2[[#This Row],[Comunicación]])</f>
        <v>1.6839100709348085</v>
      </c>
      <c r="T598">
        <f ca="1">Tabla2[[#This Row],[Deuda actual]]*EXP(Tabla2[[#This Row],[Ki]]*Tabla2[[#This Row],[diferencia de días]])*(1+Tabla2[[#This Row],[Hg]])</f>
        <v>564.76498626344085</v>
      </c>
    </row>
    <row r="599" spans="1:20" ht="14.5" x14ac:dyDescent="0.35">
      <c r="A599" t="e">
        <f t="shared" si="99"/>
        <v>#VALUE!</v>
      </c>
      <c r="B599" s="21">
        <f t="shared" ca="1" si="100"/>
        <v>46099</v>
      </c>
      <c r="C599" s="21">
        <f t="shared" ca="1" si="101"/>
        <v>46157</v>
      </c>
      <c r="D599">
        <f t="shared" ca="1" si="102"/>
        <v>10</v>
      </c>
      <c r="E599">
        <f t="shared" ca="1" si="103"/>
        <v>8.6324919220691743E-2</v>
      </c>
      <c r="F599" s="47">
        <f t="shared" ca="1" si="104"/>
        <v>740.26</v>
      </c>
      <c r="G599" s="32" t="str">
        <f t="shared" ca="1" si="105"/>
        <v>hipotecario</v>
      </c>
      <c r="H59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599" t="str">
        <f t="shared" ca="1" si="106"/>
        <v>No</v>
      </c>
      <c r="J59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165000.64607903868</v>
      </c>
      <c r="K599" s="32" t="str">
        <f ca="1">IF(Tabla2[[#This Row],[¿cliente deuda abierta?]]="Sí", Tabla2[[#This Row],[Deuda actual]]*Tabla2[[#This Row],[diferencia de días]], "0")</f>
        <v>0</v>
      </c>
      <c r="L59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59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59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599">
        <f t="shared" ca="1" si="107"/>
        <v>1323.29</v>
      </c>
      <c r="P599">
        <f t="shared" ca="1" si="108"/>
        <v>579458.99</v>
      </c>
      <c r="Q599">
        <f t="shared" ca="1" si="109"/>
        <v>5</v>
      </c>
      <c r="R599">
        <f ca="1">((Tabla2[[#This Row],[Fantasma Comunicación]]+1)/(Tabla2[[#This Row],[Fantasma Comunicación]]+RANDBETWEEN(0,5)+2))-0.5</f>
        <v>4.5454545454545414E-2</v>
      </c>
      <c r="S599" s="51">
        <f ca="1">1+MAX(0,Tabla2[[#This Row],[Deuda actual]]/Tabla2[[#This Row],[Liquidez]]+Tabla2[[#This Row],[Liquidez]]/(Tabla2[[#This Row],[Activos]]+Tabla2[[#This Row],[Liquidez]])+Tabla2[[#This Row],[Comunicación]])</f>
        <v>1.6071417532249881</v>
      </c>
      <c r="T599">
        <f ca="1">Tabla2[[#This Row],[Deuda actual]]*EXP(Tabla2[[#This Row],[Ki]]*Tabla2[[#This Row],[diferencia de días]])*(1+Tabla2[[#This Row],[Hg]])</f>
        <v>593.39360120600566</v>
      </c>
    </row>
    <row r="600" spans="1:20" ht="14.5" x14ac:dyDescent="0.35">
      <c r="A600" t="e">
        <f t="shared" si="99"/>
        <v>#VALUE!</v>
      </c>
      <c r="B600" s="21">
        <f t="shared" ca="1" si="100"/>
        <v>46128</v>
      </c>
      <c r="C600" s="21">
        <f t="shared" ca="1" si="101"/>
        <v>46157</v>
      </c>
      <c r="D600">
        <f t="shared" ca="1" si="102"/>
        <v>2</v>
      </c>
      <c r="E600">
        <f t="shared" ca="1" si="103"/>
        <v>0.52103573451837804</v>
      </c>
      <c r="F600" s="47">
        <f t="shared" ca="1" si="104"/>
        <v>10000</v>
      </c>
      <c r="G600" s="32" t="str">
        <f t="shared" ca="1" si="105"/>
        <v>hipotecario</v>
      </c>
      <c r="H60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00" t="str">
        <f t="shared" ca="1" si="106"/>
        <v>Sí</v>
      </c>
      <c r="J60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00" s="32">
        <f ca="1">IF(Tabla2[[#This Row],[¿cliente deuda abierta?]]="Sí", Tabla2[[#This Row],[Deuda actual]]*Tabla2[[#This Row],[diferencia de días]], "0")</f>
        <v>20000</v>
      </c>
      <c r="L60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0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0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00">
        <f t="shared" ca="1" si="107"/>
        <v>1322.31</v>
      </c>
      <c r="P600">
        <f t="shared" ca="1" si="108"/>
        <v>201031.35</v>
      </c>
      <c r="Q600">
        <f t="shared" ca="1" si="109"/>
        <v>5</v>
      </c>
      <c r="R600">
        <f ca="1">((Tabla2[[#This Row],[Fantasma Comunicación]]+1)/(Tabla2[[#This Row],[Fantasma Comunicación]]+RANDBETWEEN(0,5)+2))-0.5</f>
        <v>4.5454545454545414E-2</v>
      </c>
      <c r="S600" s="51">
        <f ca="1">1+MAX(0,Tabla2[[#This Row],[Deuda actual]]/Tabla2[[#This Row],[Liquidez]]+Tabla2[[#This Row],[Liquidez]]/(Tabla2[[#This Row],[Activos]]+Tabla2[[#This Row],[Liquidez]])+Tabla2[[#This Row],[Comunicación]])</f>
        <v>8.6145123539801531</v>
      </c>
      <c r="T600">
        <f ca="1">Tabla2[[#This Row],[Deuda actual]]*EXP(Tabla2[[#This Row],[Ki]]*Tabla2[[#This Row],[diferencia de días]])*(1+Tabla2[[#This Row],[Hg]])</f>
        <v>10504.200840112013</v>
      </c>
    </row>
    <row r="601" spans="1:20" ht="14.5" x14ac:dyDescent="0.35">
      <c r="A601" t="e">
        <f t="shared" si="99"/>
        <v>#VALUE!</v>
      </c>
      <c r="B601" s="21">
        <f t="shared" ca="1" si="100"/>
        <v>46120</v>
      </c>
      <c r="C601" s="21">
        <f t="shared" ca="1" si="101"/>
        <v>46157</v>
      </c>
      <c r="D601">
        <f t="shared" ca="1" si="102"/>
        <v>2</v>
      </c>
      <c r="E601">
        <f t="shared" ca="1" si="103"/>
        <v>4.1243057547910689E-2</v>
      </c>
      <c r="F601" s="47">
        <f t="shared" ca="1" si="104"/>
        <v>10000</v>
      </c>
      <c r="G601" s="32" t="str">
        <f t="shared" ca="1" si="105"/>
        <v>personal</v>
      </c>
      <c r="H60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01" t="str">
        <f t="shared" ca="1" si="106"/>
        <v>Sí</v>
      </c>
      <c r="J60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01" s="32">
        <f ca="1">IF(Tabla2[[#This Row],[¿cliente deuda abierta?]]="Sí", Tabla2[[#This Row],[Deuda actual]]*Tabla2[[#This Row],[diferencia de días]], "0")</f>
        <v>20000</v>
      </c>
      <c r="L60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0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0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01">
        <f t="shared" ca="1" si="107"/>
        <v>1909.36</v>
      </c>
      <c r="P601">
        <f t="shared" ca="1" si="108"/>
        <v>101868.61</v>
      </c>
      <c r="Q601">
        <f t="shared" ca="1" si="109"/>
        <v>0</v>
      </c>
      <c r="R601">
        <f ca="1">((Tabla2[[#This Row],[Fantasma Comunicación]]+1)/(Tabla2[[#This Row],[Fantasma Comunicación]]+RANDBETWEEN(0,5)+2))-0.5</f>
        <v>-0.16666666666666669</v>
      </c>
      <c r="S601" s="51">
        <f ca="1">1+MAX(0,Tabla2[[#This Row],[Deuda actual]]/Tabla2[[#This Row],[Liquidez]]+Tabla2[[#This Row],[Liquidez]]/(Tabla2[[#This Row],[Activos]]+Tabla2[[#This Row],[Liquidez]])+Tabla2[[#This Row],[Comunicación]])</f>
        <v>6.0890888633052898</v>
      </c>
      <c r="T601">
        <f ca="1">Tabla2[[#This Row],[Deuda actual]]*EXP(Tabla2[[#This Row],[Ki]]*Tabla2[[#This Row],[diferencia de días]])*(1+Tabla2[[#This Row],[Hg]])</f>
        <v>10504.200840112013</v>
      </c>
    </row>
    <row r="602" spans="1:20" ht="14.5" x14ac:dyDescent="0.35">
      <c r="A602" t="e">
        <f t="shared" si="99"/>
        <v>#VALUE!</v>
      </c>
      <c r="B602" s="21">
        <f t="shared" ca="1" si="100"/>
        <v>46089</v>
      </c>
      <c r="C602" s="21">
        <f t="shared" ca="1" si="101"/>
        <v>46157</v>
      </c>
      <c r="D602">
        <f t="shared" ca="1" si="102"/>
        <v>7</v>
      </c>
      <c r="E602">
        <f t="shared" ca="1" si="103"/>
        <v>0.94625134500519303</v>
      </c>
      <c r="F602" s="47">
        <f t="shared" ca="1" si="104"/>
        <v>893.49</v>
      </c>
      <c r="G602" s="32" t="str">
        <f t="shared" ca="1" si="105"/>
        <v>personal</v>
      </c>
      <c r="H60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02" t="str">
        <f t="shared" ca="1" si="106"/>
        <v>Sí</v>
      </c>
      <c r="J60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02" s="32">
        <f ca="1">IF(Tabla2[[#This Row],[¿cliente deuda abierta?]]="Sí", Tabla2[[#This Row],[Deuda actual]]*Tabla2[[#This Row],[diferencia de días]], "0")</f>
        <v>6254.43</v>
      </c>
      <c r="L60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0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0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02">
        <f t="shared" ca="1" si="107"/>
        <v>1461.01</v>
      </c>
      <c r="P602">
        <f t="shared" ca="1" si="108"/>
        <v>22113.78</v>
      </c>
      <c r="Q602">
        <f t="shared" ca="1" si="109"/>
        <v>3</v>
      </c>
      <c r="R602">
        <f ca="1">((Tabla2[[#This Row],[Fantasma Comunicación]]+1)/(Tabla2[[#This Row],[Fantasma Comunicación]]+RANDBETWEEN(0,5)+2))-0.5</f>
        <v>-5.555555555555558E-2</v>
      </c>
      <c r="S602" s="51">
        <f ca="1">1+MAX(0,Tabla2[[#This Row],[Deuda actual]]/Tabla2[[#This Row],[Liquidez]]+Tabla2[[#This Row],[Liquidez]]/(Tabla2[[#This Row],[Activos]]+Tabla2[[#This Row],[Liquidez]])+Tabla2[[#This Row],[Comunicación]])</f>
        <v>1.6179742381589008</v>
      </c>
      <c r="T602">
        <f ca="1">Tabla2[[#This Row],[Deuda actual]]*EXP(Tabla2[[#This Row],[Ki]]*Tabla2[[#This Row],[diferencia de días]])*(1+Tabla2[[#This Row],[Hg]])</f>
        <v>939.47885013041412</v>
      </c>
    </row>
    <row r="603" spans="1:20" ht="14.5" x14ac:dyDescent="0.35">
      <c r="A603" t="e">
        <f t="shared" si="99"/>
        <v>#VALUE!</v>
      </c>
      <c r="B603" s="21">
        <f t="shared" ca="1" si="100"/>
        <v>46093</v>
      </c>
      <c r="C603" s="21">
        <f t="shared" ca="1" si="101"/>
        <v>46157</v>
      </c>
      <c r="D603">
        <f t="shared" ca="1" si="102"/>
        <v>3</v>
      </c>
      <c r="E603">
        <f t="shared" ca="1" si="103"/>
        <v>0.33337886060623934</v>
      </c>
      <c r="F603" s="47">
        <f t="shared" ca="1" si="104"/>
        <v>358.87</v>
      </c>
      <c r="G603" s="32" t="str">
        <f t="shared" ca="1" si="105"/>
        <v>hipotecario</v>
      </c>
      <c r="H60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03" t="str">
        <f t="shared" ca="1" si="106"/>
        <v>Sí</v>
      </c>
      <c r="J60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03" s="32">
        <f ca="1">IF(Tabla2[[#This Row],[¿cliente deuda abierta?]]="Sí", Tabla2[[#This Row],[Deuda actual]]*Tabla2[[#This Row],[diferencia de días]], "0")</f>
        <v>1076.6100000000001</v>
      </c>
      <c r="L60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0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0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03">
        <f t="shared" ca="1" si="107"/>
        <v>1327.87</v>
      </c>
      <c r="P603">
        <f t="shared" ca="1" si="108"/>
        <v>53677.69</v>
      </c>
      <c r="Q603">
        <f t="shared" ca="1" si="109"/>
        <v>0</v>
      </c>
      <c r="R603">
        <f ca="1">((Tabla2[[#This Row],[Fantasma Comunicación]]+1)/(Tabla2[[#This Row],[Fantasma Comunicación]]+RANDBETWEEN(0,5)+2))-0.5</f>
        <v>-0.35714285714285715</v>
      </c>
      <c r="S603" s="51">
        <f ca="1">1+MAX(0,Tabla2[[#This Row],[Deuda actual]]/Tabla2[[#This Row],[Liquidez]]+Tabla2[[#This Row],[Liquidez]]/(Tabla2[[#This Row],[Activos]]+Tabla2[[#This Row],[Liquidez]])+Tabla2[[#This Row],[Comunicación]])</f>
        <v>1</v>
      </c>
      <c r="T603">
        <f ca="1">Tabla2[[#This Row],[Deuda actual]]*EXP(Tabla2[[#This Row],[Ki]]*Tabla2[[#This Row],[diferencia de días]])*(1+Tabla2[[#This Row],[Hg]])</f>
        <v>377.03965593999732</v>
      </c>
    </row>
    <row r="604" spans="1:20" ht="14.5" x14ac:dyDescent="0.35">
      <c r="A604" t="e">
        <f t="shared" si="99"/>
        <v>#VALUE!</v>
      </c>
      <c r="B604" s="21">
        <f t="shared" ca="1" si="100"/>
        <v>46092</v>
      </c>
      <c r="C604" s="21">
        <f t="shared" ca="1" si="101"/>
        <v>46157</v>
      </c>
      <c r="D604">
        <f t="shared" ca="1" si="102"/>
        <v>40</v>
      </c>
      <c r="E604">
        <f t="shared" ca="1" si="103"/>
        <v>5.0367267779540481E-2</v>
      </c>
      <c r="F604" s="47">
        <f t="shared" ca="1" si="104"/>
        <v>928.32</v>
      </c>
      <c r="G604" s="32" t="str">
        <f t="shared" ca="1" si="105"/>
        <v>hipotecario</v>
      </c>
      <c r="H60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604" t="str">
        <f t="shared" ca="1" si="106"/>
        <v>No</v>
      </c>
      <c r="J60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165001.09308727109</v>
      </c>
      <c r="K604" s="32" t="str">
        <f ca="1">IF(Tabla2[[#This Row],[¿cliente deuda abierta?]]="Sí", Tabla2[[#This Row],[Deuda actual]]*Tabla2[[#This Row],[diferencia de días]], "0")</f>
        <v>0</v>
      </c>
      <c r="L60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0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60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604">
        <f t="shared" ca="1" si="107"/>
        <v>2305.09</v>
      </c>
      <c r="P604">
        <f t="shared" ca="1" si="108"/>
        <v>418403.08</v>
      </c>
      <c r="Q604">
        <f t="shared" ca="1" si="109"/>
        <v>4</v>
      </c>
      <c r="R604">
        <f ca="1">((Tabla2[[#This Row],[Fantasma Comunicación]]+1)/(Tabla2[[#This Row],[Fantasma Comunicación]]+RANDBETWEEN(0,5)+2))-0.5</f>
        <v>0.33333333333333337</v>
      </c>
      <c r="S604" s="51">
        <f ca="1">1+MAX(0,Tabla2[[#This Row],[Deuda actual]]/Tabla2[[#This Row],[Liquidez]]+Tabla2[[#This Row],[Liquidez]]/(Tabla2[[#This Row],[Activos]]+Tabla2[[#This Row],[Liquidez]])+Tabla2[[#This Row],[Comunicación]])</f>
        <v>1.7415385453357268</v>
      </c>
      <c r="T604">
        <f ca="1">Tabla2[[#This Row],[Deuda actual]]*EXP(Tabla2[[#This Row],[Ki]]*Tabla2[[#This Row],[diferencia de días]])*(1+Tabla2[[#This Row],[Hg]])</f>
        <v>772.96436631862241</v>
      </c>
    </row>
    <row r="605" spans="1:20" ht="14.5" x14ac:dyDescent="0.35">
      <c r="A605" t="e">
        <f t="shared" si="99"/>
        <v>#VALUE!</v>
      </c>
      <c r="B605" s="21">
        <f t="shared" ca="1" si="100"/>
        <v>46120</v>
      </c>
      <c r="C605" s="21">
        <f t="shared" ca="1" si="101"/>
        <v>46157</v>
      </c>
      <c r="D605">
        <f t="shared" ca="1" si="102"/>
        <v>5</v>
      </c>
      <c r="E605">
        <f t="shared" ca="1" si="103"/>
        <v>4.0608696549162548E-2</v>
      </c>
      <c r="F605" s="47">
        <f t="shared" ca="1" si="104"/>
        <v>3868.4</v>
      </c>
      <c r="G605" s="32" t="str">
        <f t="shared" ca="1" si="105"/>
        <v>hipotecario</v>
      </c>
      <c r="H60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05" t="str">
        <f t="shared" ca="1" si="106"/>
        <v>Sí</v>
      </c>
      <c r="J60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05" s="32">
        <f ca="1">IF(Tabla2[[#This Row],[¿cliente deuda abierta?]]="Sí", Tabla2[[#This Row],[Deuda actual]]*Tabla2[[#This Row],[diferencia de días]], "0")</f>
        <v>19342</v>
      </c>
      <c r="L60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0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0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05">
        <f t="shared" ca="1" si="107"/>
        <v>894.11</v>
      </c>
      <c r="P605">
        <f t="shared" ca="1" si="108"/>
        <v>110984.52</v>
      </c>
      <c r="Q605">
        <f t="shared" ca="1" si="109"/>
        <v>4</v>
      </c>
      <c r="R605">
        <f ca="1">((Tabla2[[#This Row],[Fantasma Comunicación]]+1)/(Tabla2[[#This Row],[Fantasma Comunicación]]+RANDBETWEEN(0,5)+2))-0.5</f>
        <v>0.125</v>
      </c>
      <c r="S605" s="51">
        <f ca="1">1+MAX(0,Tabla2[[#This Row],[Deuda actual]]/Tabla2[[#This Row],[Liquidez]]+Tabla2[[#This Row],[Liquidez]]/(Tabla2[[#This Row],[Activos]]+Tabla2[[#This Row],[Liquidez]])+Tabla2[[#This Row],[Comunicación]])</f>
        <v>5.459528788660859</v>
      </c>
      <c r="T605">
        <f ca="1">Tabla2[[#This Row],[Deuda actual]]*EXP(Tabla2[[#This Row],[Ki]]*Tabla2[[#This Row],[diferencia de días]])*(1+Tabla2[[#This Row],[Hg]])</f>
        <v>4065.8838515871398</v>
      </c>
    </row>
    <row r="606" spans="1:20" ht="14.5" x14ac:dyDescent="0.35">
      <c r="A606" t="e">
        <f t="shared" si="99"/>
        <v>#VALUE!</v>
      </c>
      <c r="B606" s="21">
        <f t="shared" ca="1" si="100"/>
        <v>46082</v>
      </c>
      <c r="C606" s="21">
        <f t="shared" ca="1" si="101"/>
        <v>46157</v>
      </c>
      <c r="D606">
        <f t="shared" ca="1" si="102"/>
        <v>1</v>
      </c>
      <c r="E606">
        <f t="shared" ca="1" si="103"/>
        <v>0.8083899075316443</v>
      </c>
      <c r="F606" s="47">
        <f t="shared" ca="1" si="104"/>
        <v>3557.17</v>
      </c>
      <c r="G606" s="32" t="str">
        <f t="shared" ca="1" si="105"/>
        <v>personal</v>
      </c>
      <c r="H60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06" t="str">
        <f t="shared" ca="1" si="106"/>
        <v>Sí</v>
      </c>
      <c r="J60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06" s="32">
        <f ca="1">IF(Tabla2[[#This Row],[¿cliente deuda abierta?]]="Sí", Tabla2[[#This Row],[Deuda actual]]*Tabla2[[#This Row],[diferencia de días]], "0")</f>
        <v>3557.17</v>
      </c>
      <c r="L60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0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0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06">
        <f t="shared" ca="1" si="107"/>
        <v>2022.2</v>
      </c>
      <c r="P606">
        <f t="shared" ca="1" si="108"/>
        <v>305700.2</v>
      </c>
      <c r="Q606">
        <f t="shared" ca="1" si="109"/>
        <v>2</v>
      </c>
      <c r="R606">
        <f ca="1">((Tabla2[[#This Row],[Fantasma Comunicación]]+1)/(Tabla2[[#This Row],[Fantasma Comunicación]]+RANDBETWEEN(0,5)+2))-0.5</f>
        <v>0</v>
      </c>
      <c r="S606" s="51">
        <f ca="1">1+MAX(0,Tabla2[[#This Row],[Deuda actual]]/Tabla2[[#This Row],[Liquidez]]+Tabla2[[#This Row],[Liquidez]]/(Tabla2[[#This Row],[Activos]]+Tabla2[[#This Row],[Liquidez]])+Tabla2[[#This Row],[Comunicación]])</f>
        <v>2.7656309475202141</v>
      </c>
      <c r="T606">
        <f ca="1">Tabla2[[#This Row],[Deuda actual]]*EXP(Tabla2[[#This Row],[Ki]]*Tabla2[[#This Row],[diferencia de días]])*(1+Tabla2[[#This Row],[Hg]])</f>
        <v>3735.7755804055505</v>
      </c>
    </row>
    <row r="607" spans="1:20" ht="14.5" x14ac:dyDescent="0.35">
      <c r="A607" t="e">
        <f t="shared" si="99"/>
        <v>#VALUE!</v>
      </c>
      <c r="B607" s="21">
        <f t="shared" ca="1" si="100"/>
        <v>46109</v>
      </c>
      <c r="C607" s="21">
        <f t="shared" ca="1" si="101"/>
        <v>46157</v>
      </c>
      <c r="D607">
        <f t="shared" ca="1" si="102"/>
        <v>19</v>
      </c>
      <c r="E607">
        <f t="shared" ca="1" si="103"/>
        <v>0.43346824625960889</v>
      </c>
      <c r="F607" s="47">
        <f t="shared" ca="1" si="104"/>
        <v>2558.96</v>
      </c>
      <c r="G607" s="32" t="str">
        <f t="shared" ca="1" si="105"/>
        <v>personal</v>
      </c>
      <c r="H60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607" t="str">
        <f t="shared" ca="1" si="106"/>
        <v>Sí</v>
      </c>
      <c r="J60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07" s="32">
        <f ca="1">IF(Tabla2[[#This Row],[¿cliente deuda abierta?]]="Sí", Tabla2[[#This Row],[Deuda actual]]*Tabla2[[#This Row],[diferencia de días]], "0")</f>
        <v>48620.24</v>
      </c>
      <c r="L60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60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07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607">
        <f t="shared" ca="1" si="107"/>
        <v>1785.68</v>
      </c>
      <c r="P607">
        <f t="shared" ca="1" si="108"/>
        <v>1154995.71</v>
      </c>
      <c r="Q607">
        <f t="shared" ca="1" si="109"/>
        <v>1</v>
      </c>
      <c r="R607">
        <f ca="1">((Tabla2[[#This Row],[Fantasma Comunicación]]+1)/(Tabla2[[#This Row],[Fantasma Comunicación]]+RANDBETWEEN(0,5)+2))-0.5</f>
        <v>0.16666666666666663</v>
      </c>
      <c r="S607" s="51">
        <f ca="1">1+MAX(0,Tabla2[[#This Row],[Deuda actual]]/Tabla2[[#This Row],[Liquidez]]+Tabla2[[#This Row],[Liquidez]]/(Tabla2[[#This Row],[Activos]]+Tabla2[[#This Row],[Liquidez]])+Tabla2[[#This Row],[Comunicación]])</f>
        <v>2.6012554435875308</v>
      </c>
      <c r="T607">
        <f ca="1">Tabla2[[#This Row],[Deuda actual]]*EXP(Tabla2[[#This Row],[Ki]]*Tabla2[[#This Row],[diferencia de días]])*(1+Tabla2[[#This Row],[Hg]])</f>
        <v>2836.3304049755375</v>
      </c>
    </row>
    <row r="608" spans="1:20" ht="14.5" x14ac:dyDescent="0.35">
      <c r="A608" t="e">
        <f t="shared" si="99"/>
        <v>#VALUE!</v>
      </c>
      <c r="B608" s="21">
        <f t="shared" ca="1" si="100"/>
        <v>46094</v>
      </c>
      <c r="C608" s="21">
        <f t="shared" ca="1" si="101"/>
        <v>46157</v>
      </c>
      <c r="D608">
        <f t="shared" ca="1" si="102"/>
        <v>8</v>
      </c>
      <c r="E608">
        <f t="shared" ca="1" si="103"/>
        <v>3.820138479434132E-2</v>
      </c>
      <c r="F608" s="47">
        <f t="shared" ca="1" si="104"/>
        <v>428.42</v>
      </c>
      <c r="G608" s="32" t="str">
        <f t="shared" ca="1" si="105"/>
        <v>personal</v>
      </c>
      <c r="H60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08" t="str">
        <f t="shared" ca="1" si="106"/>
        <v>Sí</v>
      </c>
      <c r="J60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08" s="32">
        <f ca="1">IF(Tabla2[[#This Row],[¿cliente deuda abierta?]]="Sí", Tabla2[[#This Row],[Deuda actual]]*Tabla2[[#This Row],[diferencia de días]], "0")</f>
        <v>3427.36</v>
      </c>
      <c r="L60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0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0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08">
        <f t="shared" ca="1" si="107"/>
        <v>1833.23</v>
      </c>
      <c r="P608">
        <f t="shared" ca="1" si="108"/>
        <v>131356.54</v>
      </c>
      <c r="Q608">
        <f t="shared" ca="1" si="109"/>
        <v>0</v>
      </c>
      <c r="R608">
        <f ca="1">((Tabla2[[#This Row],[Fantasma Comunicación]]+1)/(Tabla2[[#This Row],[Fantasma Comunicación]]+RANDBETWEEN(0,5)+2))-0.5</f>
        <v>-0.35714285714285715</v>
      </c>
      <c r="S608" s="51">
        <f ca="1">1+MAX(0,Tabla2[[#This Row],[Deuda actual]]/Tabla2[[#This Row],[Liquidez]]+Tabla2[[#This Row],[Liquidez]]/(Tabla2[[#This Row],[Activos]]+Tabla2[[#This Row],[Liquidez]])+Tabla2[[#This Row],[Comunicación]])</f>
        <v>1</v>
      </c>
      <c r="T608">
        <f ca="1">Tabla2[[#This Row],[Deuda actual]]*EXP(Tabla2[[#This Row],[Ki]]*Tabla2[[#This Row],[diferencia de días]])*(1+Tabla2[[#This Row],[Hg]])</f>
        <v>450.56132170369432</v>
      </c>
    </row>
    <row r="609" spans="1:20" ht="14.5" x14ac:dyDescent="0.35">
      <c r="A609" t="e">
        <f t="shared" si="99"/>
        <v>#VALUE!</v>
      </c>
      <c r="B609" s="21">
        <f t="shared" ca="1" si="100"/>
        <v>46136</v>
      </c>
      <c r="C609" s="21">
        <f t="shared" ca="1" si="101"/>
        <v>46157</v>
      </c>
      <c r="D609">
        <f t="shared" ca="1" si="102"/>
        <v>5</v>
      </c>
      <c r="E609">
        <f t="shared" ca="1" si="103"/>
        <v>0.34780594102408546</v>
      </c>
      <c r="F609" s="47">
        <f t="shared" ca="1" si="104"/>
        <v>2593.0300000000002</v>
      </c>
      <c r="G609" s="32" t="str">
        <f t="shared" ca="1" si="105"/>
        <v>personal</v>
      </c>
      <c r="H60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09" t="str">
        <f t="shared" ca="1" si="106"/>
        <v>Sí</v>
      </c>
      <c r="J60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09" s="32">
        <f ca="1">IF(Tabla2[[#This Row],[¿cliente deuda abierta?]]="Sí", Tabla2[[#This Row],[Deuda actual]]*Tabla2[[#This Row],[diferencia de días]], "0")</f>
        <v>12965.150000000001</v>
      </c>
      <c r="L60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0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0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09">
        <f t="shared" ca="1" si="107"/>
        <v>1325.75</v>
      </c>
      <c r="P609">
        <f t="shared" ca="1" si="108"/>
        <v>53997.83</v>
      </c>
      <c r="Q609">
        <f t="shared" ca="1" si="109"/>
        <v>2</v>
      </c>
      <c r="R609">
        <f ca="1">((Tabla2[[#This Row],[Fantasma Comunicación]]+1)/(Tabla2[[#This Row],[Fantasma Comunicación]]+RANDBETWEEN(0,5)+2))-0.5</f>
        <v>9.9999999999999978E-2</v>
      </c>
      <c r="S609" s="51">
        <f ca="1">1+MAX(0,Tabla2[[#This Row],[Deuda actual]]/Tabla2[[#This Row],[Liquidez]]+Tabla2[[#This Row],[Liquidez]]/(Tabla2[[#This Row],[Activos]]+Tabla2[[#This Row],[Liquidez]])+Tabla2[[#This Row],[Comunicación]])</f>
        <v>3.0798602235546131</v>
      </c>
      <c r="T609">
        <f ca="1">Tabla2[[#This Row],[Deuda actual]]*EXP(Tabla2[[#This Row],[Ki]]*Tabla2[[#This Row],[diferencia de días]])*(1+Tabla2[[#This Row],[Hg]])</f>
        <v>2725.4055432946443</v>
      </c>
    </row>
    <row r="610" spans="1:20" ht="14.5" x14ac:dyDescent="0.35">
      <c r="A610" t="e">
        <f t="shared" si="99"/>
        <v>#VALUE!</v>
      </c>
      <c r="B610" s="21">
        <f t="shared" ca="1" si="100"/>
        <v>46134</v>
      </c>
      <c r="C610" s="21">
        <f t="shared" ca="1" si="101"/>
        <v>46157</v>
      </c>
      <c r="D610">
        <f t="shared" ca="1" si="102"/>
        <v>6</v>
      </c>
      <c r="E610">
        <f t="shared" ca="1" si="103"/>
        <v>0.51357095907579287</v>
      </c>
      <c r="F610" s="47">
        <f t="shared" ca="1" si="104"/>
        <v>1695.83</v>
      </c>
      <c r="G610" s="32" t="str">
        <f t="shared" ca="1" si="105"/>
        <v>hipotecario</v>
      </c>
      <c r="H61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10" t="str">
        <f t="shared" ca="1" si="106"/>
        <v>Sí</v>
      </c>
      <c r="J61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10" s="32">
        <f ca="1">IF(Tabla2[[#This Row],[¿cliente deuda abierta?]]="Sí", Tabla2[[#This Row],[Deuda actual]]*Tabla2[[#This Row],[diferencia de días]], "0")</f>
        <v>10174.98</v>
      </c>
      <c r="L61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1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1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10">
        <f t="shared" ca="1" si="107"/>
        <v>1802.09</v>
      </c>
      <c r="P610">
        <f t="shared" ca="1" si="108"/>
        <v>239135.75</v>
      </c>
      <c r="Q610">
        <f t="shared" ca="1" si="109"/>
        <v>0</v>
      </c>
      <c r="R610">
        <f ca="1">((Tabla2[[#This Row],[Fantasma Comunicación]]+1)/(Tabla2[[#This Row],[Fantasma Comunicación]]+RANDBETWEEN(0,5)+2))-0.5</f>
        <v>-0.3</v>
      </c>
      <c r="S610" s="51">
        <f ca="1">1+MAX(0,Tabla2[[#This Row],[Deuda actual]]/Tabla2[[#This Row],[Liquidez]]+Tabla2[[#This Row],[Liquidez]]/(Tabla2[[#This Row],[Activos]]+Tabla2[[#This Row],[Liquidez]])+Tabla2[[#This Row],[Comunicación]])</f>
        <v>1.648514612445416</v>
      </c>
      <c r="T610">
        <f ca="1">Tabla2[[#This Row],[Deuda actual]]*EXP(Tabla2[[#This Row],[Ki]]*Tabla2[[#This Row],[diferencia de días]])*(1+Tabla2[[#This Row],[Hg]])</f>
        <v>1782.7595283604528</v>
      </c>
    </row>
    <row r="611" spans="1:20" ht="14.5" x14ac:dyDescent="0.35">
      <c r="A611" t="e">
        <f t="shared" si="99"/>
        <v>#VALUE!</v>
      </c>
      <c r="B611" s="21">
        <f t="shared" ca="1" si="100"/>
        <v>46118</v>
      </c>
      <c r="C611" s="21">
        <f t="shared" ca="1" si="101"/>
        <v>46157</v>
      </c>
      <c r="D611">
        <f t="shared" ca="1" si="102"/>
        <v>7</v>
      </c>
      <c r="E611">
        <f t="shared" ca="1" si="103"/>
        <v>0.64043496307719472</v>
      </c>
      <c r="F611" s="47">
        <f t="shared" ca="1" si="104"/>
        <v>6496.41</v>
      </c>
      <c r="G611" s="32" t="str">
        <f t="shared" ca="1" si="105"/>
        <v>personal</v>
      </c>
      <c r="H61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11" t="str">
        <f t="shared" ca="1" si="106"/>
        <v>Sí</v>
      </c>
      <c r="J61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11" s="32">
        <f ca="1">IF(Tabla2[[#This Row],[¿cliente deuda abierta?]]="Sí", Tabla2[[#This Row],[Deuda actual]]*Tabla2[[#This Row],[diferencia de días]], "0")</f>
        <v>45474.869999999995</v>
      </c>
      <c r="L61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61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11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611">
        <f t="shared" ca="1" si="107"/>
        <v>1472.06</v>
      </c>
      <c r="P611">
        <f t="shared" ca="1" si="108"/>
        <v>378358.48</v>
      </c>
      <c r="Q611">
        <f t="shared" ca="1" si="109"/>
        <v>4</v>
      </c>
      <c r="R611">
        <f ca="1">((Tabla2[[#This Row],[Fantasma Comunicación]]+1)/(Tabla2[[#This Row],[Fantasma Comunicación]]+RANDBETWEEN(0,5)+2))-0.5</f>
        <v>-4.545454545454547E-2</v>
      </c>
      <c r="S611" s="51">
        <f ca="1">1+MAX(0,Tabla2[[#This Row],[Deuda actual]]/Tabla2[[#This Row],[Liquidez]]+Tabla2[[#This Row],[Liquidez]]/(Tabla2[[#This Row],[Activos]]+Tabla2[[#This Row],[Liquidez]])+Tabla2[[#This Row],[Comunicación]])</f>
        <v>5.3715631523100802</v>
      </c>
      <c r="T611">
        <f ca="1">Tabla2[[#This Row],[Deuda actual]]*EXP(Tabla2[[#This Row],[Ki]]*Tabla2[[#This Row],[diferencia de días]])*(1+Tabla2[[#This Row],[Hg]])</f>
        <v>7156.0624777992525</v>
      </c>
    </row>
    <row r="612" spans="1:20" ht="14.5" x14ac:dyDescent="0.35">
      <c r="A612" t="e">
        <f t="shared" si="99"/>
        <v>#VALUE!</v>
      </c>
      <c r="B612" s="21">
        <f t="shared" ca="1" si="100"/>
        <v>46086</v>
      </c>
      <c r="C612" s="21">
        <f t="shared" ca="1" si="101"/>
        <v>46157</v>
      </c>
      <c r="D612">
        <f t="shared" ca="1" si="102"/>
        <v>1</v>
      </c>
      <c r="E612">
        <f t="shared" ca="1" si="103"/>
        <v>0.45213231110700169</v>
      </c>
      <c r="F612" s="47">
        <f t="shared" ca="1" si="104"/>
        <v>703.58</v>
      </c>
      <c r="G612" s="32" t="str">
        <f t="shared" ca="1" si="105"/>
        <v>hipotecario</v>
      </c>
      <c r="H61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12" t="str">
        <f t="shared" ca="1" si="106"/>
        <v>No</v>
      </c>
      <c r="J61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164998.92807878248</v>
      </c>
      <c r="K612" s="32" t="str">
        <f ca="1">IF(Tabla2[[#This Row],[¿cliente deuda abierta?]]="Sí", Tabla2[[#This Row],[Deuda actual]]*Tabla2[[#This Row],[diferencia de días]], "0")</f>
        <v>0</v>
      </c>
      <c r="L61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1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61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612">
        <f t="shared" ca="1" si="107"/>
        <v>1899.82</v>
      </c>
      <c r="P612">
        <f t="shared" ca="1" si="108"/>
        <v>15423.26</v>
      </c>
      <c r="Q612">
        <f t="shared" ca="1" si="109"/>
        <v>2</v>
      </c>
      <c r="R612">
        <f ca="1">((Tabla2[[#This Row],[Fantasma Comunicación]]+1)/(Tabla2[[#This Row],[Fantasma Comunicación]]+RANDBETWEEN(0,5)+2))-0.5</f>
        <v>9.9999999999999978E-2</v>
      </c>
      <c r="S612" s="51">
        <f ca="1">1+MAX(0,Tabla2[[#This Row],[Deuda actual]]/Tabla2[[#This Row],[Liquidez]]+Tabla2[[#This Row],[Liquidez]]/(Tabla2[[#This Row],[Activos]]+Tabla2[[#This Row],[Liquidez]])+Tabla2[[#This Row],[Comunicación]])</f>
        <v>1.580010221981484</v>
      </c>
      <c r="T612">
        <f ca="1">Tabla2[[#This Row],[Deuda actual]]*EXP(Tabla2[[#This Row],[Ki]]*Tabla2[[#This Row],[diferencia de días]])*(1+Tabla2[[#This Row],[Hg]])</f>
        <v>562.97658405803065</v>
      </c>
    </row>
    <row r="613" spans="1:20" ht="14.5" x14ac:dyDescent="0.35">
      <c r="A613" t="e">
        <f t="shared" si="99"/>
        <v>#VALUE!</v>
      </c>
      <c r="B613" s="21">
        <f t="shared" ca="1" si="100"/>
        <v>46109</v>
      </c>
      <c r="C613" s="21">
        <f t="shared" ca="1" si="101"/>
        <v>46157</v>
      </c>
      <c r="D613">
        <f t="shared" ca="1" si="102"/>
        <v>10</v>
      </c>
      <c r="E613">
        <f t="shared" ca="1" si="103"/>
        <v>0.4521062112833788</v>
      </c>
      <c r="F613" s="47">
        <f t="shared" ca="1" si="104"/>
        <v>1560.94</v>
      </c>
      <c r="G613" s="32" t="str">
        <f t="shared" ca="1" si="105"/>
        <v>hipotecario</v>
      </c>
      <c r="H61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13" t="str">
        <f t="shared" ca="1" si="106"/>
        <v>Sí</v>
      </c>
      <c r="J61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13" s="32">
        <f ca="1">IF(Tabla2[[#This Row],[¿cliente deuda abierta?]]="Sí", Tabla2[[#This Row],[Deuda actual]]*Tabla2[[#This Row],[diferencia de días]], "0")</f>
        <v>15609.400000000001</v>
      </c>
      <c r="L61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1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1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13">
        <f t="shared" ca="1" si="107"/>
        <v>1783.99</v>
      </c>
      <c r="P613">
        <f t="shared" ca="1" si="108"/>
        <v>147073.06</v>
      </c>
      <c r="Q613">
        <f t="shared" ca="1" si="109"/>
        <v>0</v>
      </c>
      <c r="R613">
        <f ca="1">((Tabla2[[#This Row],[Fantasma Comunicación]]+1)/(Tabla2[[#This Row],[Fantasma Comunicación]]+RANDBETWEEN(0,5)+2))-0.5</f>
        <v>-0.33333333333333337</v>
      </c>
      <c r="S613" s="51">
        <f ca="1">1+MAX(0,Tabla2[[#This Row],[Deuda actual]]/Tabla2[[#This Row],[Liquidez]]+Tabla2[[#This Row],[Liquidez]]/(Tabla2[[#This Row],[Activos]]+Tabla2[[#This Row],[Liquidez]])+Tabla2[[#This Row],[Comunicación]])</f>
        <v>1.5536225241382748</v>
      </c>
      <c r="T613">
        <f ca="1">Tabla2[[#This Row],[Deuda actual]]*EXP(Tabla2[[#This Row],[Ki]]*Tabla2[[#This Row],[diferencia de días]])*(1+Tabla2[[#This Row],[Hg]])</f>
        <v>1642.2682541604092</v>
      </c>
    </row>
    <row r="614" spans="1:20" ht="14.5" x14ac:dyDescent="0.35">
      <c r="A614" t="e">
        <f t="shared" si="99"/>
        <v>#VALUE!</v>
      </c>
      <c r="B614" s="21">
        <f t="shared" ca="1" si="100"/>
        <v>46124</v>
      </c>
      <c r="C614" s="21">
        <f t="shared" ca="1" si="101"/>
        <v>46157</v>
      </c>
      <c r="D614">
        <f t="shared" ca="1" si="102"/>
        <v>20</v>
      </c>
      <c r="E614">
        <f t="shared" ca="1" si="103"/>
        <v>0.97960406155941682</v>
      </c>
      <c r="F614" s="47">
        <f t="shared" ca="1" si="104"/>
        <v>827.09</v>
      </c>
      <c r="G614" s="32" t="str">
        <f t="shared" ca="1" si="105"/>
        <v>hipotecario</v>
      </c>
      <c r="H61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614" t="str">
        <f t="shared" ca="1" si="106"/>
        <v>No</v>
      </c>
      <c r="J61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165000.99545027397</v>
      </c>
      <c r="K614" s="32" t="str">
        <f ca="1">IF(Tabla2[[#This Row],[¿cliente deuda abierta?]]="Sí", Tabla2[[#This Row],[Deuda actual]]*Tabla2[[#This Row],[diferencia de días]], "0")</f>
        <v>0</v>
      </c>
      <c r="L61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1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61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614">
        <f t="shared" ca="1" si="107"/>
        <v>1478.42</v>
      </c>
      <c r="P614">
        <f t="shared" ca="1" si="108"/>
        <v>24763.33</v>
      </c>
      <c r="Q614">
        <f t="shared" ca="1" si="109"/>
        <v>3</v>
      </c>
      <c r="R614">
        <f ca="1">((Tabla2[[#This Row],[Fantasma Comunicación]]+1)/(Tabla2[[#This Row],[Fantasma Comunicación]]+RANDBETWEEN(0,5)+2))-0.5</f>
        <v>7.1428571428571397E-2</v>
      </c>
      <c r="S614" s="51">
        <f ca="1">1+MAX(0,Tabla2[[#This Row],[Deuda actual]]/Tabla2[[#This Row],[Liquidez]]+Tabla2[[#This Row],[Liquidez]]/(Tabla2[[#This Row],[Activos]]+Tabla2[[#This Row],[Liquidez]])+Tabla2[[#This Row],[Comunicación]])</f>
        <v>1.68720887626432</v>
      </c>
      <c r="T614">
        <f ca="1">Tabla2[[#This Row],[Deuda actual]]*EXP(Tabla2[[#This Row],[Ki]]*Tabla2[[#This Row],[diferencia de días]])*(1+Tabla2[[#This Row],[Hg]])</f>
        <v>666.98660607978366</v>
      </c>
    </row>
    <row r="615" spans="1:20" ht="14.5" x14ac:dyDescent="0.35">
      <c r="A615" t="e">
        <f t="shared" si="99"/>
        <v>#VALUE!</v>
      </c>
      <c r="B615" s="21">
        <f t="shared" ca="1" si="100"/>
        <v>46089</v>
      </c>
      <c r="C615" s="21">
        <f t="shared" ca="1" si="101"/>
        <v>46157</v>
      </c>
      <c r="D615">
        <f t="shared" ca="1" si="102"/>
        <v>8</v>
      </c>
      <c r="E615">
        <f t="shared" ca="1" si="103"/>
        <v>0.42243861195972565</v>
      </c>
      <c r="F615" s="47">
        <f t="shared" ca="1" si="104"/>
        <v>314.93</v>
      </c>
      <c r="G615" s="32" t="str">
        <f t="shared" ca="1" si="105"/>
        <v>hipotecario</v>
      </c>
      <c r="H61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15" t="str">
        <f t="shared" ca="1" si="106"/>
        <v>Sí</v>
      </c>
      <c r="J61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15" s="32">
        <f ca="1">IF(Tabla2[[#This Row],[¿cliente deuda abierta?]]="Sí", Tabla2[[#This Row],[Deuda actual]]*Tabla2[[#This Row],[diferencia de días]], "0")</f>
        <v>2519.44</v>
      </c>
      <c r="L61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1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1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15">
        <f t="shared" ca="1" si="107"/>
        <v>1437.58</v>
      </c>
      <c r="P615">
        <f t="shared" ca="1" si="108"/>
        <v>71162.539999999994</v>
      </c>
      <c r="Q615">
        <f t="shared" ca="1" si="109"/>
        <v>1</v>
      </c>
      <c r="R615">
        <f ca="1">((Tabla2[[#This Row],[Fantasma Comunicación]]+1)/(Tabla2[[#This Row],[Fantasma Comunicación]]+RANDBETWEEN(0,5)+2))-0.5</f>
        <v>-0.2142857142857143</v>
      </c>
      <c r="S615" s="51">
        <f ca="1">1+MAX(0,Tabla2[[#This Row],[Deuda actual]]/Tabla2[[#This Row],[Liquidez]]+Tabla2[[#This Row],[Liquidez]]/(Tabla2[[#This Row],[Activos]]+Tabla2[[#This Row],[Liquidez]])+Tabla2[[#This Row],[Comunicación]])</f>
        <v>1.0245851778291406</v>
      </c>
      <c r="T615">
        <f ca="1">Tabla2[[#This Row],[Deuda actual]]*EXP(Tabla2[[#This Row],[Ki]]*Tabla2[[#This Row],[diferencia de días]])*(1+Tabla2[[#This Row],[Hg]])</f>
        <v>331.20600589175217</v>
      </c>
    </row>
    <row r="616" spans="1:20" ht="14.5" x14ac:dyDescent="0.35">
      <c r="A616" t="e">
        <f t="shared" si="99"/>
        <v>#VALUE!</v>
      </c>
      <c r="B616" s="21">
        <f t="shared" ca="1" si="100"/>
        <v>46115</v>
      </c>
      <c r="C616" s="21">
        <f t="shared" ca="1" si="101"/>
        <v>46157</v>
      </c>
      <c r="D616">
        <f t="shared" ca="1" si="102"/>
        <v>28</v>
      </c>
      <c r="E616">
        <f t="shared" ca="1" si="103"/>
        <v>0.69326205252237361</v>
      </c>
      <c r="F616" s="47">
        <f t="shared" ca="1" si="104"/>
        <v>3798.87</v>
      </c>
      <c r="G616" s="32" t="str">
        <f t="shared" ca="1" si="105"/>
        <v>personal</v>
      </c>
      <c r="H61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616" t="str">
        <f t="shared" ca="1" si="106"/>
        <v>Sí</v>
      </c>
      <c r="J61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16" s="32">
        <f ca="1">IF(Tabla2[[#This Row],[¿cliente deuda abierta?]]="Sí", Tabla2[[#This Row],[Deuda actual]]*Tabla2[[#This Row],[diferencia de días]], "0")</f>
        <v>106368.36</v>
      </c>
      <c r="L61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61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16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616">
        <f t="shared" ca="1" si="107"/>
        <v>1372.63</v>
      </c>
      <c r="P616">
        <f t="shared" ca="1" si="108"/>
        <v>368637.95</v>
      </c>
      <c r="Q616">
        <f t="shared" ca="1" si="109"/>
        <v>5</v>
      </c>
      <c r="R616">
        <f ca="1">((Tabla2[[#This Row],[Fantasma Comunicación]]+1)/(Tabla2[[#This Row],[Fantasma Comunicación]]+RANDBETWEEN(0,5)+2))-0.5</f>
        <v>0.3571428571428571</v>
      </c>
      <c r="S616" s="51">
        <f ca="1">1+MAX(0,Tabla2[[#This Row],[Deuda actual]]/Tabla2[[#This Row],[Liquidez]]+Tabla2[[#This Row],[Liquidez]]/(Tabla2[[#This Row],[Activos]]+Tabla2[[#This Row],[Liquidez]])+Tabla2[[#This Row],[Comunicación]])</f>
        <v>4.1284374172268414</v>
      </c>
      <c r="T616">
        <f ca="1">Tabla2[[#This Row],[Deuda actual]]*EXP(Tabla2[[#This Row],[Ki]]*Tabla2[[#This Row],[diferencia de días]])*(1+Tabla2[[#This Row],[Hg]])</f>
        <v>4417.9049763176617</v>
      </c>
    </row>
    <row r="617" spans="1:20" ht="14.5" x14ac:dyDescent="0.35">
      <c r="A617" t="e">
        <f t="shared" si="99"/>
        <v>#VALUE!</v>
      </c>
      <c r="B617" s="21">
        <f t="shared" ca="1" si="100"/>
        <v>46099</v>
      </c>
      <c r="C617" s="21">
        <f t="shared" ca="1" si="101"/>
        <v>46157</v>
      </c>
      <c r="D617">
        <f t="shared" ca="1" si="102"/>
        <v>62</v>
      </c>
      <c r="E617">
        <f t="shared" ca="1" si="103"/>
        <v>0.60089533595116296</v>
      </c>
      <c r="F617" s="47">
        <f t="shared" ca="1" si="104"/>
        <v>2688.76</v>
      </c>
      <c r="G617" s="32" t="str">
        <f t="shared" ca="1" si="105"/>
        <v>personal</v>
      </c>
      <c r="H61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617" t="str">
        <f t="shared" ca="1" si="106"/>
        <v>Sí</v>
      </c>
      <c r="J61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17" s="32">
        <f ca="1">IF(Tabla2[[#This Row],[¿cliente deuda abierta?]]="Sí", Tabla2[[#This Row],[Deuda actual]]*Tabla2[[#This Row],[diferencia de días]], "0")</f>
        <v>166703.12000000002</v>
      </c>
      <c r="L61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61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17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617">
        <f t="shared" ca="1" si="107"/>
        <v>1755.73</v>
      </c>
      <c r="P617">
        <f t="shared" ca="1" si="108"/>
        <v>56077.57</v>
      </c>
      <c r="Q617">
        <f t="shared" ca="1" si="109"/>
        <v>0</v>
      </c>
      <c r="R617">
        <f ca="1">((Tabla2[[#This Row],[Fantasma Comunicación]]+1)/(Tabla2[[#This Row],[Fantasma Comunicación]]+RANDBETWEEN(0,5)+2))-0.5</f>
        <v>-0.16666666666666669</v>
      </c>
      <c r="S617" s="51">
        <f ca="1">1+MAX(0,Tabla2[[#This Row],[Deuda actual]]/Tabla2[[#This Row],[Liquidez]]+Tabla2[[#This Row],[Liquidez]]/(Tabla2[[#This Row],[Activos]]+Tabla2[[#This Row],[Liquidez]])+Tabla2[[#This Row],[Comunicación]])</f>
        <v>2.3951117737890102</v>
      </c>
      <c r="T617">
        <f ca="1">Tabla2[[#This Row],[Deuda actual]]*EXP(Tabla2[[#This Row],[Ki]]*Tabla2[[#This Row],[diferencia de días]])*(1+Tabla2[[#This Row],[Hg]])</f>
        <v>3289.8503031125902</v>
      </c>
    </row>
    <row r="618" spans="1:20" ht="14.5" x14ac:dyDescent="0.35">
      <c r="A618" t="e">
        <f t="shared" si="99"/>
        <v>#VALUE!</v>
      </c>
      <c r="B618" s="21">
        <f t="shared" ca="1" si="100"/>
        <v>46140</v>
      </c>
      <c r="C618" s="21">
        <f t="shared" ca="1" si="101"/>
        <v>46157</v>
      </c>
      <c r="D618">
        <f t="shared" ca="1" si="102"/>
        <v>3</v>
      </c>
      <c r="E618">
        <f t="shared" ca="1" si="103"/>
        <v>0.61218346262833123</v>
      </c>
      <c r="F618" s="47">
        <f t="shared" ca="1" si="104"/>
        <v>6191.64</v>
      </c>
      <c r="G618" s="32" t="str">
        <f t="shared" ca="1" si="105"/>
        <v>hipotecario</v>
      </c>
      <c r="H61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18" t="str">
        <f t="shared" ca="1" si="106"/>
        <v>No</v>
      </c>
      <c r="J61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164999.60389155676</v>
      </c>
      <c r="K618" s="32" t="str">
        <f ca="1">IF(Tabla2[[#This Row],[¿cliente deuda abierta?]]="Sí", Tabla2[[#This Row],[Deuda actual]]*Tabla2[[#This Row],[diferencia de días]], "0")</f>
        <v>0</v>
      </c>
      <c r="L61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1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61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618">
        <f t="shared" ca="1" si="107"/>
        <v>1742.61</v>
      </c>
      <c r="P618">
        <f t="shared" ca="1" si="108"/>
        <v>84389.49</v>
      </c>
      <c r="Q618">
        <f t="shared" ca="1" si="109"/>
        <v>0</v>
      </c>
      <c r="R618">
        <f ca="1">((Tabla2[[#This Row],[Fantasma Comunicación]]+1)/(Tabla2[[#This Row],[Fantasma Comunicación]]+RANDBETWEEN(0,5)+2))-0.5</f>
        <v>0</v>
      </c>
      <c r="S618" s="51">
        <f ca="1">1+MAX(0,Tabla2[[#This Row],[Deuda actual]]/Tabla2[[#This Row],[Liquidez]]+Tabla2[[#This Row],[Liquidez]]/(Tabla2[[#This Row],[Activos]]+Tabla2[[#This Row],[Liquidez]])+Tabla2[[#This Row],[Comunicación]])</f>
        <v>4.5733159967981027</v>
      </c>
      <c r="T618">
        <f ca="1">Tabla2[[#This Row],[Deuda actual]]*EXP(Tabla2[[#This Row],[Ki]]*Tabla2[[#This Row],[diferencia de días]])*(1+Tabla2[[#This Row],[Hg]])</f>
        <v>4956.2848789745067</v>
      </c>
    </row>
    <row r="619" spans="1:20" ht="14.5" x14ac:dyDescent="0.35">
      <c r="A619" t="e">
        <f t="shared" si="99"/>
        <v>#VALUE!</v>
      </c>
      <c r="B619" s="21">
        <f t="shared" ca="1" si="100"/>
        <v>46126</v>
      </c>
      <c r="C619" s="21">
        <f t="shared" ca="1" si="101"/>
        <v>46157</v>
      </c>
      <c r="D619">
        <f t="shared" ca="1" si="102"/>
        <v>1</v>
      </c>
      <c r="E619">
        <f t="shared" ca="1" si="103"/>
        <v>0.26443893391633511</v>
      </c>
      <c r="F619" s="47">
        <f t="shared" ca="1" si="104"/>
        <v>895.95</v>
      </c>
      <c r="G619" s="32" t="str">
        <f t="shared" ca="1" si="105"/>
        <v>personal</v>
      </c>
      <c r="H61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19" t="str">
        <f t="shared" ca="1" si="106"/>
        <v>Sí</v>
      </c>
      <c r="J61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19" s="32">
        <f ca="1">IF(Tabla2[[#This Row],[¿cliente deuda abierta?]]="Sí", Tabla2[[#This Row],[Deuda actual]]*Tabla2[[#This Row],[diferencia de días]], "0")</f>
        <v>895.95</v>
      </c>
      <c r="L61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1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1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19">
        <f t="shared" ca="1" si="107"/>
        <v>1827.21</v>
      </c>
      <c r="P619">
        <f t="shared" ca="1" si="108"/>
        <v>122737</v>
      </c>
      <c r="Q619">
        <f t="shared" ca="1" si="109"/>
        <v>2</v>
      </c>
      <c r="R619">
        <f ca="1">((Tabla2[[#This Row],[Fantasma Comunicación]]+1)/(Tabla2[[#This Row],[Fantasma Comunicación]]+RANDBETWEEN(0,5)+2))-0.5</f>
        <v>0.25</v>
      </c>
      <c r="S619" s="51">
        <f ca="1">1+MAX(0,Tabla2[[#This Row],[Deuda actual]]/Tabla2[[#This Row],[Liquidez]]+Tabla2[[#This Row],[Liquidez]]/(Tabla2[[#This Row],[Activos]]+Tabla2[[#This Row],[Liquidez]])+Tabla2[[#This Row],[Comunicación]])</f>
        <v>1.7550065482128026</v>
      </c>
      <c r="T619">
        <f ca="1">Tabla2[[#This Row],[Deuda actual]]*EXP(Tabla2[[#This Row],[Ki]]*Tabla2[[#This Row],[diferencia de días]])*(1+Tabla2[[#This Row],[Hg]])</f>
        <v>940.93566831620456</v>
      </c>
    </row>
    <row r="620" spans="1:20" ht="14.5" x14ac:dyDescent="0.35">
      <c r="A620" t="e">
        <f t="shared" si="99"/>
        <v>#VALUE!</v>
      </c>
      <c r="B620" s="21">
        <f t="shared" ca="1" si="100"/>
        <v>46091</v>
      </c>
      <c r="C620" s="21">
        <f t="shared" ca="1" si="101"/>
        <v>46157</v>
      </c>
      <c r="D620">
        <f t="shared" ca="1" si="102"/>
        <v>6</v>
      </c>
      <c r="E620">
        <f t="shared" ca="1" si="103"/>
        <v>0.39737700827371303</v>
      </c>
      <c r="F620" s="47">
        <f t="shared" ca="1" si="104"/>
        <v>274.52</v>
      </c>
      <c r="G620" s="32" t="str">
        <f t="shared" ca="1" si="105"/>
        <v>hipotecario</v>
      </c>
      <c r="H62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20" t="str">
        <f t="shared" ca="1" si="106"/>
        <v>Sí</v>
      </c>
      <c r="J62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20" s="32">
        <f ca="1">IF(Tabla2[[#This Row],[¿cliente deuda abierta?]]="Sí", Tabla2[[#This Row],[Deuda actual]]*Tabla2[[#This Row],[diferencia de días]], "0")</f>
        <v>1647.12</v>
      </c>
      <c r="L62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2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2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20">
        <f t="shared" ca="1" si="107"/>
        <v>1548.92</v>
      </c>
      <c r="P620">
        <f t="shared" ca="1" si="108"/>
        <v>255089.78</v>
      </c>
      <c r="Q620">
        <f t="shared" ca="1" si="109"/>
        <v>1</v>
      </c>
      <c r="R620">
        <f ca="1">((Tabla2[[#This Row],[Fantasma Comunicación]]+1)/(Tabla2[[#This Row],[Fantasma Comunicación]]+RANDBETWEEN(0,5)+2))-0.5</f>
        <v>-0.2142857142857143</v>
      </c>
      <c r="S620" s="51">
        <f ca="1">1+MAX(0,Tabla2[[#This Row],[Deuda actual]]/Tabla2[[#This Row],[Liquidez]]+Tabla2[[#This Row],[Liquidez]]/(Tabla2[[#This Row],[Activos]]+Tabla2[[#This Row],[Liquidez]])+Tabla2[[#This Row],[Comunicación]])</f>
        <v>1</v>
      </c>
      <c r="T620">
        <f ca="1">Tabla2[[#This Row],[Deuda actual]]*EXP(Tabla2[[#This Row],[Ki]]*Tabla2[[#This Row],[diferencia de días]])*(1+Tabla2[[#This Row],[Hg]])</f>
        <v>288.59210282015971</v>
      </c>
    </row>
    <row r="621" spans="1:20" ht="14.5" x14ac:dyDescent="0.35">
      <c r="A621" t="e">
        <f t="shared" si="99"/>
        <v>#VALUE!</v>
      </c>
      <c r="B621" s="21">
        <f t="shared" ca="1" si="100"/>
        <v>46115</v>
      </c>
      <c r="C621" s="21">
        <f t="shared" ca="1" si="101"/>
        <v>46157</v>
      </c>
      <c r="D621">
        <f t="shared" ca="1" si="102"/>
        <v>15</v>
      </c>
      <c r="E621">
        <f t="shared" ca="1" si="103"/>
        <v>0.83418794796519458</v>
      </c>
      <c r="F621" s="47">
        <f t="shared" ca="1" si="104"/>
        <v>988.34</v>
      </c>
      <c r="G621" s="32" t="str">
        <f t="shared" ca="1" si="105"/>
        <v>personal</v>
      </c>
      <c r="H62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621" t="str">
        <f t="shared" ca="1" si="106"/>
        <v>No</v>
      </c>
      <c r="J62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12000.720917236071</v>
      </c>
      <c r="K621" s="32" t="str">
        <f ca="1">IF(Tabla2[[#This Row],[¿cliente deuda abierta?]]="Sí", Tabla2[[#This Row],[Deuda actual]]*Tabla2[[#This Row],[diferencia de días]], "0")</f>
        <v>0</v>
      </c>
      <c r="L62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2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62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621">
        <f t="shared" ca="1" si="107"/>
        <v>1283.27</v>
      </c>
      <c r="P621">
        <f t="shared" ca="1" si="108"/>
        <v>98196.45</v>
      </c>
      <c r="Q621">
        <f t="shared" ca="1" si="109"/>
        <v>4</v>
      </c>
      <c r="R621">
        <f ca="1">((Tabla2[[#This Row],[Fantasma Comunicación]]+1)/(Tabla2[[#This Row],[Fantasma Comunicación]]+RANDBETWEEN(0,5)+2))-0.5</f>
        <v>0</v>
      </c>
      <c r="S621" s="51">
        <f ca="1">1+MAX(0,Tabla2[[#This Row],[Deuda actual]]/Tabla2[[#This Row],[Liquidez]]+Tabla2[[#This Row],[Liquidez]]/(Tabla2[[#This Row],[Activos]]+Tabla2[[#This Row],[Liquidez]])+Tabla2[[#This Row],[Comunicación]])</f>
        <v>1.783072888634659</v>
      </c>
      <c r="T621">
        <f ca="1">Tabla2[[#This Row],[Deuda actual]]*EXP(Tabla2[[#This Row],[Ki]]*Tabla2[[#This Row],[diferencia de días]])*(1+Tabla2[[#This Row],[Hg]])</f>
        <v>894.85907917830707</v>
      </c>
    </row>
    <row r="622" spans="1:20" ht="14.5" x14ac:dyDescent="0.35">
      <c r="A622" t="e">
        <f t="shared" si="99"/>
        <v>#VALUE!</v>
      </c>
      <c r="B622" s="21">
        <f t="shared" ca="1" si="100"/>
        <v>46130</v>
      </c>
      <c r="C622" s="21">
        <f t="shared" ca="1" si="101"/>
        <v>46157</v>
      </c>
      <c r="D622">
        <f t="shared" ca="1" si="102"/>
        <v>14</v>
      </c>
      <c r="E622">
        <f t="shared" ca="1" si="103"/>
        <v>0.77238916271806146</v>
      </c>
      <c r="F622" s="47">
        <f t="shared" ca="1" si="104"/>
        <v>1346.83</v>
      </c>
      <c r="G622" s="32" t="str">
        <f t="shared" ca="1" si="105"/>
        <v>hipotecario</v>
      </c>
      <c r="H62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22" t="str">
        <f t="shared" ca="1" si="106"/>
        <v>Sí</v>
      </c>
      <c r="J62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22" s="32">
        <f ca="1">IF(Tabla2[[#This Row],[¿cliente deuda abierta?]]="Sí", Tabla2[[#This Row],[Deuda actual]]*Tabla2[[#This Row],[diferencia de días]], "0")</f>
        <v>18855.62</v>
      </c>
      <c r="L62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2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2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22">
        <f t="shared" ca="1" si="107"/>
        <v>1383.07</v>
      </c>
      <c r="P622">
        <f t="shared" ca="1" si="108"/>
        <v>97406.399999999994</v>
      </c>
      <c r="Q622">
        <f t="shared" ca="1" si="109"/>
        <v>0</v>
      </c>
      <c r="R622">
        <f ca="1">((Tabla2[[#This Row],[Fantasma Comunicación]]+1)/(Tabla2[[#This Row],[Fantasma Comunicación]]+RANDBETWEEN(0,5)+2))-0.5</f>
        <v>-0.3</v>
      </c>
      <c r="S622" s="51">
        <f ca="1">1+MAX(0,Tabla2[[#This Row],[Deuda actual]]/Tabla2[[#This Row],[Liquidez]]+Tabla2[[#This Row],[Liquidez]]/(Tabla2[[#This Row],[Activos]]+Tabla2[[#This Row],[Liquidez]])+Tabla2[[#This Row],[Comunicación]])</f>
        <v>1.6877975980124447</v>
      </c>
      <c r="T622">
        <f ca="1">Tabla2[[#This Row],[Deuda actual]]*EXP(Tabla2[[#This Row],[Ki]]*Tabla2[[#This Row],[diferencia de días]])*(1+Tabla2[[#This Row],[Hg]])</f>
        <v>1418.136728929886</v>
      </c>
    </row>
    <row r="623" spans="1:20" ht="14.5" x14ac:dyDescent="0.35">
      <c r="A623" t="e">
        <f t="shared" si="99"/>
        <v>#VALUE!</v>
      </c>
      <c r="B623" s="21">
        <f t="shared" ca="1" si="100"/>
        <v>46100</v>
      </c>
      <c r="C623" s="21">
        <f t="shared" ca="1" si="101"/>
        <v>46157</v>
      </c>
      <c r="D623">
        <f t="shared" ca="1" si="102"/>
        <v>25</v>
      </c>
      <c r="E623">
        <f t="shared" ca="1" si="103"/>
        <v>0.67831088043310117</v>
      </c>
      <c r="F623" s="47">
        <f t="shared" ca="1" si="104"/>
        <v>4024.41</v>
      </c>
      <c r="G623" s="32" t="str">
        <f t="shared" ca="1" si="105"/>
        <v>hipotecario</v>
      </c>
      <c r="H62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623" t="str">
        <f t="shared" ca="1" si="106"/>
        <v>Sí</v>
      </c>
      <c r="J62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23" s="32">
        <f ca="1">IF(Tabla2[[#This Row],[¿cliente deuda abierta?]]="Sí", Tabla2[[#This Row],[Deuda actual]]*Tabla2[[#This Row],[diferencia de días]], "0")</f>
        <v>100610.25</v>
      </c>
      <c r="L62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62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23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623">
        <f t="shared" ca="1" si="107"/>
        <v>1392.23</v>
      </c>
      <c r="P623">
        <f t="shared" ca="1" si="108"/>
        <v>357197.01</v>
      </c>
      <c r="Q623">
        <f t="shared" ca="1" si="109"/>
        <v>5</v>
      </c>
      <c r="R623">
        <f ca="1">((Tabla2[[#This Row],[Fantasma Comunicación]]+1)/(Tabla2[[#This Row],[Fantasma Comunicación]]+RANDBETWEEN(0,5)+2))-0.5</f>
        <v>9.9999999999999978E-2</v>
      </c>
      <c r="S623" s="51">
        <f ca="1">1+MAX(0,Tabla2[[#This Row],[Deuda actual]]/Tabla2[[#This Row],[Liquidez]]+Tabla2[[#This Row],[Liquidez]]/(Tabla2[[#This Row],[Activos]]+Tabla2[[#This Row],[Liquidez]])+Tabla2[[#This Row],[Comunicación]])</f>
        <v>3.9945040411591854</v>
      </c>
      <c r="T623">
        <f ca="1">Tabla2[[#This Row],[Deuda actual]]*EXP(Tabla2[[#This Row],[Ki]]*Tabla2[[#This Row],[diferencia de días]])*(1+Tabla2[[#This Row],[Hg]])</f>
        <v>4674.5843918524752</v>
      </c>
    </row>
    <row r="624" spans="1:20" ht="14.5" x14ac:dyDescent="0.35">
      <c r="A624" t="e">
        <f t="shared" si="99"/>
        <v>#VALUE!</v>
      </c>
      <c r="B624" s="21">
        <f t="shared" ca="1" si="100"/>
        <v>46105</v>
      </c>
      <c r="C624" s="21">
        <f t="shared" ca="1" si="101"/>
        <v>46157</v>
      </c>
      <c r="D624">
        <f t="shared" ca="1" si="102"/>
        <v>12</v>
      </c>
      <c r="E624">
        <f t="shared" ca="1" si="103"/>
        <v>0.9148113138068561</v>
      </c>
      <c r="F624" s="47">
        <f t="shared" ca="1" si="104"/>
        <v>6209.69</v>
      </c>
      <c r="G624" s="32" t="str">
        <f t="shared" ca="1" si="105"/>
        <v>hipotecario</v>
      </c>
      <c r="H62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24" t="str">
        <f t="shared" ca="1" si="106"/>
        <v>Sí</v>
      </c>
      <c r="J62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24" s="32">
        <f ca="1">IF(Tabla2[[#This Row],[¿cliente deuda abierta?]]="Sí", Tabla2[[#This Row],[Deuda actual]]*Tabla2[[#This Row],[diferencia de días]], "0")</f>
        <v>74516.28</v>
      </c>
      <c r="L62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62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24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624">
        <f t="shared" ca="1" si="107"/>
        <v>1302.6199999999999</v>
      </c>
      <c r="P624">
        <f t="shared" ca="1" si="108"/>
        <v>87315.88</v>
      </c>
      <c r="Q624">
        <f t="shared" ca="1" si="109"/>
        <v>3</v>
      </c>
      <c r="R624">
        <f ca="1">((Tabla2[[#This Row],[Fantasma Comunicación]]+1)/(Tabla2[[#This Row],[Fantasma Comunicación]]+RANDBETWEEN(0,5)+2))-0.5</f>
        <v>-9.9999999999999978E-2</v>
      </c>
      <c r="S624" s="51">
        <f ca="1">1+MAX(0,Tabla2[[#This Row],[Deuda actual]]/Tabla2[[#This Row],[Liquidez]]+Tabla2[[#This Row],[Liquidez]]/(Tabla2[[#This Row],[Activos]]+Tabla2[[#This Row],[Liquidez]])+Tabla2[[#This Row],[Comunicación]])</f>
        <v>5.6817763095863851</v>
      </c>
      <c r="T624">
        <f ca="1">Tabla2[[#This Row],[Deuda actual]]*EXP(Tabla2[[#This Row],[Ki]]*Tabla2[[#This Row],[diferencia de días]])*(1+Tabla2[[#This Row],[Hg]])</f>
        <v>7158.3028273563505</v>
      </c>
    </row>
    <row r="625" spans="1:20" ht="14.5" x14ac:dyDescent="0.35">
      <c r="A625" t="e">
        <f t="shared" si="99"/>
        <v>#VALUE!</v>
      </c>
      <c r="B625" s="21">
        <f t="shared" ca="1" si="100"/>
        <v>46125</v>
      </c>
      <c r="C625" s="21">
        <f t="shared" ca="1" si="101"/>
        <v>46157</v>
      </c>
      <c r="D625">
        <f t="shared" ca="1" si="102"/>
        <v>13</v>
      </c>
      <c r="E625">
        <f t="shared" ca="1" si="103"/>
        <v>0.45325164153554942</v>
      </c>
      <c r="F625" s="47">
        <f t="shared" ca="1" si="104"/>
        <v>360.74</v>
      </c>
      <c r="G625" s="32" t="str">
        <f t="shared" ca="1" si="105"/>
        <v>personal</v>
      </c>
      <c r="H62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25" t="str">
        <f t="shared" ca="1" si="106"/>
        <v>Sí</v>
      </c>
      <c r="J62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25" s="32">
        <f ca="1">IF(Tabla2[[#This Row],[¿cliente deuda abierta?]]="Sí", Tabla2[[#This Row],[Deuda actual]]*Tabla2[[#This Row],[diferencia de días]], "0")</f>
        <v>4689.62</v>
      </c>
      <c r="L62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2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2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25">
        <f t="shared" ca="1" si="107"/>
        <v>1659.72</v>
      </c>
      <c r="P625">
        <f t="shared" ca="1" si="108"/>
        <v>78755.45</v>
      </c>
      <c r="Q625">
        <f t="shared" ca="1" si="109"/>
        <v>4</v>
      </c>
      <c r="R625">
        <f ca="1">((Tabla2[[#This Row],[Fantasma Comunicación]]+1)/(Tabla2[[#This Row],[Fantasma Comunicación]]+RANDBETWEEN(0,5)+2))-0.5</f>
        <v>0.2142857142857143</v>
      </c>
      <c r="S625" s="51">
        <f ca="1">1+MAX(0,Tabla2[[#This Row],[Deuda actual]]/Tabla2[[#This Row],[Liquidez]]+Tabla2[[#This Row],[Liquidez]]/(Tabla2[[#This Row],[Activos]]+Tabla2[[#This Row],[Liquidez]])+Tabla2[[#This Row],[Comunicación]])</f>
        <v>1.4522750180383703</v>
      </c>
      <c r="T625">
        <f ca="1">Tabla2[[#This Row],[Deuda actual]]*EXP(Tabla2[[#This Row],[Ki]]*Tabla2[[#This Row],[diferencia de días]])*(1+Tabla2[[#This Row],[Hg]])</f>
        <v>379.76310157654575</v>
      </c>
    </row>
    <row r="626" spans="1:20" ht="14.5" x14ac:dyDescent="0.35">
      <c r="A626" t="e">
        <f t="shared" si="99"/>
        <v>#VALUE!</v>
      </c>
      <c r="B626" s="21">
        <f t="shared" ca="1" si="100"/>
        <v>46115</v>
      </c>
      <c r="C626" s="21">
        <f t="shared" ca="1" si="101"/>
        <v>46157</v>
      </c>
      <c r="D626">
        <f t="shared" ca="1" si="102"/>
        <v>13</v>
      </c>
      <c r="E626">
        <f t="shared" ca="1" si="103"/>
        <v>0.9202485308081324</v>
      </c>
      <c r="F626" s="47">
        <f t="shared" ca="1" si="104"/>
        <v>309.36</v>
      </c>
      <c r="G626" s="32" t="str">
        <f t="shared" ca="1" si="105"/>
        <v>personal</v>
      </c>
      <c r="H62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26" t="str">
        <f t="shared" ca="1" si="106"/>
        <v>Sí</v>
      </c>
      <c r="J62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26" s="32">
        <f ca="1">IF(Tabla2[[#This Row],[¿cliente deuda abierta?]]="Sí", Tabla2[[#This Row],[Deuda actual]]*Tabla2[[#This Row],[diferencia de días]], "0")</f>
        <v>4021.6800000000003</v>
      </c>
      <c r="L62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2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2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26">
        <f t="shared" ca="1" si="107"/>
        <v>1178.3699999999999</v>
      </c>
      <c r="P626">
        <f t="shared" ca="1" si="108"/>
        <v>112038.1</v>
      </c>
      <c r="Q626">
        <f t="shared" ca="1" si="109"/>
        <v>1</v>
      </c>
      <c r="R626">
        <f ca="1">((Tabla2[[#This Row],[Fantasma Comunicación]]+1)/(Tabla2[[#This Row],[Fantasma Comunicación]]+RANDBETWEEN(0,5)+2))-0.5</f>
        <v>0.16666666666666663</v>
      </c>
      <c r="S626" s="51">
        <f ca="1">1+MAX(0,Tabla2[[#This Row],[Deuda actual]]/Tabla2[[#This Row],[Liquidez]]+Tabla2[[#This Row],[Liquidez]]/(Tabla2[[#This Row],[Activos]]+Tabla2[[#This Row],[Liquidez]])+Tabla2[[#This Row],[Comunicación]])</f>
        <v>1.4396069231733888</v>
      </c>
      <c r="T626">
        <f ca="1">Tabla2[[#This Row],[Deuda actual]]*EXP(Tabla2[[#This Row],[Ki]]*Tabla2[[#This Row],[diferencia de días]])*(1+Tabla2[[#This Row],[Hg]])</f>
        <v>325.67365167078833</v>
      </c>
    </row>
    <row r="627" spans="1:20" ht="14.5" x14ac:dyDescent="0.35">
      <c r="A627" t="e">
        <f t="shared" si="99"/>
        <v>#VALUE!</v>
      </c>
      <c r="B627" s="21">
        <f t="shared" ca="1" si="100"/>
        <v>46097</v>
      </c>
      <c r="C627" s="21">
        <f t="shared" ca="1" si="101"/>
        <v>46157</v>
      </c>
      <c r="D627">
        <f t="shared" ca="1" si="102"/>
        <v>14</v>
      </c>
      <c r="E627">
        <f t="shared" ca="1" si="103"/>
        <v>0.840196422815498</v>
      </c>
      <c r="F627" s="47">
        <f t="shared" ca="1" si="104"/>
        <v>1604.12</v>
      </c>
      <c r="G627" s="32" t="str">
        <f t="shared" ca="1" si="105"/>
        <v>hipotecario</v>
      </c>
      <c r="H62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27" t="str">
        <f t="shared" ca="1" si="106"/>
        <v>No</v>
      </c>
      <c r="J62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164999.86141748753</v>
      </c>
      <c r="K627" s="32" t="str">
        <f ca="1">IF(Tabla2[[#This Row],[¿cliente deuda abierta?]]="Sí", Tabla2[[#This Row],[Deuda actual]]*Tabla2[[#This Row],[diferencia de días]], "0")</f>
        <v>0</v>
      </c>
      <c r="L62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2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62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627">
        <f t="shared" ca="1" si="107"/>
        <v>1965.14</v>
      </c>
      <c r="P627">
        <f t="shared" ca="1" si="108"/>
        <v>109453.11</v>
      </c>
      <c r="Q627">
        <f t="shared" ca="1" si="109"/>
        <v>4</v>
      </c>
      <c r="R627">
        <f ca="1">((Tabla2[[#This Row],[Fantasma Comunicación]]+1)/(Tabla2[[#This Row],[Fantasma Comunicación]]+RANDBETWEEN(0,5)+2))-0.5</f>
        <v>-4.545454545454547E-2</v>
      </c>
      <c r="S627" s="51">
        <f ca="1">1+MAX(0,Tabla2[[#This Row],[Deuda actual]]/Tabla2[[#This Row],[Liquidez]]+Tabla2[[#This Row],[Liquidez]]/(Tabla2[[#This Row],[Activos]]+Tabla2[[#This Row],[Liquidez]])+Tabla2[[#This Row],[Comunicación]])</f>
        <v>1.7884708581340483</v>
      </c>
      <c r="T627">
        <f ca="1">Tabla2[[#This Row],[Deuda actual]]*EXP(Tabla2[[#This Row],[Ki]]*Tabla2[[#This Row],[diferencia de días]])*(1+Tabla2[[#This Row],[Hg]])</f>
        <v>1286.8942640187606</v>
      </c>
    </row>
    <row r="628" spans="1:20" ht="14.5" x14ac:dyDescent="0.35">
      <c r="A628" t="e">
        <f t="shared" si="99"/>
        <v>#VALUE!</v>
      </c>
      <c r="B628" s="21">
        <f t="shared" ca="1" si="100"/>
        <v>46122</v>
      </c>
      <c r="C628" s="21">
        <f t="shared" ca="1" si="101"/>
        <v>46157</v>
      </c>
      <c r="D628">
        <f t="shared" ca="1" si="102"/>
        <v>20</v>
      </c>
      <c r="E628">
        <f t="shared" ca="1" si="103"/>
        <v>0.50881845930965386</v>
      </c>
      <c r="F628" s="47">
        <f t="shared" ca="1" si="104"/>
        <v>126.9</v>
      </c>
      <c r="G628" s="32" t="str">
        <f t="shared" ca="1" si="105"/>
        <v>hipotecario</v>
      </c>
      <c r="H62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628" t="str">
        <f t="shared" ca="1" si="106"/>
        <v>Sí</v>
      </c>
      <c r="J62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28" s="32">
        <f ca="1">IF(Tabla2[[#This Row],[¿cliente deuda abierta?]]="Sí", Tabla2[[#This Row],[Deuda actual]]*Tabla2[[#This Row],[diferencia de días]], "0")</f>
        <v>2538</v>
      </c>
      <c r="L62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2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2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28">
        <f t="shared" ca="1" si="107"/>
        <v>1304.49</v>
      </c>
      <c r="P628">
        <f t="shared" ca="1" si="108"/>
        <v>67971.149999999994</v>
      </c>
      <c r="Q628">
        <f t="shared" ca="1" si="109"/>
        <v>0</v>
      </c>
      <c r="R628">
        <f ca="1">((Tabla2[[#This Row],[Fantasma Comunicación]]+1)/(Tabla2[[#This Row],[Fantasma Comunicación]]+RANDBETWEEN(0,5)+2))-0.5</f>
        <v>-0.35714285714285715</v>
      </c>
      <c r="S628" s="51">
        <f ca="1">1+MAX(0,Tabla2[[#This Row],[Deuda actual]]/Tabla2[[#This Row],[Liquidez]]+Tabla2[[#This Row],[Liquidez]]/(Tabla2[[#This Row],[Activos]]+Tabla2[[#This Row],[Liquidez]])+Tabla2[[#This Row],[Comunicación]])</f>
        <v>1</v>
      </c>
      <c r="T628">
        <f ca="1">Tabla2[[#This Row],[Deuda actual]]*EXP(Tabla2[[#This Row],[Ki]]*Tabla2[[#This Row],[diferencia de días]])*(1+Tabla2[[#This Row],[Hg]])</f>
        <v>134.31523523301692</v>
      </c>
    </row>
    <row r="629" spans="1:20" ht="14.5" x14ac:dyDescent="0.35">
      <c r="A629" t="e">
        <f t="shared" si="99"/>
        <v>#VALUE!</v>
      </c>
      <c r="B629" s="21">
        <f t="shared" ca="1" si="100"/>
        <v>46123</v>
      </c>
      <c r="C629" s="21">
        <f t="shared" ca="1" si="101"/>
        <v>46157</v>
      </c>
      <c r="D629">
        <f t="shared" ca="1" si="102"/>
        <v>4</v>
      </c>
      <c r="E629">
        <f t="shared" ca="1" si="103"/>
        <v>0.66161285875784359</v>
      </c>
      <c r="F629" s="47">
        <f t="shared" ca="1" si="104"/>
        <v>274.08</v>
      </c>
      <c r="G629" s="32" t="str">
        <f t="shared" ca="1" si="105"/>
        <v>personal</v>
      </c>
      <c r="H62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29" t="str">
        <f t="shared" ca="1" si="106"/>
        <v>Sí</v>
      </c>
      <c r="J62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29" s="32">
        <f ca="1">IF(Tabla2[[#This Row],[¿cliente deuda abierta?]]="Sí", Tabla2[[#This Row],[Deuda actual]]*Tabla2[[#This Row],[diferencia de días]], "0")</f>
        <v>1096.32</v>
      </c>
      <c r="L62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2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2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29">
        <f t="shared" ca="1" si="107"/>
        <v>1582.93</v>
      </c>
      <c r="P629">
        <f t="shared" ca="1" si="108"/>
        <v>49407.360000000001</v>
      </c>
      <c r="Q629">
        <f t="shared" ca="1" si="109"/>
        <v>3</v>
      </c>
      <c r="R629">
        <f ca="1">((Tabla2[[#This Row],[Fantasma Comunicación]]+1)/(Tabla2[[#This Row],[Fantasma Comunicación]]+RANDBETWEEN(0,5)+2))-0.5</f>
        <v>0.16666666666666663</v>
      </c>
      <c r="S629" s="51">
        <f ca="1">1+MAX(0,Tabla2[[#This Row],[Deuda actual]]/Tabla2[[#This Row],[Liquidez]]+Tabla2[[#This Row],[Liquidez]]/(Tabla2[[#This Row],[Activos]]+Tabla2[[#This Row],[Liquidez]])+Tabla2[[#This Row],[Comunicación]])</f>
        <v>1.3708576851733434</v>
      </c>
      <c r="T629">
        <f ca="1">Tabla2[[#This Row],[Deuda actual]]*EXP(Tabla2[[#This Row],[Ki]]*Tabla2[[#This Row],[diferencia de días]])*(1+Tabla2[[#This Row],[Hg]])</f>
        <v>288.01431931544244</v>
      </c>
    </row>
    <row r="630" spans="1:20" ht="14.5" x14ac:dyDescent="0.35">
      <c r="A630" t="e">
        <f t="shared" si="99"/>
        <v>#VALUE!</v>
      </c>
      <c r="B630" s="21">
        <f t="shared" ca="1" si="100"/>
        <v>46143</v>
      </c>
      <c r="C630" s="21">
        <f t="shared" ca="1" si="101"/>
        <v>46157</v>
      </c>
      <c r="D630">
        <f t="shared" ca="1" si="102"/>
        <v>6</v>
      </c>
      <c r="E630">
        <f t="shared" ca="1" si="103"/>
        <v>0.28306525140844552</v>
      </c>
      <c r="F630" s="47">
        <f t="shared" ca="1" si="104"/>
        <v>4368.68</v>
      </c>
      <c r="G630" s="32" t="str">
        <f t="shared" ca="1" si="105"/>
        <v>personal</v>
      </c>
      <c r="H63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30" t="str">
        <f t="shared" ca="1" si="106"/>
        <v>Sí</v>
      </c>
      <c r="J63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30" s="32">
        <f ca="1">IF(Tabla2[[#This Row],[¿cliente deuda abierta?]]="Sí", Tabla2[[#This Row],[Deuda actual]]*Tabla2[[#This Row],[diferencia de días]], "0")</f>
        <v>26212.080000000002</v>
      </c>
      <c r="L63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3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3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30">
        <f t="shared" ca="1" si="107"/>
        <v>2010.79</v>
      </c>
      <c r="P630">
        <f t="shared" ca="1" si="108"/>
        <v>235775.76</v>
      </c>
      <c r="Q630">
        <f t="shared" ca="1" si="109"/>
        <v>4</v>
      </c>
      <c r="R630">
        <f ca="1">((Tabla2[[#This Row],[Fantasma Comunicación]]+1)/(Tabla2[[#This Row],[Fantasma Comunicación]]+RANDBETWEEN(0,5)+2))-0.5</f>
        <v>0.125</v>
      </c>
      <c r="S630" s="51">
        <f ca="1">1+MAX(0,Tabla2[[#This Row],[Deuda actual]]/Tabla2[[#This Row],[Liquidez]]+Tabla2[[#This Row],[Liquidez]]/(Tabla2[[#This Row],[Activos]]+Tabla2[[#This Row],[Liquidez]])+Tabla2[[#This Row],[Comunicación]])</f>
        <v>3.3060750034792199</v>
      </c>
      <c r="T630">
        <f ca="1">Tabla2[[#This Row],[Deuda actual]]*EXP(Tabla2[[#This Row],[Ki]]*Tabla2[[#This Row],[diferencia de días]])*(1+Tabla2[[#This Row],[Hg]])</f>
        <v>4592.6218408435652</v>
      </c>
    </row>
    <row r="631" spans="1:20" ht="14.5" x14ac:dyDescent="0.35">
      <c r="A631" t="e">
        <f t="shared" si="99"/>
        <v>#VALUE!</v>
      </c>
      <c r="B631" s="21">
        <f t="shared" ca="1" si="100"/>
        <v>46084</v>
      </c>
      <c r="C631" s="21">
        <f t="shared" ca="1" si="101"/>
        <v>46157</v>
      </c>
      <c r="D631">
        <f t="shared" ca="1" si="102"/>
        <v>15</v>
      </c>
      <c r="E631">
        <f t="shared" ca="1" si="103"/>
        <v>0.58950839933056609</v>
      </c>
      <c r="F631" s="47">
        <f t="shared" ca="1" si="104"/>
        <v>1589.82</v>
      </c>
      <c r="G631" s="32" t="str">
        <f t="shared" ca="1" si="105"/>
        <v>personal</v>
      </c>
      <c r="H63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631" t="str">
        <f t="shared" ca="1" si="106"/>
        <v>Sí</v>
      </c>
      <c r="J63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31" s="32">
        <f ca="1">IF(Tabla2[[#This Row],[¿cliente deuda abierta?]]="Sí", Tabla2[[#This Row],[Deuda actual]]*Tabla2[[#This Row],[diferencia de días]], "0")</f>
        <v>23847.3</v>
      </c>
      <c r="L63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3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3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31">
        <f t="shared" ca="1" si="107"/>
        <v>2743.83</v>
      </c>
      <c r="P631">
        <f t="shared" ca="1" si="108"/>
        <v>105603.47</v>
      </c>
      <c r="Q631">
        <f t="shared" ca="1" si="109"/>
        <v>3</v>
      </c>
      <c r="R631">
        <f ca="1">((Tabla2[[#This Row],[Fantasma Comunicación]]+1)/(Tabla2[[#This Row],[Fantasma Comunicación]]+RANDBETWEEN(0,5)+2))-0.5</f>
        <v>0</v>
      </c>
      <c r="S631" s="51">
        <f ca="1">1+MAX(0,Tabla2[[#This Row],[Deuda actual]]/Tabla2[[#This Row],[Liquidez]]+Tabla2[[#This Row],[Liquidez]]/(Tabla2[[#This Row],[Activos]]+Tabla2[[#This Row],[Liquidez]])+Tabla2[[#This Row],[Comunicación]])</f>
        <v>1.6047407598979824</v>
      </c>
      <c r="T631">
        <f ca="1">Tabla2[[#This Row],[Deuda actual]]*EXP(Tabla2[[#This Row],[Ki]]*Tabla2[[#This Row],[diferencia de días]])*(1+Tabla2[[#This Row],[Hg]])</f>
        <v>1679.3569737834473</v>
      </c>
    </row>
    <row r="632" spans="1:20" ht="14.5" x14ac:dyDescent="0.35">
      <c r="A632" t="e">
        <f t="shared" si="99"/>
        <v>#VALUE!</v>
      </c>
      <c r="B632" s="21">
        <f t="shared" ca="1" si="100"/>
        <v>46090</v>
      </c>
      <c r="C632" s="21">
        <f t="shared" ca="1" si="101"/>
        <v>46157</v>
      </c>
      <c r="D632">
        <f t="shared" ca="1" si="102"/>
        <v>4</v>
      </c>
      <c r="E632">
        <f t="shared" ca="1" si="103"/>
        <v>0.5795460980383127</v>
      </c>
      <c r="F632" s="47">
        <f t="shared" ca="1" si="104"/>
        <v>1171.06</v>
      </c>
      <c r="G632" s="32" t="str">
        <f t="shared" ca="1" si="105"/>
        <v>personal</v>
      </c>
      <c r="H63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32" t="str">
        <f t="shared" ca="1" si="106"/>
        <v>Sí</v>
      </c>
      <c r="J63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32" s="32">
        <f ca="1">IF(Tabla2[[#This Row],[¿cliente deuda abierta?]]="Sí", Tabla2[[#This Row],[Deuda actual]]*Tabla2[[#This Row],[diferencia de días]], "0")</f>
        <v>4684.24</v>
      </c>
      <c r="L63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3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3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32">
        <f t="shared" ca="1" si="107"/>
        <v>2105.0100000000002</v>
      </c>
      <c r="P632">
        <f t="shared" ca="1" si="108"/>
        <v>366247.47</v>
      </c>
      <c r="Q632">
        <f t="shared" ca="1" si="109"/>
        <v>3</v>
      </c>
      <c r="R632">
        <f ca="1">((Tabla2[[#This Row],[Fantasma Comunicación]]+1)/(Tabla2[[#This Row],[Fantasma Comunicación]]+RANDBETWEEN(0,5)+2))-0.5</f>
        <v>-5.555555555555558E-2</v>
      </c>
      <c r="S632" s="51">
        <f ca="1">1+MAX(0,Tabla2[[#This Row],[Deuda actual]]/Tabla2[[#This Row],[Liquidez]]+Tabla2[[#This Row],[Liquidez]]/(Tabla2[[#This Row],[Activos]]+Tabla2[[#This Row],[Liquidez]])+Tabla2[[#This Row],[Comunicación]])</f>
        <v>1.5064795041892627</v>
      </c>
      <c r="T632">
        <f ca="1">Tabla2[[#This Row],[Deuda actual]]*EXP(Tabla2[[#This Row],[Ki]]*Tabla2[[#This Row],[diferencia de días]])*(1+Tabla2[[#This Row],[Hg]])</f>
        <v>1230.5970839811077</v>
      </c>
    </row>
    <row r="633" spans="1:20" ht="14.5" x14ac:dyDescent="0.35">
      <c r="A633" t="e">
        <f t="shared" si="99"/>
        <v>#VALUE!</v>
      </c>
      <c r="B633" s="21">
        <f t="shared" ca="1" si="100"/>
        <v>46124</v>
      </c>
      <c r="C633" s="21">
        <f t="shared" ca="1" si="101"/>
        <v>46157</v>
      </c>
      <c r="D633">
        <f t="shared" ca="1" si="102"/>
        <v>7</v>
      </c>
      <c r="E633">
        <f t="shared" ca="1" si="103"/>
        <v>0.42307556914924227</v>
      </c>
      <c r="F633" s="47">
        <f t="shared" ca="1" si="104"/>
        <v>7325.49</v>
      </c>
      <c r="G633" s="32" t="str">
        <f t="shared" ca="1" si="105"/>
        <v>hipotecario</v>
      </c>
      <c r="H63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33" t="str">
        <f t="shared" ca="1" si="106"/>
        <v>Sí</v>
      </c>
      <c r="J63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33" s="32">
        <f ca="1">IF(Tabla2[[#This Row],[¿cliente deuda abierta?]]="Sí", Tabla2[[#This Row],[Deuda actual]]*Tabla2[[#This Row],[diferencia de días]], "0")</f>
        <v>51278.43</v>
      </c>
      <c r="L63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63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33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633">
        <f t="shared" ca="1" si="107"/>
        <v>2004.62</v>
      </c>
      <c r="P633">
        <f t="shared" ca="1" si="108"/>
        <v>230819.94</v>
      </c>
      <c r="Q633">
        <f t="shared" ca="1" si="109"/>
        <v>0</v>
      </c>
      <c r="R633">
        <f ca="1">((Tabla2[[#This Row],[Fantasma Comunicación]]+1)/(Tabla2[[#This Row],[Fantasma Comunicación]]+RANDBETWEEN(0,5)+2))-0.5</f>
        <v>-0.25</v>
      </c>
      <c r="S633" s="51">
        <f ca="1">1+MAX(0,Tabla2[[#This Row],[Deuda actual]]/Tabla2[[#This Row],[Liquidez]]+Tabla2[[#This Row],[Liquidez]]/(Tabla2[[#This Row],[Activos]]+Tabla2[[#This Row],[Liquidez]])+Tabla2[[#This Row],[Comunicación]])</f>
        <v>4.412913561091691</v>
      </c>
      <c r="T633">
        <f ca="1">Tabla2[[#This Row],[Deuda actual]]*EXP(Tabla2[[#This Row],[Ki]]*Tabla2[[#This Row],[diferencia de días]])*(1+Tabla2[[#This Row],[Hg]])</f>
        <v>8069.3281551647215</v>
      </c>
    </row>
    <row r="634" spans="1:20" ht="14.5" x14ac:dyDescent="0.35">
      <c r="A634" t="e">
        <f t="shared" si="99"/>
        <v>#VALUE!</v>
      </c>
      <c r="B634" s="21">
        <f t="shared" ca="1" si="100"/>
        <v>46141</v>
      </c>
      <c r="C634" s="21">
        <f t="shared" ca="1" si="101"/>
        <v>46157</v>
      </c>
      <c r="D634">
        <f t="shared" ca="1" si="102"/>
        <v>4</v>
      </c>
      <c r="E634">
        <f t="shared" ca="1" si="103"/>
        <v>3.5802306558240238E-3</v>
      </c>
      <c r="F634" s="47">
        <f t="shared" ca="1" si="104"/>
        <v>612.76</v>
      </c>
      <c r="G634" s="32" t="str">
        <f t="shared" ca="1" si="105"/>
        <v>hipotecario</v>
      </c>
      <c r="H63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34" t="str">
        <f t="shared" ca="1" si="106"/>
        <v>Sí</v>
      </c>
      <c r="J63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34" s="32">
        <f ca="1">IF(Tabla2[[#This Row],[¿cliente deuda abierta?]]="Sí", Tabla2[[#This Row],[Deuda actual]]*Tabla2[[#This Row],[diferencia de días]], "0")</f>
        <v>2451.04</v>
      </c>
      <c r="L63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3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3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34">
        <f t="shared" ca="1" si="107"/>
        <v>2103.87</v>
      </c>
      <c r="P634">
        <f t="shared" ca="1" si="108"/>
        <v>161118.5</v>
      </c>
      <c r="Q634">
        <f t="shared" ca="1" si="109"/>
        <v>0</v>
      </c>
      <c r="R634">
        <f ca="1">((Tabla2[[#This Row],[Fantasma Comunicación]]+1)/(Tabla2[[#This Row],[Fantasma Comunicación]]+RANDBETWEEN(0,5)+2))-0.5</f>
        <v>-0.25</v>
      </c>
      <c r="S634" s="51">
        <f ca="1">1+MAX(0,Tabla2[[#This Row],[Deuda actual]]/Tabla2[[#This Row],[Liquidez]]+Tabla2[[#This Row],[Liquidez]]/(Tabla2[[#This Row],[Activos]]+Tabla2[[#This Row],[Liquidez]])+Tabla2[[#This Row],[Comunicación]])</f>
        <v>1.0541433306642016</v>
      </c>
      <c r="T634">
        <f ca="1">Tabla2[[#This Row],[Deuda actual]]*EXP(Tabla2[[#This Row],[Ki]]*Tabla2[[#This Row],[diferencia de días]])*(1+Tabla2[[#This Row],[Hg]])</f>
        <v>643.91292434227421</v>
      </c>
    </row>
    <row r="635" spans="1:20" ht="14.5" x14ac:dyDescent="0.35">
      <c r="A635" t="e">
        <f t="shared" si="99"/>
        <v>#VALUE!</v>
      </c>
      <c r="B635" s="21">
        <f t="shared" ca="1" si="100"/>
        <v>46121</v>
      </c>
      <c r="C635" s="21">
        <f t="shared" ca="1" si="101"/>
        <v>46157</v>
      </c>
      <c r="D635">
        <f t="shared" ca="1" si="102"/>
        <v>16</v>
      </c>
      <c r="E635">
        <f t="shared" ca="1" si="103"/>
        <v>0.57963509157549753</v>
      </c>
      <c r="F635" s="47">
        <f t="shared" ca="1" si="104"/>
        <v>564.11</v>
      </c>
      <c r="G635" s="32" t="str">
        <f t="shared" ca="1" si="105"/>
        <v>personal</v>
      </c>
      <c r="H63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635" t="str">
        <f t="shared" ca="1" si="106"/>
        <v>Sí</v>
      </c>
      <c r="J63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35" s="32">
        <f ca="1">IF(Tabla2[[#This Row],[¿cliente deuda abierta?]]="Sí", Tabla2[[#This Row],[Deuda actual]]*Tabla2[[#This Row],[diferencia de días]], "0")</f>
        <v>9025.76</v>
      </c>
      <c r="L63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3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3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35">
        <f t="shared" ca="1" si="107"/>
        <v>2403.64</v>
      </c>
      <c r="P635">
        <f t="shared" ca="1" si="108"/>
        <v>52985.26</v>
      </c>
      <c r="Q635">
        <f t="shared" ca="1" si="109"/>
        <v>0</v>
      </c>
      <c r="R635">
        <f ca="1">((Tabla2[[#This Row],[Fantasma Comunicación]]+1)/(Tabla2[[#This Row],[Fantasma Comunicación]]+RANDBETWEEN(0,5)+2))-0.5</f>
        <v>-0.35714285714285715</v>
      </c>
      <c r="S635" s="51">
        <f ca="1">1+MAX(0,Tabla2[[#This Row],[Deuda actual]]/Tabla2[[#This Row],[Liquidez]]+Tabla2[[#This Row],[Liquidez]]/(Tabla2[[#This Row],[Activos]]+Tabla2[[#This Row],[Liquidez]])+Tabla2[[#This Row],[Comunicación]])</f>
        <v>1</v>
      </c>
      <c r="T635">
        <f ca="1">Tabla2[[#This Row],[Deuda actual]]*EXP(Tabla2[[#This Row],[Ki]]*Tabla2[[#This Row],[diferencia de días]])*(1+Tabla2[[#This Row],[Hg]])</f>
        <v>596.11847574155797</v>
      </c>
    </row>
    <row r="636" spans="1:20" ht="14.5" x14ac:dyDescent="0.35">
      <c r="A636" t="e">
        <f t="shared" si="99"/>
        <v>#VALUE!</v>
      </c>
      <c r="B636" s="21">
        <f t="shared" ca="1" si="100"/>
        <v>46136</v>
      </c>
      <c r="C636" s="21">
        <f t="shared" ca="1" si="101"/>
        <v>46157</v>
      </c>
      <c r="D636">
        <f t="shared" ca="1" si="102"/>
        <v>1</v>
      </c>
      <c r="E636">
        <f t="shared" ca="1" si="103"/>
        <v>7.8154939744803364E-3</v>
      </c>
      <c r="F636" s="47">
        <f t="shared" ca="1" si="104"/>
        <v>320.20999999999998</v>
      </c>
      <c r="G636" s="32" t="str">
        <f t="shared" ca="1" si="105"/>
        <v>hipotecario</v>
      </c>
      <c r="H63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36" t="str">
        <f t="shared" ca="1" si="106"/>
        <v>No</v>
      </c>
      <c r="J63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164998.23799645051</v>
      </c>
      <c r="K636" s="32" t="str">
        <f ca="1">IF(Tabla2[[#This Row],[¿cliente deuda abierta?]]="Sí", Tabla2[[#This Row],[Deuda actual]]*Tabla2[[#This Row],[diferencia de días]], "0")</f>
        <v>0</v>
      </c>
      <c r="L63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3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63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636">
        <f t="shared" ca="1" si="107"/>
        <v>2469.2800000000002</v>
      </c>
      <c r="P636">
        <f t="shared" ca="1" si="108"/>
        <v>64614.54</v>
      </c>
      <c r="Q636">
        <f t="shared" ca="1" si="109"/>
        <v>1</v>
      </c>
      <c r="R636">
        <f ca="1">((Tabla2[[#This Row],[Fantasma Comunicación]]+1)/(Tabla2[[#This Row],[Fantasma Comunicación]]+RANDBETWEEN(0,5)+2))-0.5</f>
        <v>-0.16666666666666669</v>
      </c>
      <c r="S636" s="51">
        <f ca="1">1+MAX(0,Tabla2[[#This Row],[Deuda actual]]/Tabla2[[#This Row],[Liquidez]]+Tabla2[[#This Row],[Liquidez]]/(Tabla2[[#This Row],[Activos]]+Tabla2[[#This Row],[Liquidez]])+Tabla2[[#This Row],[Comunicación]])</f>
        <v>1</v>
      </c>
      <c r="T636">
        <f ca="1">Tabla2[[#This Row],[Deuda actual]]*EXP(Tabla2[[#This Row],[Ki]]*Tabla2[[#This Row],[diferencia de días]])*(1+Tabla2[[#This Row],[Hg]])</f>
        <v>256.21923872370161</v>
      </c>
    </row>
    <row r="637" spans="1:20" ht="14.5" x14ac:dyDescent="0.35">
      <c r="A637" t="e">
        <f t="shared" si="99"/>
        <v>#VALUE!</v>
      </c>
      <c r="B637" s="21">
        <f t="shared" ca="1" si="100"/>
        <v>46103</v>
      </c>
      <c r="C637" s="21">
        <f t="shared" ca="1" si="101"/>
        <v>46157</v>
      </c>
      <c r="D637">
        <f t="shared" ca="1" si="102"/>
        <v>0</v>
      </c>
      <c r="E637">
        <f t="shared" ca="1" si="103"/>
        <v>0.67835743882379362</v>
      </c>
      <c r="F637" s="47">
        <f t="shared" ca="1" si="104"/>
        <v>50.41</v>
      </c>
      <c r="G637" s="32" t="str">
        <f t="shared" ca="1" si="105"/>
        <v>personal</v>
      </c>
      <c r="H63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37" t="str">
        <f t="shared" ca="1" si="106"/>
        <v>Sí</v>
      </c>
      <c r="J63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37" s="32">
        <f ca="1">IF(Tabla2[[#This Row],[¿cliente deuda abierta?]]="Sí", Tabla2[[#This Row],[Deuda actual]]*Tabla2[[#This Row],[diferencia de días]], "0")</f>
        <v>0</v>
      </c>
      <c r="L63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3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37" s="32">
        <f ca="1">MAX(Tabla2[[#This Row],[VALORES DE Hg para actuales deudores]:[Valores de HG para deudores cerrados]])*IF(Tabla2[[#This Row],[VALORES DE Hg para actuales deudores]]&gt;Tabla2[[#This Row],[Valores de HG para deudores cerrados]],-1,1)</f>
        <v>0</v>
      </c>
      <c r="O637">
        <f t="shared" ca="1" si="107"/>
        <v>1629.06</v>
      </c>
      <c r="P637">
        <f t="shared" ca="1" si="108"/>
        <v>198666.39</v>
      </c>
      <c r="Q637">
        <f t="shared" ca="1" si="109"/>
        <v>2</v>
      </c>
      <c r="R637">
        <f ca="1">((Tabla2[[#This Row],[Fantasma Comunicación]]+1)/(Tabla2[[#This Row],[Fantasma Comunicación]]+RANDBETWEEN(0,5)+2))-0.5</f>
        <v>-0.125</v>
      </c>
      <c r="S637" s="51">
        <f ca="1">1+MAX(0,Tabla2[[#This Row],[Deuda actual]]/Tabla2[[#This Row],[Liquidez]]+Tabla2[[#This Row],[Liquidez]]/(Tabla2[[#This Row],[Activos]]+Tabla2[[#This Row],[Liquidez]])+Tabla2[[#This Row],[Comunicación]])</f>
        <v>1</v>
      </c>
      <c r="T637">
        <f ca="1">Tabla2[[#This Row],[Deuda actual]]*EXP(Tabla2[[#This Row],[Ki]]*Tabla2[[#This Row],[diferencia de días]])*(1+Tabla2[[#This Row],[Hg]])</f>
        <v>50.41</v>
      </c>
    </row>
    <row r="638" spans="1:20" ht="14.5" x14ac:dyDescent="0.35">
      <c r="A638" t="e">
        <f t="shared" si="99"/>
        <v>#VALUE!</v>
      </c>
      <c r="B638" s="21">
        <f t="shared" ca="1" si="100"/>
        <v>46126</v>
      </c>
      <c r="C638" s="21">
        <f t="shared" ca="1" si="101"/>
        <v>46157</v>
      </c>
      <c r="D638">
        <f t="shared" ca="1" si="102"/>
        <v>67</v>
      </c>
      <c r="E638">
        <f t="shared" ca="1" si="103"/>
        <v>5.7055828720489088E-2</v>
      </c>
      <c r="F638" s="47">
        <f t="shared" ca="1" si="104"/>
        <v>1028.5899999999999</v>
      </c>
      <c r="G638" s="32" t="str">
        <f t="shared" ca="1" si="105"/>
        <v>personal</v>
      </c>
      <c r="H63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638" t="str">
        <f t="shared" ca="1" si="106"/>
        <v>Sí</v>
      </c>
      <c r="J63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38" s="32">
        <f ca="1">IF(Tabla2[[#This Row],[¿cliente deuda abierta?]]="Sí", Tabla2[[#This Row],[Deuda actual]]*Tabla2[[#This Row],[diferencia de días]], "0")</f>
        <v>68915.53</v>
      </c>
      <c r="L63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63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38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638">
        <f t="shared" ca="1" si="107"/>
        <v>1532.06</v>
      </c>
      <c r="P638">
        <f t="shared" ca="1" si="108"/>
        <v>61743.62</v>
      </c>
      <c r="Q638">
        <f t="shared" ca="1" si="109"/>
        <v>2</v>
      </c>
      <c r="R638">
        <f ca="1">((Tabla2[[#This Row],[Fantasma Comunicación]]+1)/(Tabla2[[#This Row],[Fantasma Comunicación]]+RANDBETWEEN(0,5)+2))-0.5</f>
        <v>9.9999999999999978E-2</v>
      </c>
      <c r="S638" s="51">
        <f ca="1">1+MAX(0,Tabla2[[#This Row],[Deuda actual]]/Tabla2[[#This Row],[Liquidez]]+Tabla2[[#This Row],[Liquidez]]/(Tabla2[[#This Row],[Activos]]+Tabla2[[#This Row],[Liquidez]])+Tabla2[[#This Row],[Comunicación]])</f>
        <v>1.7955895621527005</v>
      </c>
      <c r="T638">
        <f ca="1">Tabla2[[#This Row],[Deuda actual]]*EXP(Tabla2[[#This Row],[Ki]]*Tabla2[[#This Row],[diferencia de días]])*(1+Tabla2[[#This Row],[Hg]])</f>
        <v>1264.8466312799537</v>
      </c>
    </row>
    <row r="639" spans="1:20" ht="14.5" x14ac:dyDescent="0.35">
      <c r="A639" t="e">
        <f t="shared" si="99"/>
        <v>#VALUE!</v>
      </c>
      <c r="B639" s="21">
        <f t="shared" ca="1" si="100"/>
        <v>46102</v>
      </c>
      <c r="C639" s="21">
        <f t="shared" ca="1" si="101"/>
        <v>46157</v>
      </c>
      <c r="D639">
        <f t="shared" ca="1" si="102"/>
        <v>15</v>
      </c>
      <c r="E639">
        <f t="shared" ca="1" si="103"/>
        <v>3.5005181964731014E-2</v>
      </c>
      <c r="F639" s="47">
        <f t="shared" ca="1" si="104"/>
        <v>631.12</v>
      </c>
      <c r="G639" s="32" t="str">
        <f t="shared" ca="1" si="105"/>
        <v>personal</v>
      </c>
      <c r="H63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639" t="str">
        <f t="shared" ca="1" si="106"/>
        <v>Sí</v>
      </c>
      <c r="J63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39" s="32">
        <f ca="1">IF(Tabla2[[#This Row],[¿cliente deuda abierta?]]="Sí", Tabla2[[#This Row],[Deuda actual]]*Tabla2[[#This Row],[diferencia de días]], "0")</f>
        <v>9466.7999999999993</v>
      </c>
      <c r="L63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3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3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39">
        <f t="shared" ca="1" si="107"/>
        <v>1587.08</v>
      </c>
      <c r="P639">
        <f t="shared" ca="1" si="108"/>
        <v>95264.74</v>
      </c>
      <c r="Q639">
        <f t="shared" ca="1" si="109"/>
        <v>4</v>
      </c>
      <c r="R639">
        <f ca="1">((Tabla2[[#This Row],[Fantasma Comunicación]]+1)/(Tabla2[[#This Row],[Fantasma Comunicación]]+RANDBETWEEN(0,5)+2))-0.5</f>
        <v>5.555555555555558E-2</v>
      </c>
      <c r="S639" s="51">
        <f ca="1">1+MAX(0,Tabla2[[#This Row],[Deuda actual]]/Tabla2[[#This Row],[Liquidez]]+Tabla2[[#This Row],[Liquidez]]/(Tabla2[[#This Row],[Activos]]+Tabla2[[#This Row],[Liquidez]])+Tabla2[[#This Row],[Comunicación]])</f>
        <v>1.469603351300363</v>
      </c>
      <c r="T639">
        <f ca="1">Tabla2[[#This Row],[Deuda actual]]*EXP(Tabla2[[#This Row],[Ki]]*Tabla2[[#This Row],[diferencia de días]])*(1+Tabla2[[#This Row],[Hg]])</f>
        <v>666.6640080601635</v>
      </c>
    </row>
    <row r="640" spans="1:20" ht="14.5" x14ac:dyDescent="0.35">
      <c r="A640" t="e">
        <f t="shared" si="99"/>
        <v>#VALUE!</v>
      </c>
      <c r="B640" s="21">
        <f t="shared" ca="1" si="100"/>
        <v>46131</v>
      </c>
      <c r="C640" s="21">
        <f t="shared" ca="1" si="101"/>
        <v>46157</v>
      </c>
      <c r="D640">
        <f t="shared" ca="1" si="102"/>
        <v>7</v>
      </c>
      <c r="E640">
        <f t="shared" ca="1" si="103"/>
        <v>0.31466839420369053</v>
      </c>
      <c r="F640" s="47">
        <f t="shared" ca="1" si="104"/>
        <v>874.45</v>
      </c>
      <c r="G640" s="32" t="str">
        <f t="shared" ca="1" si="105"/>
        <v>personal</v>
      </c>
      <c r="H64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40" t="str">
        <f t="shared" ca="1" si="106"/>
        <v>No</v>
      </c>
      <c r="J64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12002.151344599351</v>
      </c>
      <c r="K640" s="32" t="str">
        <f ca="1">IF(Tabla2[[#This Row],[¿cliente deuda abierta?]]="Sí", Tabla2[[#This Row],[Deuda actual]]*Tabla2[[#This Row],[diferencia de días]], "0")</f>
        <v>0</v>
      </c>
      <c r="L64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4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64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640">
        <f t="shared" ca="1" si="107"/>
        <v>1555.79</v>
      </c>
      <c r="P640">
        <f t="shared" ca="1" si="108"/>
        <v>118727.14</v>
      </c>
      <c r="Q640">
        <f t="shared" ca="1" si="109"/>
        <v>4</v>
      </c>
      <c r="R640">
        <f ca="1">((Tabla2[[#This Row],[Fantasma Comunicación]]+1)/(Tabla2[[#This Row],[Fantasma Comunicación]]+RANDBETWEEN(0,5)+2))-0.5</f>
        <v>0.2142857142857143</v>
      </c>
      <c r="S640" s="51">
        <f ca="1">1+MAX(0,Tabla2[[#This Row],[Deuda actual]]/Tabla2[[#This Row],[Liquidez]]+Tabla2[[#This Row],[Liquidez]]/(Tabla2[[#This Row],[Activos]]+Tabla2[[#This Row],[Liquidez]])+Tabla2[[#This Row],[Comunicación]])</f>
        <v>1.7892818526634575</v>
      </c>
      <c r="T640">
        <f ca="1">Tabla2[[#This Row],[Deuda actual]]*EXP(Tabla2[[#This Row],[Ki]]*Tabla2[[#This Row],[diferencia de días]])*(1+Tabla2[[#This Row],[Hg]])</f>
        <v>788.10757862494972</v>
      </c>
    </row>
    <row r="641" spans="1:20" ht="14.5" x14ac:dyDescent="0.35">
      <c r="A641" t="e">
        <f t="shared" si="99"/>
        <v>#VALUE!</v>
      </c>
      <c r="B641" s="21">
        <f t="shared" ca="1" si="100"/>
        <v>46128</v>
      </c>
      <c r="C641" s="21">
        <f t="shared" ca="1" si="101"/>
        <v>46157</v>
      </c>
      <c r="D641">
        <f t="shared" ca="1" si="102"/>
        <v>11</v>
      </c>
      <c r="E641">
        <f t="shared" ca="1" si="103"/>
        <v>0.41251384265217894</v>
      </c>
      <c r="F641" s="47">
        <f t="shared" ca="1" si="104"/>
        <v>2604.88</v>
      </c>
      <c r="G641" s="32" t="str">
        <f t="shared" ca="1" si="105"/>
        <v>hipotecario</v>
      </c>
      <c r="H64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41" t="str">
        <f t="shared" ca="1" si="106"/>
        <v>Sí</v>
      </c>
      <c r="J64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41" s="32">
        <f ca="1">IF(Tabla2[[#This Row],[¿cliente deuda abierta?]]="Sí", Tabla2[[#This Row],[Deuda actual]]*Tabla2[[#This Row],[diferencia de días]], "0")</f>
        <v>28653.68</v>
      </c>
      <c r="L64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4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4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41">
        <f t="shared" ca="1" si="107"/>
        <v>1321.98</v>
      </c>
      <c r="P641">
        <f t="shared" ca="1" si="108"/>
        <v>103523.81</v>
      </c>
      <c r="Q641">
        <f t="shared" ca="1" si="109"/>
        <v>3</v>
      </c>
      <c r="R641">
        <f ca="1">((Tabla2[[#This Row],[Fantasma Comunicación]]+1)/(Tabla2[[#This Row],[Fantasma Comunicación]]+RANDBETWEEN(0,5)+2))-0.5</f>
        <v>0.30000000000000004</v>
      </c>
      <c r="S641" s="51">
        <f ca="1">1+MAX(0,Tabla2[[#This Row],[Deuda actual]]/Tabla2[[#This Row],[Liquidez]]+Tabla2[[#This Row],[Liquidez]]/(Tabla2[[#This Row],[Activos]]+Tabla2[[#This Row],[Liquidez]])+Tabla2[[#This Row],[Comunicación]])</f>
        <v>3.2830470858151815</v>
      </c>
      <c r="T641">
        <f ca="1">Tabla2[[#This Row],[Deuda actual]]*EXP(Tabla2[[#This Row],[Ki]]*Tabla2[[#This Row],[diferencia de días]])*(1+Tabla2[[#This Row],[Hg]])</f>
        <v>2741.1478966566842</v>
      </c>
    </row>
    <row r="642" spans="1:20" ht="14.5" x14ac:dyDescent="0.35">
      <c r="A642" t="e">
        <f t="shared" ref="A642:A705" si="110">A641+1</f>
        <v>#VALUE!</v>
      </c>
      <c r="B642" s="21">
        <f t="shared" ref="B642:B705" ca="1" si="111">RANDBETWEEN(DATE(2026,3,1), DATE(2026,5,1))</f>
        <v>46119</v>
      </c>
      <c r="C642" s="21">
        <f t="shared" ref="C642:C705" ca="1" si="112">TODAY()</f>
        <v>46157</v>
      </c>
      <c r="D642">
        <f t="shared" ref="D642:D705" ca="1" si="113">ROUND((-(15) * LN(RAND())),0)</f>
        <v>6</v>
      </c>
      <c r="E642">
        <f t="shared" ref="E642:E705" ca="1" si="114">RAND()</f>
        <v>0.85297575059607289</v>
      </c>
      <c r="F642" s="47">
        <f t="shared" ref="F642:F705" ca="1" si="115">ROUND(MIN(10000, _xlfn.LOGNORM.INV(RAND(), 69/10, 13/10)),2)</f>
        <v>10000</v>
      </c>
      <c r="G642" s="32" t="str">
        <f t="shared" ref="G642:G705" ca="1" si="116">IF(RAND()&lt;=0.5,"personal","hipotecario")</f>
        <v>hipotecario</v>
      </c>
      <c r="H64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42" t="str">
        <f t="shared" ref="I642:I705" ca="1" si="117">IF(RAND()&lt;=0.65, "Sí", "No")</f>
        <v>No</v>
      </c>
      <c r="J64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164999.70749578439</v>
      </c>
      <c r="K642" s="32" t="str">
        <f ca="1">IF(Tabla2[[#This Row],[¿cliente deuda abierta?]]="Sí", Tabla2[[#This Row],[Deuda actual]]*Tabla2[[#This Row],[diferencia de días]], "0")</f>
        <v>0</v>
      </c>
      <c r="L64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4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64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642">
        <f t="shared" ref="O642:O705" ca="1" si="118">ROUND(1000*(_xlfn.LOGNORM.INV(RAND(), 0.5, 0.2)),2)</f>
        <v>1320.94</v>
      </c>
      <c r="P642">
        <f t="shared" ref="P642:P705" ca="1" si="119">ROUND(50000*(_xlfn.LOGNORM.INV(RAND(), 1, 0.75)),2)</f>
        <v>60552.18</v>
      </c>
      <c r="Q642">
        <f t="shared" ref="Q642:Q705" ca="1" si="120">RANDBETWEEN(0,5)</f>
        <v>3</v>
      </c>
      <c r="R642">
        <f ca="1">((Tabla2[[#This Row],[Fantasma Comunicación]]+1)/(Tabla2[[#This Row],[Fantasma Comunicación]]+RANDBETWEEN(0,5)+2))-0.5</f>
        <v>0.30000000000000004</v>
      </c>
      <c r="S642" s="51">
        <f ca="1">1+MAX(0,Tabla2[[#This Row],[Deuda actual]]/Tabla2[[#This Row],[Liquidez]]+Tabla2[[#This Row],[Liquidez]]/(Tabla2[[#This Row],[Activos]]+Tabla2[[#This Row],[Liquidez]])+Tabla2[[#This Row],[Comunicación]])</f>
        <v>8.8917157310710717</v>
      </c>
      <c r="T642">
        <f ca="1">Tabla2[[#This Row],[Deuda actual]]*EXP(Tabla2[[#This Row],[Ki]]*Tabla2[[#This Row],[diferencia de días]])*(1+Tabla2[[#This Row],[Hg]])</f>
        <v>8009.6057623046918</v>
      </c>
    </row>
    <row r="643" spans="1:20" ht="14.5" x14ac:dyDescent="0.35">
      <c r="A643" t="e">
        <f t="shared" si="110"/>
        <v>#VALUE!</v>
      </c>
      <c r="B643" s="21">
        <f t="shared" ca="1" si="111"/>
        <v>46084</v>
      </c>
      <c r="C643" s="21">
        <f t="shared" ca="1" si="112"/>
        <v>46157</v>
      </c>
      <c r="D643">
        <f t="shared" ca="1" si="113"/>
        <v>18</v>
      </c>
      <c r="E643">
        <f t="shared" ca="1" si="114"/>
        <v>0.32833712743208243</v>
      </c>
      <c r="F643" s="47">
        <f t="shared" ca="1" si="115"/>
        <v>993.13</v>
      </c>
      <c r="G643" s="32" t="str">
        <f t="shared" ca="1" si="116"/>
        <v>hipotecario</v>
      </c>
      <c r="H64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643" t="str">
        <f t="shared" ca="1" si="117"/>
        <v>Sí</v>
      </c>
      <c r="J64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43" s="32">
        <f ca="1">IF(Tabla2[[#This Row],[¿cliente deuda abierta?]]="Sí", Tabla2[[#This Row],[Deuda actual]]*Tabla2[[#This Row],[diferencia de días]], "0")</f>
        <v>17876.34</v>
      </c>
      <c r="L64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4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4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43">
        <f t="shared" ca="1" si="118"/>
        <v>1288.26</v>
      </c>
      <c r="P643">
        <f t="shared" ca="1" si="119"/>
        <v>83498.429999999993</v>
      </c>
      <c r="Q643">
        <f t="shared" ca="1" si="120"/>
        <v>2</v>
      </c>
      <c r="R643">
        <f ca="1">((Tabla2[[#This Row],[Fantasma Comunicación]]+1)/(Tabla2[[#This Row],[Fantasma Comunicación]]+RANDBETWEEN(0,5)+2))-0.5</f>
        <v>-7.1428571428571452E-2</v>
      </c>
      <c r="S643" s="51">
        <f ca="1">1+MAX(0,Tabla2[[#This Row],[Deuda actual]]/Tabla2[[#This Row],[Liquidez]]+Tabla2[[#This Row],[Liquidez]]/(Tabla2[[#This Row],[Activos]]+Tabla2[[#This Row],[Liquidez]])+Tabla2[[#This Row],[Comunicación]])</f>
        <v>1.7146736052001919</v>
      </c>
      <c r="T643">
        <f ca="1">Tabla2[[#This Row],[Deuda actual]]*EXP(Tabla2[[#This Row],[Ki]]*Tabla2[[#This Row],[diferencia de días]])*(1+Tabla2[[#This Row],[Hg]])</f>
        <v>1050.3216568126763</v>
      </c>
    </row>
    <row r="644" spans="1:20" ht="14.5" x14ac:dyDescent="0.35">
      <c r="A644" t="e">
        <f t="shared" si="110"/>
        <v>#VALUE!</v>
      </c>
      <c r="B644" s="21">
        <f t="shared" ca="1" si="111"/>
        <v>46120</v>
      </c>
      <c r="C644" s="21">
        <f t="shared" ca="1" si="112"/>
        <v>46157</v>
      </c>
      <c r="D644">
        <f t="shared" ca="1" si="113"/>
        <v>27</v>
      </c>
      <c r="E644">
        <f t="shared" ca="1" si="114"/>
        <v>0.40841527456225646</v>
      </c>
      <c r="F644" s="47">
        <f t="shared" ca="1" si="115"/>
        <v>186.73</v>
      </c>
      <c r="G644" s="32" t="str">
        <f t="shared" ca="1" si="116"/>
        <v>personal</v>
      </c>
      <c r="H64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644" t="str">
        <f t="shared" ca="1" si="117"/>
        <v>No</v>
      </c>
      <c r="J64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11999.039886563791</v>
      </c>
      <c r="K644" s="32" t="str">
        <f ca="1">IF(Tabla2[[#This Row],[¿cliente deuda abierta?]]="Sí", Tabla2[[#This Row],[Deuda actual]]*Tabla2[[#This Row],[diferencia de días]], "0")</f>
        <v>0</v>
      </c>
      <c r="L64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4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64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644">
        <f t="shared" ca="1" si="118"/>
        <v>1342.12</v>
      </c>
      <c r="P644">
        <f t="shared" ca="1" si="119"/>
        <v>56521.36</v>
      </c>
      <c r="Q644">
        <f t="shared" ca="1" si="120"/>
        <v>4</v>
      </c>
      <c r="R644">
        <f ca="1">((Tabla2[[#This Row],[Fantasma Comunicación]]+1)/(Tabla2[[#This Row],[Fantasma Comunicación]]+RANDBETWEEN(0,5)+2))-0.5</f>
        <v>0.2142857142857143</v>
      </c>
      <c r="S644" s="51">
        <f ca="1">1+MAX(0,Tabla2[[#This Row],[Deuda actual]]/Tabla2[[#This Row],[Liquidez]]+Tabla2[[#This Row],[Liquidez]]/(Tabla2[[#This Row],[Activos]]+Tabla2[[#This Row],[Liquidez]])+Tabla2[[#This Row],[Comunicación]])</f>
        <v>1.3766109387179939</v>
      </c>
      <c r="T644">
        <f ca="1">Tabla2[[#This Row],[Deuda actual]]*EXP(Tabla2[[#This Row],[Ki]]*Tabla2[[#This Row],[diferencia de días]])*(1+Tabla2[[#This Row],[Hg]])</f>
        <v>169.88185206361592</v>
      </c>
    </row>
    <row r="645" spans="1:20" ht="14.5" x14ac:dyDescent="0.35">
      <c r="A645" t="e">
        <f t="shared" si="110"/>
        <v>#VALUE!</v>
      </c>
      <c r="B645" s="21">
        <f t="shared" ca="1" si="111"/>
        <v>46120</v>
      </c>
      <c r="C645" s="21">
        <f t="shared" ca="1" si="112"/>
        <v>46157</v>
      </c>
      <c r="D645">
        <f t="shared" ca="1" si="113"/>
        <v>16</v>
      </c>
      <c r="E645">
        <f t="shared" ca="1" si="114"/>
        <v>0.84658094374827653</v>
      </c>
      <c r="F645" s="47">
        <f t="shared" ca="1" si="115"/>
        <v>4013.94</v>
      </c>
      <c r="G645" s="32" t="str">
        <f t="shared" ca="1" si="116"/>
        <v>hipotecario</v>
      </c>
      <c r="H64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645" t="str">
        <f t="shared" ca="1" si="117"/>
        <v>Sí</v>
      </c>
      <c r="J64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45" s="32">
        <f ca="1">IF(Tabla2[[#This Row],[¿cliente deuda abierta?]]="Sí", Tabla2[[#This Row],[Deuda actual]]*Tabla2[[#This Row],[diferencia de días]], "0")</f>
        <v>64223.040000000001</v>
      </c>
      <c r="L64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64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45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645">
        <f t="shared" ca="1" si="118"/>
        <v>1758.78</v>
      </c>
      <c r="P645">
        <f t="shared" ca="1" si="119"/>
        <v>228304.02</v>
      </c>
      <c r="Q645">
        <f t="shared" ca="1" si="120"/>
        <v>4</v>
      </c>
      <c r="R645">
        <f ca="1">((Tabla2[[#This Row],[Fantasma Comunicación]]+1)/(Tabla2[[#This Row],[Fantasma Comunicación]]+RANDBETWEEN(0,5)+2))-0.5</f>
        <v>0.2142857142857143</v>
      </c>
      <c r="S645" s="51">
        <f ca="1">1+MAX(0,Tabla2[[#This Row],[Deuda actual]]/Tabla2[[#This Row],[Liquidez]]+Tabla2[[#This Row],[Liquidez]]/(Tabla2[[#This Row],[Activos]]+Tabla2[[#This Row],[Liquidez]])+Tabla2[[#This Row],[Comunicación]])</f>
        <v>3.5041602239176997</v>
      </c>
      <c r="T645">
        <f ca="1">Tabla2[[#This Row],[Deuda actual]]*EXP(Tabla2[[#This Row],[Ki]]*Tabla2[[#This Row],[diferencia de días]])*(1+Tabla2[[#This Row],[Hg]])</f>
        <v>4645.6683367154492</v>
      </c>
    </row>
    <row r="646" spans="1:20" ht="14.5" x14ac:dyDescent="0.35">
      <c r="A646" t="e">
        <f t="shared" si="110"/>
        <v>#VALUE!</v>
      </c>
      <c r="B646" s="21">
        <f t="shared" ca="1" si="111"/>
        <v>46111</v>
      </c>
      <c r="C646" s="21">
        <f t="shared" ca="1" si="112"/>
        <v>46157</v>
      </c>
      <c r="D646">
        <f t="shared" ca="1" si="113"/>
        <v>15</v>
      </c>
      <c r="E646">
        <f t="shared" ca="1" si="114"/>
        <v>0.81715804900149602</v>
      </c>
      <c r="F646" s="47">
        <f t="shared" ca="1" si="115"/>
        <v>811.74</v>
      </c>
      <c r="G646" s="32" t="str">
        <f t="shared" ca="1" si="116"/>
        <v>hipotecario</v>
      </c>
      <c r="H64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646" t="str">
        <f t="shared" ca="1" si="117"/>
        <v>No</v>
      </c>
      <c r="J64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164999.67960704435</v>
      </c>
      <c r="K646" s="32" t="str">
        <f ca="1">IF(Tabla2[[#This Row],[¿cliente deuda abierta?]]="Sí", Tabla2[[#This Row],[Deuda actual]]*Tabla2[[#This Row],[diferencia de días]], "0")</f>
        <v>0</v>
      </c>
      <c r="L64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4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64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646">
        <f t="shared" ca="1" si="118"/>
        <v>1602.29</v>
      </c>
      <c r="P646">
        <f t="shared" ca="1" si="119"/>
        <v>276190.42</v>
      </c>
      <c r="Q646">
        <f t="shared" ca="1" si="120"/>
        <v>4</v>
      </c>
      <c r="R646">
        <f ca="1">((Tabla2[[#This Row],[Fantasma Comunicación]]+1)/(Tabla2[[#This Row],[Fantasma Comunicación]]+RANDBETWEEN(0,5)+2))-0.5</f>
        <v>5.555555555555558E-2</v>
      </c>
      <c r="S646" s="51">
        <f ca="1">1+MAX(0,Tabla2[[#This Row],[Deuda actual]]/Tabla2[[#This Row],[Liquidez]]+Tabla2[[#This Row],[Liquidez]]/(Tabla2[[#This Row],[Activos]]+Tabla2[[#This Row],[Liquidez]])+Tabla2[[#This Row],[Comunicación]])</f>
        <v>1.5679359004812738</v>
      </c>
      <c r="T646">
        <f ca="1">Tabla2[[#This Row],[Deuda actual]]*EXP(Tabla2[[#This Row],[Ki]]*Tabla2[[#This Row],[diferencia de días]])*(1+Tabla2[[#This Row],[Hg]])</f>
        <v>653.30006446922141</v>
      </c>
    </row>
    <row r="647" spans="1:20" ht="14.5" x14ac:dyDescent="0.35">
      <c r="A647" t="e">
        <f t="shared" si="110"/>
        <v>#VALUE!</v>
      </c>
      <c r="B647" s="21">
        <f t="shared" ca="1" si="111"/>
        <v>46087</v>
      </c>
      <c r="C647" s="21">
        <f t="shared" ca="1" si="112"/>
        <v>46157</v>
      </c>
      <c r="D647">
        <f t="shared" ca="1" si="113"/>
        <v>38</v>
      </c>
      <c r="E647">
        <f t="shared" ca="1" si="114"/>
        <v>4.8502129035393415E-2</v>
      </c>
      <c r="F647" s="47">
        <f t="shared" ca="1" si="115"/>
        <v>3920.98</v>
      </c>
      <c r="G647" s="32" t="str">
        <f t="shared" ca="1" si="116"/>
        <v>personal</v>
      </c>
      <c r="H64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647" t="str">
        <f t="shared" ca="1" si="117"/>
        <v>No</v>
      </c>
      <c r="J64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12001.073984250717</v>
      </c>
      <c r="K647" s="32" t="str">
        <f ca="1">IF(Tabla2[[#This Row],[¿cliente deuda abierta?]]="Sí", Tabla2[[#This Row],[Deuda actual]]*Tabla2[[#This Row],[diferencia de días]], "0")</f>
        <v>0</v>
      </c>
      <c r="L64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4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64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647">
        <f t="shared" ca="1" si="118"/>
        <v>1570.34</v>
      </c>
      <c r="P647">
        <f t="shared" ca="1" si="119"/>
        <v>67252.44</v>
      </c>
      <c r="Q647">
        <f t="shared" ca="1" si="120"/>
        <v>4</v>
      </c>
      <c r="R647">
        <f ca="1">((Tabla2[[#This Row],[Fantasma Comunicación]]+1)/(Tabla2[[#This Row],[Fantasma Comunicación]]+RANDBETWEEN(0,5)+2))-0.5</f>
        <v>5.555555555555558E-2</v>
      </c>
      <c r="S647" s="51">
        <f ca="1">1+MAX(0,Tabla2[[#This Row],[Deuda actual]]/Tabla2[[#This Row],[Liquidez]]+Tabla2[[#This Row],[Liquidez]]/(Tabla2[[#This Row],[Activos]]+Tabla2[[#This Row],[Liquidez]])+Tabla2[[#This Row],[Comunicación]])</f>
        <v>3.5752714707698416</v>
      </c>
      <c r="T647">
        <f ca="1">Tabla2[[#This Row],[Deuda actual]]*EXP(Tabla2[[#This Row],[Ki]]*Tabla2[[#This Row],[diferencia de días]])*(1+Tabla2[[#This Row],[Hg]])</f>
        <v>3665.559950542739</v>
      </c>
    </row>
    <row r="648" spans="1:20" ht="14.5" x14ac:dyDescent="0.35">
      <c r="A648" t="e">
        <f t="shared" si="110"/>
        <v>#VALUE!</v>
      </c>
      <c r="B648" s="21">
        <f t="shared" ca="1" si="111"/>
        <v>46110</v>
      </c>
      <c r="C648" s="21">
        <f t="shared" ca="1" si="112"/>
        <v>46157</v>
      </c>
      <c r="D648">
        <f t="shared" ca="1" si="113"/>
        <v>11</v>
      </c>
      <c r="E648">
        <f t="shared" ca="1" si="114"/>
        <v>0.38076593106196899</v>
      </c>
      <c r="F648" s="47">
        <f t="shared" ca="1" si="115"/>
        <v>1478.15</v>
      </c>
      <c r="G648" s="32" t="str">
        <f t="shared" ca="1" si="116"/>
        <v>personal</v>
      </c>
      <c r="H64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48" t="str">
        <f t="shared" ca="1" si="117"/>
        <v>Sí</v>
      </c>
      <c r="J64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48" s="32">
        <f ca="1">IF(Tabla2[[#This Row],[¿cliente deuda abierta?]]="Sí", Tabla2[[#This Row],[Deuda actual]]*Tabla2[[#This Row],[diferencia de días]], "0")</f>
        <v>16259.650000000001</v>
      </c>
      <c r="L64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4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4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48">
        <f t="shared" ca="1" si="118"/>
        <v>1281.3</v>
      </c>
      <c r="P648">
        <f t="shared" ca="1" si="119"/>
        <v>144527.96</v>
      </c>
      <c r="Q648">
        <f t="shared" ca="1" si="120"/>
        <v>3</v>
      </c>
      <c r="R648">
        <f ca="1">((Tabla2[[#This Row],[Fantasma Comunicación]]+1)/(Tabla2[[#This Row],[Fantasma Comunicación]]+RANDBETWEEN(0,5)+2))-0.5</f>
        <v>7.1428571428571397E-2</v>
      </c>
      <c r="S648" s="51">
        <f ca="1">1+MAX(0,Tabla2[[#This Row],[Deuda actual]]/Tabla2[[#This Row],[Liquidez]]+Tabla2[[#This Row],[Liquidez]]/(Tabla2[[#This Row],[Activos]]+Tabla2[[#This Row],[Liquidez]])+Tabla2[[#This Row],[Comunicación]])</f>
        <v>2.2338491081179588</v>
      </c>
      <c r="T648">
        <f ca="1">Tabla2[[#This Row],[Deuda actual]]*EXP(Tabla2[[#This Row],[Ki]]*Tabla2[[#This Row],[diferencia de días]])*(1+Tabla2[[#This Row],[Hg]])</f>
        <v>1555.4757852350504</v>
      </c>
    </row>
    <row r="649" spans="1:20" ht="14.5" x14ac:dyDescent="0.35">
      <c r="A649" t="e">
        <f t="shared" si="110"/>
        <v>#VALUE!</v>
      </c>
      <c r="B649" s="21">
        <f t="shared" ca="1" si="111"/>
        <v>46104</v>
      </c>
      <c r="C649" s="21">
        <f t="shared" ca="1" si="112"/>
        <v>46157</v>
      </c>
      <c r="D649">
        <f t="shared" ca="1" si="113"/>
        <v>14</v>
      </c>
      <c r="E649">
        <f t="shared" ca="1" si="114"/>
        <v>0.49569148063379631</v>
      </c>
      <c r="F649" s="47">
        <f t="shared" ca="1" si="115"/>
        <v>328.74</v>
      </c>
      <c r="G649" s="32" t="str">
        <f t="shared" ca="1" si="116"/>
        <v>personal</v>
      </c>
      <c r="H64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49" t="str">
        <f t="shared" ca="1" si="117"/>
        <v>Sí</v>
      </c>
      <c r="J64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49" s="32">
        <f ca="1">IF(Tabla2[[#This Row],[¿cliente deuda abierta?]]="Sí", Tabla2[[#This Row],[Deuda actual]]*Tabla2[[#This Row],[diferencia de días]], "0")</f>
        <v>4602.3600000000006</v>
      </c>
      <c r="L64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4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4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49">
        <f t="shared" ca="1" si="118"/>
        <v>2141.4899999999998</v>
      </c>
      <c r="P649">
        <f t="shared" ca="1" si="119"/>
        <v>122969.15</v>
      </c>
      <c r="Q649">
        <f t="shared" ca="1" si="120"/>
        <v>3</v>
      </c>
      <c r="R649">
        <f ca="1">((Tabla2[[#This Row],[Fantasma Comunicación]]+1)/(Tabla2[[#This Row],[Fantasma Comunicación]]+RANDBETWEEN(0,5)+2))-0.5</f>
        <v>0.30000000000000004</v>
      </c>
      <c r="S649" s="51">
        <f ca="1">1+MAX(0,Tabla2[[#This Row],[Deuda actual]]/Tabla2[[#This Row],[Liquidez]]+Tabla2[[#This Row],[Liquidez]]/(Tabla2[[#This Row],[Activos]]+Tabla2[[#This Row],[Liquidez]])+Tabla2[[#This Row],[Comunicación]])</f>
        <v>1.4706267089461871</v>
      </c>
      <c r="T649">
        <f ca="1">Tabla2[[#This Row],[Deuda actual]]*EXP(Tabla2[[#This Row],[Ki]]*Tabla2[[#This Row],[diferencia de días]])*(1+Tabla2[[#This Row],[Hg]])</f>
        <v>346.14484995761211</v>
      </c>
    </row>
    <row r="650" spans="1:20" ht="14.5" x14ac:dyDescent="0.35">
      <c r="A650" t="e">
        <f t="shared" si="110"/>
        <v>#VALUE!</v>
      </c>
      <c r="B650" s="21">
        <f t="shared" ca="1" si="111"/>
        <v>46112</v>
      </c>
      <c r="C650" s="21">
        <f t="shared" ca="1" si="112"/>
        <v>46157</v>
      </c>
      <c r="D650">
        <f t="shared" ca="1" si="113"/>
        <v>13</v>
      </c>
      <c r="E650">
        <f t="shared" ca="1" si="114"/>
        <v>0.59590295125941639</v>
      </c>
      <c r="F650" s="47">
        <f t="shared" ca="1" si="115"/>
        <v>10000</v>
      </c>
      <c r="G650" s="32" t="str">
        <f t="shared" ca="1" si="116"/>
        <v>personal</v>
      </c>
      <c r="H65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50" t="str">
        <f t="shared" ca="1" si="117"/>
        <v>Sí</v>
      </c>
      <c r="J65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50" s="32">
        <f ca="1">IF(Tabla2[[#This Row],[¿cliente deuda abierta?]]="Sí", Tabla2[[#This Row],[Deuda actual]]*Tabla2[[#This Row],[diferencia de días]], "0")</f>
        <v>130000</v>
      </c>
      <c r="L65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65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50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650">
        <f t="shared" ca="1" si="118"/>
        <v>2180.69</v>
      </c>
      <c r="P650">
        <f t="shared" ca="1" si="119"/>
        <v>106826.14</v>
      </c>
      <c r="Q650">
        <f t="shared" ca="1" si="120"/>
        <v>0</v>
      </c>
      <c r="R650">
        <f ca="1">((Tabla2[[#This Row],[Fantasma Comunicación]]+1)/(Tabla2[[#This Row],[Fantasma Comunicación]]+RANDBETWEEN(0,5)+2))-0.5</f>
        <v>-0.16666666666666669</v>
      </c>
      <c r="S650" s="51">
        <f ca="1">1+MAX(0,Tabla2[[#This Row],[Deuda actual]]/Tabla2[[#This Row],[Liquidez]]+Tabla2[[#This Row],[Liquidez]]/(Tabla2[[#This Row],[Activos]]+Tabla2[[#This Row],[Liquidez]])+Tabla2[[#This Row],[Comunicación]])</f>
        <v>5.4390429347940961</v>
      </c>
      <c r="T650">
        <f ca="1">Tabla2[[#This Row],[Deuda actual]]*EXP(Tabla2[[#This Row],[Ki]]*Tabla2[[#This Row],[diferencia de días]])*(1+Tabla2[[#This Row],[Hg]])</f>
        <v>11529.938903709241</v>
      </c>
    </row>
    <row r="651" spans="1:20" ht="14.5" x14ac:dyDescent="0.35">
      <c r="A651" t="e">
        <f t="shared" si="110"/>
        <v>#VALUE!</v>
      </c>
      <c r="B651" s="21">
        <f t="shared" ca="1" si="111"/>
        <v>46102</v>
      </c>
      <c r="C651" s="21">
        <f t="shared" ca="1" si="112"/>
        <v>46157</v>
      </c>
      <c r="D651">
        <f t="shared" ca="1" si="113"/>
        <v>18</v>
      </c>
      <c r="E651">
        <f t="shared" ca="1" si="114"/>
        <v>0.71079554992022986</v>
      </c>
      <c r="F651" s="47">
        <f t="shared" ca="1" si="115"/>
        <v>2294.6</v>
      </c>
      <c r="G651" s="32" t="str">
        <f t="shared" ca="1" si="116"/>
        <v>personal</v>
      </c>
      <c r="H65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651" t="str">
        <f t="shared" ca="1" si="117"/>
        <v>Sí</v>
      </c>
      <c r="J65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51" s="32">
        <f ca="1">IF(Tabla2[[#This Row],[¿cliente deuda abierta?]]="Sí", Tabla2[[#This Row],[Deuda actual]]*Tabla2[[#This Row],[diferencia de días]], "0")</f>
        <v>41302.799999999996</v>
      </c>
      <c r="L65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65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51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651">
        <f t="shared" ca="1" si="118"/>
        <v>2239.6999999999998</v>
      </c>
      <c r="P651">
        <f t="shared" ca="1" si="119"/>
        <v>49258.21</v>
      </c>
      <c r="Q651">
        <f t="shared" ca="1" si="120"/>
        <v>2</v>
      </c>
      <c r="R651">
        <f ca="1">((Tabla2[[#This Row],[Fantasma Comunicación]]+1)/(Tabla2[[#This Row],[Fantasma Comunicación]]+RANDBETWEEN(0,5)+2))-0.5</f>
        <v>0.25</v>
      </c>
      <c r="S651" s="51">
        <f ca="1">1+MAX(0,Tabla2[[#This Row],[Deuda actual]]/Tabla2[[#This Row],[Liquidez]]+Tabla2[[#This Row],[Liquidez]]/(Tabla2[[#This Row],[Activos]]+Tabla2[[#This Row],[Liquidez]])+Tabla2[[#This Row],[Comunicación]])</f>
        <v>2.3180032968232687</v>
      </c>
      <c r="T651">
        <f ca="1">Tabla2[[#This Row],[Deuda actual]]*EXP(Tabla2[[#This Row],[Ki]]*Tabla2[[#This Row],[diferencia de días]])*(1+Tabla2[[#This Row],[Hg]])</f>
        <v>2542.2988129349628</v>
      </c>
    </row>
    <row r="652" spans="1:20" ht="14.5" x14ac:dyDescent="0.35">
      <c r="A652" t="e">
        <f t="shared" si="110"/>
        <v>#VALUE!</v>
      </c>
      <c r="B652" s="21">
        <f t="shared" ca="1" si="111"/>
        <v>46122</v>
      </c>
      <c r="C652" s="21">
        <f t="shared" ca="1" si="112"/>
        <v>46157</v>
      </c>
      <c r="D652">
        <f t="shared" ca="1" si="113"/>
        <v>26</v>
      </c>
      <c r="E652">
        <f t="shared" ca="1" si="114"/>
        <v>0.54662172044443968</v>
      </c>
      <c r="F652" s="47">
        <f t="shared" ca="1" si="115"/>
        <v>752.82</v>
      </c>
      <c r="G652" s="32" t="str">
        <f t="shared" ca="1" si="116"/>
        <v>personal</v>
      </c>
      <c r="H65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652" t="str">
        <f t="shared" ca="1" si="117"/>
        <v>Sí</v>
      </c>
      <c r="J65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52" s="32">
        <f ca="1">IF(Tabla2[[#This Row],[¿cliente deuda abierta?]]="Sí", Tabla2[[#This Row],[Deuda actual]]*Tabla2[[#This Row],[diferencia de días]], "0")</f>
        <v>19573.32</v>
      </c>
      <c r="L65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5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5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52">
        <f t="shared" ca="1" si="118"/>
        <v>1523.7</v>
      </c>
      <c r="P652">
        <f t="shared" ca="1" si="119"/>
        <v>138119.65</v>
      </c>
      <c r="Q652">
        <f t="shared" ca="1" si="120"/>
        <v>3</v>
      </c>
      <c r="R652">
        <f ca="1">((Tabla2[[#This Row],[Fantasma Comunicación]]+1)/(Tabla2[[#This Row],[Fantasma Comunicación]]+RANDBETWEEN(0,5)+2))-0.5</f>
        <v>-9.9999999999999978E-2</v>
      </c>
      <c r="S652" s="51">
        <f ca="1">1+MAX(0,Tabla2[[#This Row],[Deuda actual]]/Tabla2[[#This Row],[Liquidez]]+Tabla2[[#This Row],[Liquidez]]/(Tabla2[[#This Row],[Activos]]+Tabla2[[#This Row],[Liquidez]])+Tabla2[[#This Row],[Comunicación]])</f>
        <v>1.404985004681532</v>
      </c>
      <c r="T652">
        <f ca="1">Tabla2[[#This Row],[Deuda actual]]*EXP(Tabla2[[#This Row],[Ki]]*Tabla2[[#This Row],[diferencia de días]])*(1+Tabla2[[#This Row],[Hg]])</f>
        <v>798.72469111050646</v>
      </c>
    </row>
    <row r="653" spans="1:20" ht="14.5" x14ac:dyDescent="0.35">
      <c r="A653" t="e">
        <f t="shared" si="110"/>
        <v>#VALUE!</v>
      </c>
      <c r="B653" s="21">
        <f t="shared" ca="1" si="111"/>
        <v>46090</v>
      </c>
      <c r="C653" s="21">
        <f t="shared" ca="1" si="112"/>
        <v>46157</v>
      </c>
      <c r="D653">
        <f t="shared" ca="1" si="113"/>
        <v>28</v>
      </c>
      <c r="E653">
        <f t="shared" ca="1" si="114"/>
        <v>5.9101162225496662E-3</v>
      </c>
      <c r="F653" s="47">
        <f t="shared" ca="1" si="115"/>
        <v>216.14</v>
      </c>
      <c r="G653" s="32" t="str">
        <f t="shared" ca="1" si="116"/>
        <v>personal</v>
      </c>
      <c r="H65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653" t="str">
        <f t="shared" ca="1" si="117"/>
        <v>No</v>
      </c>
      <c r="J65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11998.721890005309</v>
      </c>
      <c r="K653" s="32" t="str">
        <f ca="1">IF(Tabla2[[#This Row],[¿cliente deuda abierta?]]="Sí", Tabla2[[#This Row],[Deuda actual]]*Tabla2[[#This Row],[diferencia de días]], "0")</f>
        <v>0</v>
      </c>
      <c r="L65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5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65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653">
        <f t="shared" ca="1" si="118"/>
        <v>2304.7800000000002</v>
      </c>
      <c r="P653">
        <f t="shared" ca="1" si="119"/>
        <v>148844.67000000001</v>
      </c>
      <c r="Q653">
        <f t="shared" ca="1" si="120"/>
        <v>5</v>
      </c>
      <c r="R653">
        <f ca="1">((Tabla2[[#This Row],[Fantasma Comunicación]]+1)/(Tabla2[[#This Row],[Fantasma Comunicación]]+RANDBETWEEN(0,5)+2))-0.5</f>
        <v>0.25</v>
      </c>
      <c r="S653" s="51">
        <f ca="1">1+MAX(0,Tabla2[[#This Row],[Deuda actual]]/Tabla2[[#This Row],[Liquidez]]+Tabla2[[#This Row],[Liquidez]]/(Tabla2[[#This Row],[Activos]]+Tabla2[[#This Row],[Liquidez]])+Tabla2[[#This Row],[Comunicación]])</f>
        <v>1.3590273676641338</v>
      </c>
      <c r="T653">
        <f ca="1">Tabla2[[#This Row],[Deuda actual]]*EXP(Tabla2[[#This Row],[Ki]]*Tabla2[[#This Row],[diferencia de días]])*(1+Tabla2[[#This Row],[Hg]])</f>
        <v>196.71693754771456</v>
      </c>
    </row>
    <row r="654" spans="1:20" ht="14.5" x14ac:dyDescent="0.35">
      <c r="A654" t="e">
        <f t="shared" si="110"/>
        <v>#VALUE!</v>
      </c>
      <c r="B654" s="21">
        <f t="shared" ca="1" si="111"/>
        <v>46125</v>
      </c>
      <c r="C654" s="21">
        <f t="shared" ca="1" si="112"/>
        <v>46157</v>
      </c>
      <c r="D654">
        <f t="shared" ca="1" si="113"/>
        <v>42</v>
      </c>
      <c r="E654">
        <f t="shared" ca="1" si="114"/>
        <v>7.9477853948868304E-3</v>
      </c>
      <c r="F654" s="47">
        <f t="shared" ca="1" si="115"/>
        <v>3753.05</v>
      </c>
      <c r="G654" s="32" t="str">
        <f t="shared" ca="1" si="116"/>
        <v>hipotecario</v>
      </c>
      <c r="H65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654" t="str">
        <f t="shared" ca="1" si="117"/>
        <v>Sí</v>
      </c>
      <c r="J65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54" s="32">
        <f ca="1">IF(Tabla2[[#This Row],[¿cliente deuda abierta?]]="Sí", Tabla2[[#This Row],[Deuda actual]]*Tabla2[[#This Row],[diferencia de días]], "0")</f>
        <v>157628.1</v>
      </c>
      <c r="L65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65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54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654">
        <f t="shared" ca="1" si="118"/>
        <v>1662.09</v>
      </c>
      <c r="P654">
        <f t="shared" ca="1" si="119"/>
        <v>72456.06</v>
      </c>
      <c r="Q654">
        <f t="shared" ca="1" si="120"/>
        <v>0</v>
      </c>
      <c r="R654">
        <f ca="1">((Tabla2[[#This Row],[Fantasma Comunicación]]+1)/(Tabla2[[#This Row],[Fantasma Comunicación]]+RANDBETWEEN(0,5)+2))-0.5</f>
        <v>0</v>
      </c>
      <c r="S654" s="51">
        <f ca="1">1+MAX(0,Tabla2[[#This Row],[Deuda actual]]/Tabla2[[#This Row],[Liquidez]]+Tabla2[[#This Row],[Liquidez]]/(Tabla2[[#This Row],[Activos]]+Tabla2[[#This Row],[Liquidez]])+Tabla2[[#This Row],[Comunicación]])</f>
        <v>3.2804554235362571</v>
      </c>
      <c r="T654">
        <f ca="1">Tabla2[[#This Row],[Deuda actual]]*EXP(Tabla2[[#This Row],[Ki]]*Tabla2[[#This Row],[diferencia de días]])*(1+Tabla2[[#This Row],[Hg]])</f>
        <v>4501.1403919968843</v>
      </c>
    </row>
    <row r="655" spans="1:20" ht="14.5" x14ac:dyDescent="0.35">
      <c r="A655" t="e">
        <f t="shared" si="110"/>
        <v>#VALUE!</v>
      </c>
      <c r="B655" s="21">
        <f t="shared" ca="1" si="111"/>
        <v>46132</v>
      </c>
      <c r="C655" s="21">
        <f t="shared" ca="1" si="112"/>
        <v>46157</v>
      </c>
      <c r="D655">
        <f t="shared" ca="1" si="113"/>
        <v>30</v>
      </c>
      <c r="E655">
        <f t="shared" ca="1" si="114"/>
        <v>0.18501551981507647</v>
      </c>
      <c r="F655" s="47">
        <f t="shared" ca="1" si="115"/>
        <v>2024.99</v>
      </c>
      <c r="G655" s="32" t="str">
        <f t="shared" ca="1" si="116"/>
        <v>personal</v>
      </c>
      <c r="H65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655" t="str">
        <f t="shared" ca="1" si="117"/>
        <v>Sí</v>
      </c>
      <c r="J65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55" s="32">
        <f ca="1">IF(Tabla2[[#This Row],[¿cliente deuda abierta?]]="Sí", Tabla2[[#This Row],[Deuda actual]]*Tabla2[[#This Row],[diferencia de días]], "0")</f>
        <v>60749.7</v>
      </c>
      <c r="L65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65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55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655">
        <f t="shared" ca="1" si="118"/>
        <v>1297.56</v>
      </c>
      <c r="P655">
        <f t="shared" ca="1" si="119"/>
        <v>162009.28</v>
      </c>
      <c r="Q655">
        <f t="shared" ca="1" si="120"/>
        <v>4</v>
      </c>
      <c r="R655">
        <f ca="1">((Tabla2[[#This Row],[Fantasma Comunicación]]+1)/(Tabla2[[#This Row],[Fantasma Comunicación]]+RANDBETWEEN(0,5)+2))-0.5</f>
        <v>0.125</v>
      </c>
      <c r="S655" s="51">
        <f ca="1">1+MAX(0,Tabla2[[#This Row],[Deuda actual]]/Tabla2[[#This Row],[Liquidez]]+Tabla2[[#This Row],[Liquidez]]/(Tabla2[[#This Row],[Activos]]+Tabla2[[#This Row],[Liquidez]])+Tabla2[[#This Row],[Comunicación]])</f>
        <v>2.6935593010747283</v>
      </c>
      <c r="T655">
        <f ca="1">Tabla2[[#This Row],[Deuda actual]]*EXP(Tabla2[[#This Row],[Ki]]*Tabla2[[#This Row],[diferencia de días]])*(1+Tabla2[[#This Row],[Hg]])</f>
        <v>2399.6591457171121</v>
      </c>
    </row>
    <row r="656" spans="1:20" ht="14.5" x14ac:dyDescent="0.35">
      <c r="A656" t="e">
        <f t="shared" si="110"/>
        <v>#VALUE!</v>
      </c>
      <c r="B656" s="21">
        <f t="shared" ca="1" si="111"/>
        <v>46139</v>
      </c>
      <c r="C656" s="21">
        <f t="shared" ca="1" si="112"/>
        <v>46157</v>
      </c>
      <c r="D656">
        <f t="shared" ca="1" si="113"/>
        <v>1</v>
      </c>
      <c r="E656">
        <f t="shared" ca="1" si="114"/>
        <v>2.6174669572882059E-2</v>
      </c>
      <c r="F656" s="47">
        <f t="shared" ca="1" si="115"/>
        <v>110.71</v>
      </c>
      <c r="G656" s="32" t="str">
        <f t="shared" ca="1" si="116"/>
        <v>hipotecario</v>
      </c>
      <c r="H65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56" t="str">
        <f t="shared" ca="1" si="117"/>
        <v>No</v>
      </c>
      <c r="J65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164999.63057992325</v>
      </c>
      <c r="K656" s="32" t="str">
        <f ca="1">IF(Tabla2[[#This Row],[¿cliente deuda abierta?]]="Sí", Tabla2[[#This Row],[Deuda actual]]*Tabla2[[#This Row],[diferencia de días]], "0")</f>
        <v>0</v>
      </c>
      <c r="L65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5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65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656">
        <f t="shared" ca="1" si="118"/>
        <v>2189.7199999999998</v>
      </c>
      <c r="P656">
        <f t="shared" ca="1" si="119"/>
        <v>233321.05</v>
      </c>
      <c r="Q656">
        <f t="shared" ca="1" si="120"/>
        <v>4</v>
      </c>
      <c r="R656">
        <f ca="1">((Tabla2[[#This Row],[Fantasma Comunicación]]+1)/(Tabla2[[#This Row],[Fantasma Comunicación]]+RANDBETWEEN(0,5)+2))-0.5</f>
        <v>-4.545454545454547E-2</v>
      </c>
      <c r="S656" s="51">
        <f ca="1">1+MAX(0,Tabla2[[#This Row],[Deuda actual]]/Tabla2[[#This Row],[Liquidez]]+Tabla2[[#This Row],[Liquidez]]/(Tabla2[[#This Row],[Activos]]+Tabla2[[#This Row],[Liquidez]])+Tabla2[[#This Row],[Comunicación]])</f>
        <v>1.0144021790107522</v>
      </c>
      <c r="T656">
        <f ca="1">Tabla2[[#This Row],[Deuda actual]]*EXP(Tabla2[[#This Row],[Ki]]*Tabla2[[#This Row],[diferencia de días]])*(1+Tabla2[[#This Row],[Hg]])</f>
        <v>88.585715371478102</v>
      </c>
    </row>
    <row r="657" spans="1:20" ht="14.5" x14ac:dyDescent="0.35">
      <c r="A657" t="e">
        <f t="shared" si="110"/>
        <v>#VALUE!</v>
      </c>
      <c r="B657" s="21">
        <f t="shared" ca="1" si="111"/>
        <v>46111</v>
      </c>
      <c r="C657" s="21">
        <f t="shared" ca="1" si="112"/>
        <v>46157</v>
      </c>
      <c r="D657">
        <f t="shared" ca="1" si="113"/>
        <v>4</v>
      </c>
      <c r="E657">
        <f t="shared" ca="1" si="114"/>
        <v>0.75038991584025727</v>
      </c>
      <c r="F657" s="47">
        <f t="shared" ca="1" si="115"/>
        <v>4319.84</v>
      </c>
      <c r="G657" s="32" t="str">
        <f t="shared" ca="1" si="116"/>
        <v>personal</v>
      </c>
      <c r="H65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57" t="str">
        <f t="shared" ca="1" si="117"/>
        <v>No</v>
      </c>
      <c r="J65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11999.787899973187</v>
      </c>
      <c r="K657" s="32" t="str">
        <f ca="1">IF(Tabla2[[#This Row],[¿cliente deuda abierta?]]="Sí", Tabla2[[#This Row],[Deuda actual]]*Tabla2[[#This Row],[diferencia de días]], "0")</f>
        <v>0</v>
      </c>
      <c r="L65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5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65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657">
        <f t="shared" ca="1" si="118"/>
        <v>1189.6600000000001</v>
      </c>
      <c r="P657">
        <f t="shared" ca="1" si="119"/>
        <v>66095.87</v>
      </c>
      <c r="Q657">
        <f t="shared" ca="1" si="120"/>
        <v>1</v>
      </c>
      <c r="R657">
        <f ca="1">((Tabla2[[#This Row],[Fantasma Comunicación]]+1)/(Tabla2[[#This Row],[Fantasma Comunicación]]+RANDBETWEEN(0,5)+2))-0.5</f>
        <v>-0.2142857142857143</v>
      </c>
      <c r="S657" s="51">
        <f ca="1">1+MAX(0,Tabla2[[#This Row],[Deuda actual]]/Tabla2[[#This Row],[Liquidez]]+Tabla2[[#This Row],[Liquidez]]/(Tabla2[[#This Row],[Activos]]+Tabla2[[#This Row],[Liquidez]])+Tabla2[[#This Row],[Comunicación]])</f>
        <v>4.4345501759579289</v>
      </c>
      <c r="T657">
        <f ca="1">Tabla2[[#This Row],[Deuda actual]]*EXP(Tabla2[[#This Row],[Ki]]*Tabla2[[#This Row],[diferencia de días]])*(1+Tabla2[[#This Row],[Hg]])</f>
        <v>3890.9675292457505</v>
      </c>
    </row>
    <row r="658" spans="1:20" ht="14.5" x14ac:dyDescent="0.35">
      <c r="A658" t="e">
        <f t="shared" si="110"/>
        <v>#VALUE!</v>
      </c>
      <c r="B658" s="21">
        <f t="shared" ca="1" si="111"/>
        <v>46104</v>
      </c>
      <c r="C658" s="21">
        <f t="shared" ca="1" si="112"/>
        <v>46157</v>
      </c>
      <c r="D658">
        <f t="shared" ca="1" si="113"/>
        <v>29</v>
      </c>
      <c r="E658">
        <f t="shared" ca="1" si="114"/>
        <v>0.21585418558052971</v>
      </c>
      <c r="F658" s="47">
        <f t="shared" ca="1" si="115"/>
        <v>10000</v>
      </c>
      <c r="G658" s="32" t="str">
        <f t="shared" ca="1" si="116"/>
        <v>personal</v>
      </c>
      <c r="H65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658" t="str">
        <f t="shared" ca="1" si="117"/>
        <v>No</v>
      </c>
      <c r="J65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11999.90129654896</v>
      </c>
      <c r="K658" s="32" t="str">
        <f ca="1">IF(Tabla2[[#This Row],[¿cliente deuda abierta?]]="Sí", Tabla2[[#This Row],[Deuda actual]]*Tabla2[[#This Row],[diferencia de días]], "0")</f>
        <v>0</v>
      </c>
      <c r="L65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5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65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658">
        <f t="shared" ca="1" si="118"/>
        <v>1260.75</v>
      </c>
      <c r="P658">
        <f t="shared" ca="1" si="119"/>
        <v>133836.5</v>
      </c>
      <c r="Q658">
        <f t="shared" ca="1" si="120"/>
        <v>4</v>
      </c>
      <c r="R658">
        <f ca="1">((Tabla2[[#This Row],[Fantasma Comunicación]]+1)/(Tabla2[[#This Row],[Fantasma Comunicación]]+RANDBETWEEN(0,5)+2))-0.5</f>
        <v>0</v>
      </c>
      <c r="S658" s="51">
        <f ca="1">1+MAX(0,Tabla2[[#This Row],[Deuda actual]]/Tabla2[[#This Row],[Liquidez]]+Tabla2[[#This Row],[Liquidez]]/(Tabla2[[#This Row],[Activos]]+Tabla2[[#This Row],[Liquidez]])+Tabla2[[#This Row],[Comunicación]])</f>
        <v>8.941118801212335</v>
      </c>
      <c r="T658">
        <f ca="1">Tabla2[[#This Row],[Deuda actual]]*EXP(Tabla2[[#This Row],[Ki]]*Tabla2[[#This Row],[diferencia de días]])*(1+Tabla2[[#This Row],[Hg]])</f>
        <v>9105.0078681496798</v>
      </c>
    </row>
    <row r="659" spans="1:20" ht="14.5" x14ac:dyDescent="0.35">
      <c r="A659" t="e">
        <f t="shared" si="110"/>
        <v>#VALUE!</v>
      </c>
      <c r="B659" s="21">
        <f t="shared" ca="1" si="111"/>
        <v>46116</v>
      </c>
      <c r="C659" s="21">
        <f t="shared" ca="1" si="112"/>
        <v>46157</v>
      </c>
      <c r="D659">
        <f t="shared" ca="1" si="113"/>
        <v>20</v>
      </c>
      <c r="E659">
        <f t="shared" ca="1" si="114"/>
        <v>0.8285600143309011</v>
      </c>
      <c r="F659" s="47">
        <f t="shared" ca="1" si="115"/>
        <v>509.48</v>
      </c>
      <c r="G659" s="32" t="str">
        <f t="shared" ca="1" si="116"/>
        <v>personal</v>
      </c>
      <c r="H65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659" t="str">
        <f t="shared" ca="1" si="117"/>
        <v>Sí</v>
      </c>
      <c r="J65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59" s="32">
        <f ca="1">IF(Tabla2[[#This Row],[¿cliente deuda abierta?]]="Sí", Tabla2[[#This Row],[Deuda actual]]*Tabla2[[#This Row],[diferencia de días]], "0")</f>
        <v>10189.6</v>
      </c>
      <c r="L65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5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5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59">
        <f t="shared" ca="1" si="118"/>
        <v>2283.39</v>
      </c>
      <c r="P659">
        <f t="shared" ca="1" si="119"/>
        <v>97153.17</v>
      </c>
      <c r="Q659">
        <f t="shared" ca="1" si="120"/>
        <v>0</v>
      </c>
      <c r="R659">
        <f ca="1">((Tabla2[[#This Row],[Fantasma Comunicación]]+1)/(Tabla2[[#This Row],[Fantasma Comunicación]]+RANDBETWEEN(0,5)+2))-0.5</f>
        <v>-0.25</v>
      </c>
      <c r="S659" s="51">
        <f ca="1">1+MAX(0,Tabla2[[#This Row],[Deuda actual]]/Tabla2[[#This Row],[Liquidez]]+Tabla2[[#This Row],[Liquidez]]/(Tabla2[[#This Row],[Activos]]+Tabla2[[#This Row],[Liquidez]])+Tabla2[[#This Row],[Comunicación]])</f>
        <v>1</v>
      </c>
      <c r="T659">
        <f ca="1">Tabla2[[#This Row],[Deuda actual]]*EXP(Tabla2[[#This Row],[Ki]]*Tabla2[[#This Row],[diferencia de días]])*(1+Tabla2[[#This Row],[Hg]])</f>
        <v>539.25079626885315</v>
      </c>
    </row>
    <row r="660" spans="1:20" ht="14.5" x14ac:dyDescent="0.35">
      <c r="A660" t="e">
        <f t="shared" si="110"/>
        <v>#VALUE!</v>
      </c>
      <c r="B660" s="21">
        <f t="shared" ca="1" si="111"/>
        <v>46131</v>
      </c>
      <c r="C660" s="21">
        <f t="shared" ca="1" si="112"/>
        <v>46157</v>
      </c>
      <c r="D660">
        <f t="shared" ca="1" si="113"/>
        <v>1</v>
      </c>
      <c r="E660">
        <f t="shared" ca="1" si="114"/>
        <v>0.30529663884154501</v>
      </c>
      <c r="F660" s="47">
        <f t="shared" ca="1" si="115"/>
        <v>752.67</v>
      </c>
      <c r="G660" s="32" t="str">
        <f t="shared" ca="1" si="116"/>
        <v>personal</v>
      </c>
      <c r="H66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60" t="str">
        <f t="shared" ca="1" si="117"/>
        <v>Sí</v>
      </c>
      <c r="J66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60" s="32">
        <f ca="1">IF(Tabla2[[#This Row],[¿cliente deuda abierta?]]="Sí", Tabla2[[#This Row],[Deuda actual]]*Tabla2[[#This Row],[diferencia de días]], "0")</f>
        <v>752.67</v>
      </c>
      <c r="L66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6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6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60">
        <f t="shared" ca="1" si="118"/>
        <v>1672.72</v>
      </c>
      <c r="P660">
        <f t="shared" ca="1" si="119"/>
        <v>441385.56</v>
      </c>
      <c r="Q660">
        <f t="shared" ca="1" si="120"/>
        <v>2</v>
      </c>
      <c r="R660">
        <f ca="1">((Tabla2[[#This Row],[Fantasma Comunicación]]+1)/(Tabla2[[#This Row],[Fantasma Comunicación]]+RANDBETWEEN(0,5)+2))-0.5</f>
        <v>-0.16666666666666669</v>
      </c>
      <c r="S660" s="51">
        <f ca="1">1+MAX(0,Tabla2[[#This Row],[Deuda actual]]/Tabla2[[#This Row],[Liquidez]]+Tabla2[[#This Row],[Liquidez]]/(Tabla2[[#This Row],[Activos]]+Tabla2[[#This Row],[Liquidez]])+Tabla2[[#This Row],[Comunicación]])</f>
        <v>1.2870764455503758</v>
      </c>
      <c r="T660">
        <f ca="1">Tabla2[[#This Row],[Deuda actual]]*EXP(Tabla2[[#This Row],[Ki]]*Tabla2[[#This Row],[diferencia de días]])*(1+Tabla2[[#This Row],[Hg]])</f>
        <v>790.46157650712382</v>
      </c>
    </row>
    <row r="661" spans="1:20" ht="14.5" x14ac:dyDescent="0.35">
      <c r="A661" t="e">
        <f t="shared" si="110"/>
        <v>#VALUE!</v>
      </c>
      <c r="B661" s="21">
        <f t="shared" ca="1" si="111"/>
        <v>46142</v>
      </c>
      <c r="C661" s="21">
        <f t="shared" ca="1" si="112"/>
        <v>46157</v>
      </c>
      <c r="D661">
        <f t="shared" ca="1" si="113"/>
        <v>0</v>
      </c>
      <c r="E661">
        <f t="shared" ca="1" si="114"/>
        <v>0.26951312656180937</v>
      </c>
      <c r="F661" s="47">
        <f t="shared" ca="1" si="115"/>
        <v>2697.17</v>
      </c>
      <c r="G661" s="32" t="str">
        <f t="shared" ca="1" si="116"/>
        <v>hipotecario</v>
      </c>
      <c r="H66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61" t="str">
        <f t="shared" ca="1" si="117"/>
        <v>Sí</v>
      </c>
      <c r="J66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61" s="32">
        <f ca="1">IF(Tabla2[[#This Row],[¿cliente deuda abierta?]]="Sí", Tabla2[[#This Row],[Deuda actual]]*Tabla2[[#This Row],[diferencia de días]], "0")</f>
        <v>0</v>
      </c>
      <c r="L66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6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61" s="32">
        <f ca="1">MAX(Tabla2[[#This Row],[VALORES DE Hg para actuales deudores]:[Valores de HG para deudores cerrados]])*IF(Tabla2[[#This Row],[VALORES DE Hg para actuales deudores]]&gt;Tabla2[[#This Row],[Valores de HG para deudores cerrados]],-1,1)</f>
        <v>0</v>
      </c>
      <c r="O661">
        <f t="shared" ca="1" si="118"/>
        <v>2156.3000000000002</v>
      </c>
      <c r="P661">
        <f t="shared" ca="1" si="119"/>
        <v>98462.04</v>
      </c>
      <c r="Q661">
        <f t="shared" ca="1" si="120"/>
        <v>0</v>
      </c>
      <c r="R661">
        <f ca="1">((Tabla2[[#This Row],[Fantasma Comunicación]]+1)/(Tabla2[[#This Row],[Fantasma Comunicación]]+RANDBETWEEN(0,5)+2))-0.5</f>
        <v>0</v>
      </c>
      <c r="S661" s="51">
        <f ca="1">1+MAX(0,Tabla2[[#This Row],[Deuda actual]]/Tabla2[[#This Row],[Liquidez]]+Tabla2[[#This Row],[Liquidez]]/(Tabla2[[#This Row],[Activos]]+Tabla2[[#This Row],[Liquidez]])+Tabla2[[#This Row],[Comunicación]])</f>
        <v>2.2722629311934197</v>
      </c>
      <c r="T661">
        <f ca="1">Tabla2[[#This Row],[Deuda actual]]*EXP(Tabla2[[#This Row],[Ki]]*Tabla2[[#This Row],[diferencia de días]])*(1+Tabla2[[#This Row],[Hg]])</f>
        <v>2697.17</v>
      </c>
    </row>
    <row r="662" spans="1:20" ht="14.5" x14ac:dyDescent="0.35">
      <c r="A662" t="e">
        <f t="shared" si="110"/>
        <v>#VALUE!</v>
      </c>
      <c r="B662" s="21">
        <f t="shared" ca="1" si="111"/>
        <v>46100</v>
      </c>
      <c r="C662" s="21">
        <f t="shared" ca="1" si="112"/>
        <v>46157</v>
      </c>
      <c r="D662">
        <f t="shared" ca="1" si="113"/>
        <v>2</v>
      </c>
      <c r="E662">
        <f t="shared" ca="1" si="114"/>
        <v>0.21310993449062765</v>
      </c>
      <c r="F662" s="47">
        <f t="shared" ca="1" si="115"/>
        <v>1722.94</v>
      </c>
      <c r="G662" s="32" t="str">
        <f t="shared" ca="1" si="116"/>
        <v>hipotecario</v>
      </c>
      <c r="H66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62" t="str">
        <f t="shared" ca="1" si="117"/>
        <v>No</v>
      </c>
      <c r="J66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164999.13788676256</v>
      </c>
      <c r="K662" s="32" t="str">
        <f ca="1">IF(Tabla2[[#This Row],[¿cliente deuda abierta?]]="Sí", Tabla2[[#This Row],[Deuda actual]]*Tabla2[[#This Row],[diferencia de días]], "0")</f>
        <v>0</v>
      </c>
      <c r="L66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6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66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662">
        <f t="shared" ca="1" si="118"/>
        <v>1323.87</v>
      </c>
      <c r="P662">
        <f t="shared" ca="1" si="119"/>
        <v>186083.05</v>
      </c>
      <c r="Q662">
        <f t="shared" ca="1" si="120"/>
        <v>0</v>
      </c>
      <c r="R662">
        <f ca="1">((Tabla2[[#This Row],[Fantasma Comunicación]]+1)/(Tabla2[[#This Row],[Fantasma Comunicación]]+RANDBETWEEN(0,5)+2))-0.5</f>
        <v>-0.35714285714285715</v>
      </c>
      <c r="S662" s="51">
        <f ca="1">1+MAX(0,Tabla2[[#This Row],[Deuda actual]]/Tabla2[[#This Row],[Liquidez]]+Tabla2[[#This Row],[Liquidez]]/(Tabla2[[#This Row],[Activos]]+Tabla2[[#This Row],[Liquidez]])+Tabla2[[#This Row],[Comunicación]])</f>
        <v>1.9513632741728886</v>
      </c>
      <c r="T662">
        <f ca="1">Tabla2[[#This Row],[Deuda actual]]*EXP(Tabla2[[#This Row],[Ki]]*Tabla2[[#This Row],[diferencia de días]])*(1+Tabla2[[#This Row],[Hg]])</f>
        <v>1378.9034510828642</v>
      </c>
    </row>
    <row r="663" spans="1:20" ht="14.5" x14ac:dyDescent="0.35">
      <c r="A663" t="e">
        <f t="shared" si="110"/>
        <v>#VALUE!</v>
      </c>
      <c r="B663" s="21">
        <f t="shared" ca="1" si="111"/>
        <v>46088</v>
      </c>
      <c r="C663" s="21">
        <f t="shared" ca="1" si="112"/>
        <v>46157</v>
      </c>
      <c r="D663">
        <f t="shared" ca="1" si="113"/>
        <v>0</v>
      </c>
      <c r="E663">
        <f t="shared" ca="1" si="114"/>
        <v>0.68725231219116834</v>
      </c>
      <c r="F663" s="47">
        <f t="shared" ca="1" si="115"/>
        <v>552.09</v>
      </c>
      <c r="G663" s="32" t="str">
        <f t="shared" ca="1" si="116"/>
        <v>personal</v>
      </c>
      <c r="H66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63" t="str">
        <f t="shared" ca="1" si="117"/>
        <v>Sí</v>
      </c>
      <c r="J66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63" s="32">
        <f ca="1">IF(Tabla2[[#This Row],[¿cliente deuda abierta?]]="Sí", Tabla2[[#This Row],[Deuda actual]]*Tabla2[[#This Row],[diferencia de días]], "0")</f>
        <v>0</v>
      </c>
      <c r="L66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6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63" s="32">
        <f ca="1">MAX(Tabla2[[#This Row],[VALORES DE Hg para actuales deudores]:[Valores de HG para deudores cerrados]])*IF(Tabla2[[#This Row],[VALORES DE Hg para actuales deudores]]&gt;Tabla2[[#This Row],[Valores de HG para deudores cerrados]],-1,1)</f>
        <v>0</v>
      </c>
      <c r="O663">
        <f t="shared" ca="1" si="118"/>
        <v>1399.82</v>
      </c>
      <c r="P663">
        <f t="shared" ca="1" si="119"/>
        <v>102802.06</v>
      </c>
      <c r="Q663">
        <f t="shared" ca="1" si="120"/>
        <v>5</v>
      </c>
      <c r="R663">
        <f ca="1">((Tabla2[[#This Row],[Fantasma Comunicación]]+1)/(Tabla2[[#This Row],[Fantasma Comunicación]]+RANDBETWEEN(0,5)+2))-0.5</f>
        <v>9.9999999999999978E-2</v>
      </c>
      <c r="S663" s="51">
        <f ca="1">1+MAX(0,Tabla2[[#This Row],[Deuda actual]]/Tabla2[[#This Row],[Liquidez]]+Tabla2[[#This Row],[Liquidez]]/(Tabla2[[#This Row],[Activos]]+Tabla2[[#This Row],[Liquidez]])+Tabla2[[#This Row],[Comunicación]])</f>
        <v>1.5078344394167282</v>
      </c>
      <c r="T663">
        <f ca="1">Tabla2[[#This Row],[Deuda actual]]*EXP(Tabla2[[#This Row],[Ki]]*Tabla2[[#This Row],[diferencia de días]])*(1+Tabla2[[#This Row],[Hg]])</f>
        <v>552.09</v>
      </c>
    </row>
    <row r="664" spans="1:20" ht="14.5" x14ac:dyDescent="0.35">
      <c r="A664" t="e">
        <f t="shared" si="110"/>
        <v>#VALUE!</v>
      </c>
      <c r="B664" s="21">
        <f t="shared" ca="1" si="111"/>
        <v>46120</v>
      </c>
      <c r="C664" s="21">
        <f t="shared" ca="1" si="112"/>
        <v>46157</v>
      </c>
      <c r="D664">
        <f t="shared" ca="1" si="113"/>
        <v>17</v>
      </c>
      <c r="E664">
        <f t="shared" ca="1" si="114"/>
        <v>3.7217420299762383E-2</v>
      </c>
      <c r="F664" s="47">
        <f t="shared" ca="1" si="115"/>
        <v>483.28</v>
      </c>
      <c r="G664" s="32" t="str">
        <f t="shared" ca="1" si="116"/>
        <v>hipotecario</v>
      </c>
      <c r="H66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664" t="str">
        <f t="shared" ca="1" si="117"/>
        <v>Sí</v>
      </c>
      <c r="J66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64" s="32">
        <f ca="1">IF(Tabla2[[#This Row],[¿cliente deuda abierta?]]="Sí", Tabla2[[#This Row],[Deuda actual]]*Tabla2[[#This Row],[diferencia de días]], "0")</f>
        <v>8215.76</v>
      </c>
      <c r="L66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6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6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64">
        <f t="shared" ca="1" si="118"/>
        <v>1892.67</v>
      </c>
      <c r="P664">
        <f t="shared" ca="1" si="119"/>
        <v>89524.55</v>
      </c>
      <c r="Q664">
        <f t="shared" ca="1" si="120"/>
        <v>2</v>
      </c>
      <c r="R664">
        <f ca="1">((Tabla2[[#This Row],[Fantasma Comunicación]]+1)/(Tabla2[[#This Row],[Fantasma Comunicación]]+RANDBETWEEN(0,5)+2))-0.5</f>
        <v>0.25</v>
      </c>
      <c r="S664" s="51">
        <f ca="1">1+MAX(0,Tabla2[[#This Row],[Deuda actual]]/Tabla2[[#This Row],[Liquidez]]+Tabla2[[#This Row],[Liquidez]]/(Tabla2[[#This Row],[Activos]]+Tabla2[[#This Row],[Liquidez]])+Tabla2[[#This Row],[Comunicación]])</f>
        <v>1.5260466296920119</v>
      </c>
      <c r="T664">
        <f ca="1">Tabla2[[#This Row],[Deuda actual]]*EXP(Tabla2[[#This Row],[Ki]]*Tabla2[[#This Row],[diferencia de días]])*(1+Tabla2[[#This Row],[Hg]])</f>
        <v>510.90637794332127</v>
      </c>
    </row>
    <row r="665" spans="1:20" ht="14.5" x14ac:dyDescent="0.35">
      <c r="A665" t="e">
        <f t="shared" si="110"/>
        <v>#VALUE!</v>
      </c>
      <c r="B665" s="21">
        <f t="shared" ca="1" si="111"/>
        <v>46140</v>
      </c>
      <c r="C665" s="21">
        <f t="shared" ca="1" si="112"/>
        <v>46157</v>
      </c>
      <c r="D665">
        <f t="shared" ca="1" si="113"/>
        <v>13</v>
      </c>
      <c r="E665">
        <f t="shared" ca="1" si="114"/>
        <v>0.32887132588956203</v>
      </c>
      <c r="F665" s="47">
        <f t="shared" ca="1" si="115"/>
        <v>754.63</v>
      </c>
      <c r="G665" s="32" t="str">
        <f t="shared" ca="1" si="116"/>
        <v>personal</v>
      </c>
      <c r="H66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65" t="str">
        <f t="shared" ca="1" si="117"/>
        <v>Sí</v>
      </c>
      <c r="J66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65" s="32">
        <f ca="1">IF(Tabla2[[#This Row],[¿cliente deuda abierta?]]="Sí", Tabla2[[#This Row],[Deuda actual]]*Tabla2[[#This Row],[diferencia de días]], "0")</f>
        <v>9810.19</v>
      </c>
      <c r="L66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6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6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65">
        <f t="shared" ca="1" si="118"/>
        <v>1467.49</v>
      </c>
      <c r="P665">
        <f t="shared" ca="1" si="119"/>
        <v>218701.98</v>
      </c>
      <c r="Q665">
        <f t="shared" ca="1" si="120"/>
        <v>1</v>
      </c>
      <c r="R665">
        <f ca="1">((Tabla2[[#This Row],[Fantasma Comunicación]]+1)/(Tabla2[[#This Row],[Fantasma Comunicación]]+RANDBETWEEN(0,5)+2))-0.5</f>
        <v>-0.25</v>
      </c>
      <c r="S665" s="51">
        <f ca="1">1+MAX(0,Tabla2[[#This Row],[Deuda actual]]/Tabla2[[#This Row],[Liquidez]]+Tabla2[[#This Row],[Liquidez]]/(Tabla2[[#This Row],[Activos]]+Tabla2[[#This Row],[Liquidez]])+Tabla2[[#This Row],[Comunicación]])</f>
        <v>1.2708970582301373</v>
      </c>
      <c r="T665">
        <f ca="1">Tabla2[[#This Row],[Deuda actual]]*EXP(Tabla2[[#This Row],[Ki]]*Tabla2[[#This Row],[diferencia de días]])*(1+Tabla2[[#This Row],[Hg]])</f>
        <v>794.42432040447045</v>
      </c>
    </row>
    <row r="666" spans="1:20" ht="14.5" x14ac:dyDescent="0.35">
      <c r="A666" t="e">
        <f t="shared" si="110"/>
        <v>#VALUE!</v>
      </c>
      <c r="B666" s="21">
        <f t="shared" ca="1" si="111"/>
        <v>46097</v>
      </c>
      <c r="C666" s="21">
        <f t="shared" ca="1" si="112"/>
        <v>46157</v>
      </c>
      <c r="D666">
        <f t="shared" ca="1" si="113"/>
        <v>1</v>
      </c>
      <c r="E666">
        <f t="shared" ca="1" si="114"/>
        <v>0.5785329485996249</v>
      </c>
      <c r="F666" s="47">
        <f t="shared" ca="1" si="115"/>
        <v>785.78</v>
      </c>
      <c r="G666" s="32" t="str">
        <f t="shared" ca="1" si="116"/>
        <v>personal</v>
      </c>
      <c r="H66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66" t="str">
        <f t="shared" ca="1" si="117"/>
        <v>Sí</v>
      </c>
      <c r="J66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66" s="32">
        <f ca="1">IF(Tabla2[[#This Row],[¿cliente deuda abierta?]]="Sí", Tabla2[[#This Row],[Deuda actual]]*Tabla2[[#This Row],[diferencia de días]], "0")</f>
        <v>785.78</v>
      </c>
      <c r="L66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6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6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66">
        <f t="shared" ca="1" si="118"/>
        <v>2922.45</v>
      </c>
      <c r="P666">
        <f t="shared" ca="1" si="119"/>
        <v>118360.4</v>
      </c>
      <c r="Q666">
        <f t="shared" ca="1" si="120"/>
        <v>4</v>
      </c>
      <c r="R666">
        <f ca="1">((Tabla2[[#This Row],[Fantasma Comunicación]]+1)/(Tabla2[[#This Row],[Fantasma Comunicación]]+RANDBETWEEN(0,5)+2))-0.5</f>
        <v>0.125</v>
      </c>
      <c r="S666" s="51">
        <f ca="1">1+MAX(0,Tabla2[[#This Row],[Deuda actual]]/Tabla2[[#This Row],[Liquidez]]+Tabla2[[#This Row],[Liquidez]]/(Tabla2[[#This Row],[Activos]]+Tabla2[[#This Row],[Liquidez]])+Tabla2[[#This Row],[Comunicación]])</f>
        <v>1.4179732928492395</v>
      </c>
      <c r="T666">
        <f ca="1">Tabla2[[#This Row],[Deuda actual]]*EXP(Tabla2[[#This Row],[Ki]]*Tabla2[[#This Row],[diferencia de días]])*(1+Tabla2[[#This Row],[Hg]])</f>
        <v>825.23403030248016</v>
      </c>
    </row>
    <row r="667" spans="1:20" ht="14.5" x14ac:dyDescent="0.35">
      <c r="A667" t="e">
        <f t="shared" si="110"/>
        <v>#VALUE!</v>
      </c>
      <c r="B667" s="21">
        <f t="shared" ca="1" si="111"/>
        <v>46117</v>
      </c>
      <c r="C667" s="21">
        <f t="shared" ca="1" si="112"/>
        <v>46157</v>
      </c>
      <c r="D667">
        <f t="shared" ca="1" si="113"/>
        <v>3</v>
      </c>
      <c r="E667">
        <f t="shared" ca="1" si="114"/>
        <v>0.43448973763826082</v>
      </c>
      <c r="F667" s="47">
        <f t="shared" ca="1" si="115"/>
        <v>791.81</v>
      </c>
      <c r="G667" s="32" t="str">
        <f t="shared" ca="1" si="116"/>
        <v>hipotecario</v>
      </c>
      <c r="H66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67" t="str">
        <f t="shared" ca="1" si="117"/>
        <v>Sí</v>
      </c>
      <c r="J66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67" s="32">
        <f ca="1">IF(Tabla2[[#This Row],[¿cliente deuda abierta?]]="Sí", Tabla2[[#This Row],[Deuda actual]]*Tabla2[[#This Row],[diferencia de días]], "0")</f>
        <v>2375.4299999999998</v>
      </c>
      <c r="L66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6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6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67">
        <f t="shared" ca="1" si="118"/>
        <v>2328.94</v>
      </c>
      <c r="P667">
        <f t="shared" ca="1" si="119"/>
        <v>161095.34</v>
      </c>
      <c r="Q667">
        <f t="shared" ca="1" si="120"/>
        <v>0</v>
      </c>
      <c r="R667">
        <f ca="1">((Tabla2[[#This Row],[Fantasma Comunicación]]+1)/(Tabla2[[#This Row],[Fantasma Comunicación]]+RANDBETWEEN(0,5)+2))-0.5</f>
        <v>-0.35714285714285715</v>
      </c>
      <c r="S667" s="51">
        <f ca="1">1+MAX(0,Tabla2[[#This Row],[Deuda actual]]/Tabla2[[#This Row],[Liquidez]]+Tabla2[[#This Row],[Liquidez]]/(Tabla2[[#This Row],[Activos]]+Tabla2[[#This Row],[Liquidez]])+Tabla2[[#This Row],[Comunicación]])</f>
        <v>1</v>
      </c>
      <c r="T667">
        <f ca="1">Tabla2[[#This Row],[Deuda actual]]*EXP(Tabla2[[#This Row],[Ki]]*Tabla2[[#This Row],[diferencia de días]])*(1+Tabla2[[#This Row],[Hg]])</f>
        <v>831.89948998202487</v>
      </c>
    </row>
    <row r="668" spans="1:20" ht="14.5" x14ac:dyDescent="0.35">
      <c r="A668" t="e">
        <f t="shared" si="110"/>
        <v>#VALUE!</v>
      </c>
      <c r="B668" s="21">
        <f t="shared" ca="1" si="111"/>
        <v>46116</v>
      </c>
      <c r="C668" s="21">
        <f t="shared" ca="1" si="112"/>
        <v>46157</v>
      </c>
      <c r="D668">
        <f t="shared" ca="1" si="113"/>
        <v>20</v>
      </c>
      <c r="E668">
        <f t="shared" ca="1" si="114"/>
        <v>0.49450103518975586</v>
      </c>
      <c r="F668" s="47">
        <f t="shared" ca="1" si="115"/>
        <v>238.62</v>
      </c>
      <c r="G668" s="32" t="str">
        <f t="shared" ca="1" si="116"/>
        <v>personal</v>
      </c>
      <c r="H66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668" t="str">
        <f t="shared" ca="1" si="117"/>
        <v>Sí</v>
      </c>
      <c r="J66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68" s="32">
        <f ca="1">IF(Tabla2[[#This Row],[¿cliente deuda abierta?]]="Sí", Tabla2[[#This Row],[Deuda actual]]*Tabla2[[#This Row],[diferencia de días]], "0")</f>
        <v>4772.3999999999996</v>
      </c>
      <c r="L66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6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6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68">
        <f t="shared" ca="1" si="118"/>
        <v>1574</v>
      </c>
      <c r="P668">
        <f t="shared" ca="1" si="119"/>
        <v>125993.87</v>
      </c>
      <c r="Q668">
        <f t="shared" ca="1" si="120"/>
        <v>0</v>
      </c>
      <c r="R668">
        <f ca="1">((Tabla2[[#This Row],[Fantasma Comunicación]]+1)/(Tabla2[[#This Row],[Fantasma Comunicación]]+RANDBETWEEN(0,5)+2))-0.5</f>
        <v>0</v>
      </c>
      <c r="S668" s="51">
        <f ca="1">1+MAX(0,Tabla2[[#This Row],[Deuda actual]]/Tabla2[[#This Row],[Liquidez]]+Tabla2[[#This Row],[Liquidez]]/(Tabla2[[#This Row],[Activos]]+Tabla2[[#This Row],[Liquidez]])+Tabla2[[#This Row],[Comunicación]])</f>
        <v>1.1639395465887312</v>
      </c>
      <c r="T668">
        <f ca="1">Tabla2[[#This Row],[Deuda actual]]*EXP(Tabla2[[#This Row],[Ki]]*Tabla2[[#This Row],[diferencia de días]])*(1+Tabla2[[#This Row],[Hg]])</f>
        <v>252.56344705518126</v>
      </c>
    </row>
    <row r="669" spans="1:20" ht="14.5" x14ac:dyDescent="0.35">
      <c r="A669" t="e">
        <f t="shared" si="110"/>
        <v>#VALUE!</v>
      </c>
      <c r="B669" s="21">
        <f t="shared" ca="1" si="111"/>
        <v>46096</v>
      </c>
      <c r="C669" s="21">
        <f t="shared" ca="1" si="112"/>
        <v>46157</v>
      </c>
      <c r="D669">
        <f t="shared" ca="1" si="113"/>
        <v>1</v>
      </c>
      <c r="E669">
        <f t="shared" ca="1" si="114"/>
        <v>0.36567247889138155</v>
      </c>
      <c r="F669" s="47">
        <f t="shared" ca="1" si="115"/>
        <v>1428.47</v>
      </c>
      <c r="G669" s="32" t="str">
        <f t="shared" ca="1" si="116"/>
        <v>hipotecario</v>
      </c>
      <c r="H66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69" t="str">
        <f t="shared" ca="1" si="117"/>
        <v>Sí</v>
      </c>
      <c r="J66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69" s="32">
        <f ca="1">IF(Tabla2[[#This Row],[¿cliente deuda abierta?]]="Sí", Tabla2[[#This Row],[Deuda actual]]*Tabla2[[#This Row],[diferencia de días]], "0")</f>
        <v>1428.47</v>
      </c>
      <c r="L66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6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6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69">
        <f t="shared" ca="1" si="118"/>
        <v>2064.41</v>
      </c>
      <c r="P669">
        <f t="shared" ca="1" si="119"/>
        <v>78799.13</v>
      </c>
      <c r="Q669">
        <f t="shared" ca="1" si="120"/>
        <v>4</v>
      </c>
      <c r="R669">
        <f ca="1">((Tabla2[[#This Row],[Fantasma Comunicación]]+1)/(Tabla2[[#This Row],[Fantasma Comunicación]]+RANDBETWEEN(0,5)+2))-0.5</f>
        <v>-4.545454545454547E-2</v>
      </c>
      <c r="S669" s="51">
        <f ca="1">1+MAX(0,Tabla2[[#This Row],[Deuda actual]]/Tabla2[[#This Row],[Liquidez]]+Tabla2[[#This Row],[Liquidez]]/(Tabla2[[#This Row],[Activos]]+Tabla2[[#This Row],[Liquidez]])+Tabla2[[#This Row],[Comunicación]])</f>
        <v>1.6720257340140672</v>
      </c>
      <c r="T669">
        <f ca="1">Tabla2[[#This Row],[Deuda actual]]*EXP(Tabla2[[#This Row],[Ki]]*Tabla2[[#This Row],[diferencia de días]])*(1+Tabla2[[#This Row],[Hg]])</f>
        <v>1500.1935086998701</v>
      </c>
    </row>
    <row r="670" spans="1:20" ht="14.5" x14ac:dyDescent="0.35">
      <c r="A670" t="e">
        <f t="shared" si="110"/>
        <v>#VALUE!</v>
      </c>
      <c r="B670" s="21">
        <f t="shared" ca="1" si="111"/>
        <v>46095</v>
      </c>
      <c r="C670" s="21">
        <f t="shared" ca="1" si="112"/>
        <v>46157</v>
      </c>
      <c r="D670">
        <f t="shared" ca="1" si="113"/>
        <v>18</v>
      </c>
      <c r="E670">
        <f t="shared" ca="1" si="114"/>
        <v>0.26922085765906234</v>
      </c>
      <c r="F670" s="47">
        <f t="shared" ca="1" si="115"/>
        <v>976.48</v>
      </c>
      <c r="G670" s="32" t="str">
        <f t="shared" ca="1" si="116"/>
        <v>personal</v>
      </c>
      <c r="H67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670" t="str">
        <f t="shared" ca="1" si="117"/>
        <v>Sí</v>
      </c>
      <c r="J67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70" s="32">
        <f ca="1">IF(Tabla2[[#This Row],[¿cliente deuda abierta?]]="Sí", Tabla2[[#This Row],[Deuda actual]]*Tabla2[[#This Row],[diferencia de días]], "0")</f>
        <v>17576.64</v>
      </c>
      <c r="L67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7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7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70">
        <f t="shared" ca="1" si="118"/>
        <v>2003.57</v>
      </c>
      <c r="P670">
        <f t="shared" ca="1" si="119"/>
        <v>72252.479999999996</v>
      </c>
      <c r="Q670">
        <f t="shared" ca="1" si="120"/>
        <v>4</v>
      </c>
      <c r="R670">
        <f ca="1">((Tabla2[[#This Row],[Fantasma Comunicación]]+1)/(Tabla2[[#This Row],[Fantasma Comunicación]]+RANDBETWEEN(0,5)+2))-0.5</f>
        <v>0</v>
      </c>
      <c r="S670" s="51">
        <f ca="1">1+MAX(0,Tabla2[[#This Row],[Deuda actual]]/Tabla2[[#This Row],[Liquidez]]+Tabla2[[#This Row],[Liquidez]]/(Tabla2[[#This Row],[Activos]]+Tabla2[[#This Row],[Liquidez]])+Tabla2[[#This Row],[Comunicación]])</f>
        <v>1.5143519536887915</v>
      </c>
      <c r="T670">
        <f ca="1">Tabla2[[#This Row],[Deuda actual]]*EXP(Tabla2[[#This Row],[Ki]]*Tabla2[[#This Row],[diferencia de días]])*(1+Tabla2[[#This Row],[Hg]])</f>
        <v>1032.7128285767647</v>
      </c>
    </row>
    <row r="671" spans="1:20" ht="14.5" x14ac:dyDescent="0.35">
      <c r="A671" t="e">
        <f t="shared" si="110"/>
        <v>#VALUE!</v>
      </c>
      <c r="B671" s="21">
        <f t="shared" ca="1" si="111"/>
        <v>46103</v>
      </c>
      <c r="C671" s="21">
        <f t="shared" ca="1" si="112"/>
        <v>46157</v>
      </c>
      <c r="D671">
        <f t="shared" ca="1" si="113"/>
        <v>12</v>
      </c>
      <c r="E671">
        <f t="shared" ca="1" si="114"/>
        <v>0.33180581664811792</v>
      </c>
      <c r="F671" s="47">
        <f t="shared" ca="1" si="115"/>
        <v>1651.85</v>
      </c>
      <c r="G671" s="32" t="str">
        <f t="shared" ca="1" si="116"/>
        <v>personal</v>
      </c>
      <c r="H67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71" t="str">
        <f t="shared" ca="1" si="117"/>
        <v>Sí</v>
      </c>
      <c r="J67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71" s="32">
        <f ca="1">IF(Tabla2[[#This Row],[¿cliente deuda abierta?]]="Sí", Tabla2[[#This Row],[Deuda actual]]*Tabla2[[#This Row],[diferencia de días]], "0")</f>
        <v>19822.199999999997</v>
      </c>
      <c r="L67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7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7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71">
        <f t="shared" ca="1" si="118"/>
        <v>1619.57</v>
      </c>
      <c r="P671">
        <f t="shared" ca="1" si="119"/>
        <v>425354.31</v>
      </c>
      <c r="Q671">
        <f t="shared" ca="1" si="120"/>
        <v>4</v>
      </c>
      <c r="R671">
        <f ca="1">((Tabla2[[#This Row],[Fantasma Comunicación]]+1)/(Tabla2[[#This Row],[Fantasma Comunicación]]+RANDBETWEEN(0,5)+2))-0.5</f>
        <v>0.33333333333333337</v>
      </c>
      <c r="S671" s="51">
        <f ca="1">1+MAX(0,Tabla2[[#This Row],[Deuda actual]]/Tabla2[[#This Row],[Liquidez]]+Tabla2[[#This Row],[Liquidez]]/(Tabla2[[#This Row],[Activos]]+Tabla2[[#This Row],[Liquidez]])+Tabla2[[#This Row],[Comunicación]])</f>
        <v>2.3570576856548722</v>
      </c>
      <c r="T671">
        <f ca="1">Tabla2[[#This Row],[Deuda actual]]*EXP(Tabla2[[#This Row],[Ki]]*Tabla2[[#This Row],[diferencia de días]])*(1+Tabla2[[#This Row],[Hg]])</f>
        <v>1738.6101611929541</v>
      </c>
    </row>
    <row r="672" spans="1:20" ht="14.5" x14ac:dyDescent="0.35">
      <c r="A672" t="e">
        <f t="shared" si="110"/>
        <v>#VALUE!</v>
      </c>
      <c r="B672" s="21">
        <f t="shared" ca="1" si="111"/>
        <v>46087</v>
      </c>
      <c r="C672" s="21">
        <f t="shared" ca="1" si="112"/>
        <v>46157</v>
      </c>
      <c r="D672">
        <f t="shared" ca="1" si="113"/>
        <v>0</v>
      </c>
      <c r="E672">
        <f t="shared" ca="1" si="114"/>
        <v>7.6709234735276466E-2</v>
      </c>
      <c r="F672" s="47">
        <f t="shared" ca="1" si="115"/>
        <v>10000</v>
      </c>
      <c r="G672" s="32" t="str">
        <f t="shared" ca="1" si="116"/>
        <v>personal</v>
      </c>
      <c r="H67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72" t="str">
        <f t="shared" ca="1" si="117"/>
        <v>Sí</v>
      </c>
      <c r="J67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72" s="32">
        <f ca="1">IF(Tabla2[[#This Row],[¿cliente deuda abierta?]]="Sí", Tabla2[[#This Row],[Deuda actual]]*Tabla2[[#This Row],[diferencia de días]], "0")</f>
        <v>0</v>
      </c>
      <c r="L67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7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72" s="32">
        <f ca="1">MAX(Tabla2[[#This Row],[VALORES DE Hg para actuales deudores]:[Valores de HG para deudores cerrados]])*IF(Tabla2[[#This Row],[VALORES DE Hg para actuales deudores]]&gt;Tabla2[[#This Row],[Valores de HG para deudores cerrados]],-1,1)</f>
        <v>0</v>
      </c>
      <c r="O672">
        <f t="shared" ca="1" si="118"/>
        <v>1549.08</v>
      </c>
      <c r="P672">
        <f t="shared" ca="1" si="119"/>
        <v>70878.3</v>
      </c>
      <c r="Q672">
        <f t="shared" ca="1" si="120"/>
        <v>4</v>
      </c>
      <c r="R672">
        <f ca="1">((Tabla2[[#This Row],[Fantasma Comunicación]]+1)/(Tabla2[[#This Row],[Fantasma Comunicación]]+RANDBETWEEN(0,5)+2))-0.5</f>
        <v>5.555555555555558E-2</v>
      </c>
      <c r="S672" s="51">
        <f ca="1">1+MAX(0,Tabla2[[#This Row],[Deuda actual]]/Tabla2[[#This Row],[Liquidez]]+Tabla2[[#This Row],[Liquidez]]/(Tabla2[[#This Row],[Activos]]+Tabla2[[#This Row],[Liquidez]])+Tabla2[[#This Row],[Comunicación]])</f>
        <v>7.5323881216000252</v>
      </c>
      <c r="T672">
        <f ca="1">Tabla2[[#This Row],[Deuda actual]]*EXP(Tabla2[[#This Row],[Ki]]*Tabla2[[#This Row],[diferencia de días]])*(1+Tabla2[[#This Row],[Hg]])</f>
        <v>10000</v>
      </c>
    </row>
    <row r="673" spans="1:20" ht="14.5" x14ac:dyDescent="0.35">
      <c r="A673" t="e">
        <f t="shared" si="110"/>
        <v>#VALUE!</v>
      </c>
      <c r="B673" s="21">
        <f t="shared" ca="1" si="111"/>
        <v>46098</v>
      </c>
      <c r="C673" s="21">
        <f t="shared" ca="1" si="112"/>
        <v>46157</v>
      </c>
      <c r="D673">
        <f t="shared" ca="1" si="113"/>
        <v>6</v>
      </c>
      <c r="E673">
        <f t="shared" ca="1" si="114"/>
        <v>0.52737922056371678</v>
      </c>
      <c r="F673" s="47">
        <f t="shared" ca="1" si="115"/>
        <v>606.04999999999995</v>
      </c>
      <c r="G673" s="32" t="str">
        <f t="shared" ca="1" si="116"/>
        <v>hipotecario</v>
      </c>
      <c r="H67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73" t="str">
        <f t="shared" ca="1" si="117"/>
        <v>Sí</v>
      </c>
      <c r="J67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73" s="32">
        <f ca="1">IF(Tabla2[[#This Row],[¿cliente deuda abierta?]]="Sí", Tabla2[[#This Row],[Deuda actual]]*Tabla2[[#This Row],[diferencia de días]], "0")</f>
        <v>3636.2999999999997</v>
      </c>
      <c r="L67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7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7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73">
        <f t="shared" ca="1" si="118"/>
        <v>1567.46</v>
      </c>
      <c r="P673">
        <f t="shared" ca="1" si="119"/>
        <v>109904.77</v>
      </c>
      <c r="Q673">
        <f t="shared" ca="1" si="120"/>
        <v>4</v>
      </c>
      <c r="R673">
        <f ca="1">((Tabla2[[#This Row],[Fantasma Comunicación]]+1)/(Tabla2[[#This Row],[Fantasma Comunicación]]+RANDBETWEEN(0,5)+2))-0.5</f>
        <v>0.125</v>
      </c>
      <c r="S673" s="51">
        <f ca="1">1+MAX(0,Tabla2[[#This Row],[Deuda actual]]/Tabla2[[#This Row],[Liquidez]]+Tabla2[[#This Row],[Liquidez]]/(Tabla2[[#This Row],[Activos]]+Tabla2[[#This Row],[Liquidez]])+Tabla2[[#This Row],[Comunicación]])</f>
        <v>1.5257060746076507</v>
      </c>
      <c r="T673">
        <f ca="1">Tabla2[[#This Row],[Deuda actual]]*EXP(Tabla2[[#This Row],[Ki]]*Tabla2[[#This Row],[diferencia de días]])*(1+Tabla2[[#This Row],[Hg]])</f>
        <v>637.11658135712446</v>
      </c>
    </row>
    <row r="674" spans="1:20" ht="14.5" x14ac:dyDescent="0.35">
      <c r="A674" t="e">
        <f t="shared" si="110"/>
        <v>#VALUE!</v>
      </c>
      <c r="B674" s="21">
        <f t="shared" ca="1" si="111"/>
        <v>46095</v>
      </c>
      <c r="C674" s="21">
        <f t="shared" ca="1" si="112"/>
        <v>46157</v>
      </c>
      <c r="D674">
        <f t="shared" ca="1" si="113"/>
        <v>3</v>
      </c>
      <c r="E674">
        <f t="shared" ca="1" si="114"/>
        <v>0.18408343145458594</v>
      </c>
      <c r="F674" s="47">
        <f t="shared" ca="1" si="115"/>
        <v>5761.93</v>
      </c>
      <c r="G674" s="32" t="str">
        <f t="shared" ca="1" si="116"/>
        <v>personal</v>
      </c>
      <c r="H67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74" t="str">
        <f t="shared" ca="1" si="117"/>
        <v>Sí</v>
      </c>
      <c r="J67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74" s="32">
        <f ca="1">IF(Tabla2[[#This Row],[¿cliente deuda abierta?]]="Sí", Tabla2[[#This Row],[Deuda actual]]*Tabla2[[#This Row],[diferencia de días]], "0")</f>
        <v>17285.79</v>
      </c>
      <c r="L67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7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7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74">
        <f t="shared" ca="1" si="118"/>
        <v>1244.07</v>
      </c>
      <c r="P674">
        <f t="shared" ca="1" si="119"/>
        <v>179805.05</v>
      </c>
      <c r="Q674">
        <f t="shared" ca="1" si="120"/>
        <v>1</v>
      </c>
      <c r="R674">
        <f ca="1">((Tabla2[[#This Row],[Fantasma Comunicación]]+1)/(Tabla2[[#This Row],[Fantasma Comunicación]]+RANDBETWEEN(0,5)+2))-0.5</f>
        <v>-9.9999999999999978E-2</v>
      </c>
      <c r="S674" s="51">
        <f ca="1">1+MAX(0,Tabla2[[#This Row],[Deuda actual]]/Tabla2[[#This Row],[Liquidez]]+Tabla2[[#This Row],[Liquidez]]/(Tabla2[[#This Row],[Activos]]+Tabla2[[#This Row],[Liquidez]])+Tabla2[[#This Row],[Comunicación]])</f>
        <v>5.5383873616187191</v>
      </c>
      <c r="T674">
        <f ca="1">Tabla2[[#This Row],[Deuda actual]]*EXP(Tabla2[[#This Row],[Ki]]*Tabla2[[#This Row],[diferencia de días]])*(1+Tabla2[[#This Row],[Hg]])</f>
        <v>6053.6576051226039</v>
      </c>
    </row>
    <row r="675" spans="1:20" ht="14.5" x14ac:dyDescent="0.35">
      <c r="A675" t="e">
        <f t="shared" si="110"/>
        <v>#VALUE!</v>
      </c>
      <c r="B675" s="21">
        <f t="shared" ca="1" si="111"/>
        <v>46137</v>
      </c>
      <c r="C675" s="21">
        <f t="shared" ca="1" si="112"/>
        <v>46157</v>
      </c>
      <c r="D675">
        <f t="shared" ca="1" si="113"/>
        <v>3</v>
      </c>
      <c r="E675">
        <f t="shared" ca="1" si="114"/>
        <v>0.20935998389423682</v>
      </c>
      <c r="F675" s="47">
        <f t="shared" ca="1" si="115"/>
        <v>1314.77</v>
      </c>
      <c r="G675" s="32" t="str">
        <f t="shared" ca="1" si="116"/>
        <v>hipotecario</v>
      </c>
      <c r="H67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75" t="str">
        <f t="shared" ca="1" si="117"/>
        <v>Sí</v>
      </c>
      <c r="J67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75" s="32">
        <f ca="1">IF(Tabla2[[#This Row],[¿cliente deuda abierta?]]="Sí", Tabla2[[#This Row],[Deuda actual]]*Tabla2[[#This Row],[diferencia de días]], "0")</f>
        <v>3944.31</v>
      </c>
      <c r="L67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7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7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75">
        <f t="shared" ca="1" si="118"/>
        <v>2327.06</v>
      </c>
      <c r="P675">
        <f t="shared" ca="1" si="119"/>
        <v>328588.86</v>
      </c>
      <c r="Q675">
        <f t="shared" ca="1" si="120"/>
        <v>3</v>
      </c>
      <c r="R675">
        <f ca="1">((Tabla2[[#This Row],[Fantasma Comunicación]]+1)/(Tabla2[[#This Row],[Fantasma Comunicación]]+RANDBETWEEN(0,5)+2))-0.5</f>
        <v>-5.555555555555558E-2</v>
      </c>
      <c r="S675" s="51">
        <f ca="1">1+MAX(0,Tabla2[[#This Row],[Deuda actual]]/Tabla2[[#This Row],[Liquidez]]+Tabla2[[#This Row],[Liquidez]]/(Tabla2[[#This Row],[Activos]]+Tabla2[[#This Row],[Liquidez]])+Tabla2[[#This Row],[Comunicación]])</f>
        <v>1.5164685016585029</v>
      </c>
      <c r="T675">
        <f ca="1">Tabla2[[#This Row],[Deuda actual]]*EXP(Tabla2[[#This Row],[Ki]]*Tabla2[[#This Row],[diferencia de días]])*(1+Tabla2[[#This Row],[Hg]])</f>
        <v>1381.3370536412358</v>
      </c>
    </row>
    <row r="676" spans="1:20" ht="14.5" x14ac:dyDescent="0.35">
      <c r="A676" t="e">
        <f t="shared" si="110"/>
        <v>#VALUE!</v>
      </c>
      <c r="B676" s="21">
        <f t="shared" ca="1" si="111"/>
        <v>46140</v>
      </c>
      <c r="C676" s="21">
        <f t="shared" ca="1" si="112"/>
        <v>46157</v>
      </c>
      <c r="D676">
        <f t="shared" ca="1" si="113"/>
        <v>25</v>
      </c>
      <c r="E676">
        <f t="shared" ca="1" si="114"/>
        <v>0.38843713562801419</v>
      </c>
      <c r="F676" s="47">
        <f t="shared" ca="1" si="115"/>
        <v>2057.86</v>
      </c>
      <c r="G676" s="32" t="str">
        <f t="shared" ca="1" si="116"/>
        <v>personal</v>
      </c>
      <c r="H67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676" t="str">
        <f t="shared" ca="1" si="117"/>
        <v>No</v>
      </c>
      <c r="J67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12000.305743566645</v>
      </c>
      <c r="K676" s="32" t="str">
        <f ca="1">IF(Tabla2[[#This Row],[¿cliente deuda abierta?]]="Sí", Tabla2[[#This Row],[Deuda actual]]*Tabla2[[#This Row],[diferencia de días]], "0")</f>
        <v>0</v>
      </c>
      <c r="L67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7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67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676">
        <f t="shared" ca="1" si="118"/>
        <v>1787.32</v>
      </c>
      <c r="P676">
        <f t="shared" ca="1" si="119"/>
        <v>24840.36</v>
      </c>
      <c r="Q676">
        <f t="shared" ca="1" si="120"/>
        <v>0</v>
      </c>
      <c r="R676">
        <f ca="1">((Tabla2[[#This Row],[Fantasma Comunicación]]+1)/(Tabla2[[#This Row],[Fantasma Comunicación]]+RANDBETWEEN(0,5)+2))-0.5</f>
        <v>-0.25</v>
      </c>
      <c r="S676" s="51">
        <f ca="1">1+MAX(0,Tabla2[[#This Row],[Deuda actual]]/Tabla2[[#This Row],[Liquidez]]+Tabla2[[#This Row],[Liquidez]]/(Tabla2[[#This Row],[Activos]]+Tabla2[[#This Row],[Liquidez]])+Tabla2[[#This Row],[Comunicación]])</f>
        <v>1.9684889247206154</v>
      </c>
      <c r="T676">
        <f ca="1">Tabla2[[#This Row],[Deuda actual]]*EXP(Tabla2[[#This Row],[Ki]]*Tabla2[[#This Row],[diferencia de días]])*(1+Tabla2[[#This Row],[Hg]])</f>
        <v>1870.6876531522435</v>
      </c>
    </row>
    <row r="677" spans="1:20" ht="14.5" x14ac:dyDescent="0.35">
      <c r="A677" t="e">
        <f t="shared" si="110"/>
        <v>#VALUE!</v>
      </c>
      <c r="B677" s="21">
        <f t="shared" ca="1" si="111"/>
        <v>46097</v>
      </c>
      <c r="C677" s="21">
        <f t="shared" ca="1" si="112"/>
        <v>46157</v>
      </c>
      <c r="D677">
        <f t="shared" ca="1" si="113"/>
        <v>10</v>
      </c>
      <c r="E677">
        <f t="shared" ca="1" si="114"/>
        <v>0.87992794255816387</v>
      </c>
      <c r="F677" s="47">
        <f t="shared" ca="1" si="115"/>
        <v>619.54</v>
      </c>
      <c r="G677" s="32" t="str">
        <f t="shared" ca="1" si="116"/>
        <v>hipotecario</v>
      </c>
      <c r="H67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77" t="str">
        <f t="shared" ca="1" si="117"/>
        <v>No</v>
      </c>
      <c r="J67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165000.16326578683</v>
      </c>
      <c r="K677" s="32" t="str">
        <f ca="1">IF(Tabla2[[#This Row],[¿cliente deuda abierta?]]="Sí", Tabla2[[#This Row],[Deuda actual]]*Tabla2[[#This Row],[diferencia de días]], "0")</f>
        <v>0</v>
      </c>
      <c r="L67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7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67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677">
        <f t="shared" ca="1" si="118"/>
        <v>1626.71</v>
      </c>
      <c r="P677">
        <f t="shared" ca="1" si="119"/>
        <v>341767.79</v>
      </c>
      <c r="Q677">
        <f t="shared" ca="1" si="120"/>
        <v>0</v>
      </c>
      <c r="R677">
        <f ca="1">((Tabla2[[#This Row],[Fantasma Comunicación]]+1)/(Tabla2[[#This Row],[Fantasma Comunicación]]+RANDBETWEEN(0,5)+2))-0.5</f>
        <v>-0.35714285714285715</v>
      </c>
      <c r="S677" s="51">
        <f ca="1">1+MAX(0,Tabla2[[#This Row],[Deuda actual]]/Tabla2[[#This Row],[Liquidez]]+Tabla2[[#This Row],[Liquidez]]/(Tabla2[[#This Row],[Activos]]+Tabla2[[#This Row],[Liquidez]])+Tabla2[[#This Row],[Comunicación]])</f>
        <v>1.0284488975818225</v>
      </c>
      <c r="T677">
        <f ca="1">Tabla2[[#This Row],[Deuda actual]]*EXP(Tabla2[[#This Row],[Ki]]*Tabla2[[#This Row],[diferencia de días]])*(1+Tabla2[[#This Row],[Hg]])</f>
        <v>496.6242559251732</v>
      </c>
    </row>
    <row r="678" spans="1:20" ht="14.5" x14ac:dyDescent="0.35">
      <c r="A678" t="e">
        <f t="shared" si="110"/>
        <v>#VALUE!</v>
      </c>
      <c r="B678" s="21">
        <f t="shared" ca="1" si="111"/>
        <v>46143</v>
      </c>
      <c r="C678" s="21">
        <f t="shared" ca="1" si="112"/>
        <v>46157</v>
      </c>
      <c r="D678">
        <f t="shared" ca="1" si="113"/>
        <v>8</v>
      </c>
      <c r="E678">
        <f t="shared" ca="1" si="114"/>
        <v>0.2915512006576354</v>
      </c>
      <c r="F678" s="47">
        <f t="shared" ca="1" si="115"/>
        <v>12.73</v>
      </c>
      <c r="G678" s="32" t="str">
        <f t="shared" ca="1" si="116"/>
        <v>hipotecario</v>
      </c>
      <c r="H67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78" t="str">
        <f t="shared" ca="1" si="117"/>
        <v>Sí</v>
      </c>
      <c r="J67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78" s="32">
        <f ca="1">IF(Tabla2[[#This Row],[¿cliente deuda abierta?]]="Sí", Tabla2[[#This Row],[Deuda actual]]*Tabla2[[#This Row],[diferencia de días]], "0")</f>
        <v>101.84</v>
      </c>
      <c r="L67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7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7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78">
        <f t="shared" ca="1" si="118"/>
        <v>1433.17</v>
      </c>
      <c r="P678">
        <f t="shared" ca="1" si="119"/>
        <v>208867.59</v>
      </c>
      <c r="Q678">
        <f t="shared" ca="1" si="120"/>
        <v>3</v>
      </c>
      <c r="R678">
        <f ca="1">((Tabla2[[#This Row],[Fantasma Comunicación]]+1)/(Tabla2[[#This Row],[Fantasma Comunicación]]+RANDBETWEEN(0,5)+2))-0.5</f>
        <v>0.30000000000000004</v>
      </c>
      <c r="S678" s="51">
        <f ca="1">1+MAX(0,Tabla2[[#This Row],[Deuda actual]]/Tabla2[[#This Row],[Liquidez]]+Tabla2[[#This Row],[Liquidez]]/(Tabla2[[#This Row],[Activos]]+Tabla2[[#This Row],[Liquidez]])+Tabla2[[#This Row],[Comunicación]])</f>
        <v>1.315697266401807</v>
      </c>
      <c r="T678">
        <f ca="1">Tabla2[[#This Row],[Deuda actual]]*EXP(Tabla2[[#This Row],[Ki]]*Tabla2[[#This Row],[diferencia de días]])*(1+Tabla2[[#This Row],[Hg]])</f>
        <v>13.387903518248516</v>
      </c>
    </row>
    <row r="679" spans="1:20" ht="14.5" x14ac:dyDescent="0.35">
      <c r="A679" t="e">
        <f t="shared" si="110"/>
        <v>#VALUE!</v>
      </c>
      <c r="B679" s="21">
        <f t="shared" ca="1" si="111"/>
        <v>46102</v>
      </c>
      <c r="C679" s="21">
        <f t="shared" ca="1" si="112"/>
        <v>46157</v>
      </c>
      <c r="D679">
        <f t="shared" ca="1" si="113"/>
        <v>7</v>
      </c>
      <c r="E679">
        <f t="shared" ca="1" si="114"/>
        <v>0.80253571870128393</v>
      </c>
      <c r="F679" s="47">
        <f t="shared" ca="1" si="115"/>
        <v>631.52</v>
      </c>
      <c r="G679" s="32" t="str">
        <f t="shared" ca="1" si="116"/>
        <v>hipotecario</v>
      </c>
      <c r="H67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79" t="str">
        <f t="shared" ca="1" si="117"/>
        <v>Sí</v>
      </c>
      <c r="J67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79" s="32">
        <f ca="1">IF(Tabla2[[#This Row],[¿cliente deuda abierta?]]="Sí", Tabla2[[#This Row],[Deuda actual]]*Tabla2[[#This Row],[diferencia de días]], "0")</f>
        <v>4420.6399999999994</v>
      </c>
      <c r="L67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7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7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79">
        <f t="shared" ca="1" si="118"/>
        <v>1422.34</v>
      </c>
      <c r="P679">
        <f t="shared" ca="1" si="119"/>
        <v>904520.8</v>
      </c>
      <c r="Q679">
        <f t="shared" ca="1" si="120"/>
        <v>5</v>
      </c>
      <c r="R679">
        <f ca="1">((Tabla2[[#This Row],[Fantasma Comunicación]]+1)/(Tabla2[[#This Row],[Fantasma Comunicación]]+RANDBETWEEN(0,5)+2))-0.5</f>
        <v>0</v>
      </c>
      <c r="S679" s="51">
        <f ca="1">1+MAX(0,Tabla2[[#This Row],[Deuda actual]]/Tabla2[[#This Row],[Liquidez]]+Tabla2[[#This Row],[Liquidez]]/(Tabla2[[#This Row],[Activos]]+Tabla2[[#This Row],[Liquidez]])+Tabla2[[#This Row],[Comunicación]])</f>
        <v>1.4455707414220993</v>
      </c>
      <c r="T679">
        <f ca="1">Tabla2[[#This Row],[Deuda actual]]*EXP(Tabla2[[#This Row],[Ki]]*Tabla2[[#This Row],[diferencia de días]])*(1+Tabla2[[#This Row],[Hg]])</f>
        <v>664.02498453744204</v>
      </c>
    </row>
    <row r="680" spans="1:20" ht="14.5" x14ac:dyDescent="0.35">
      <c r="A680" t="e">
        <f t="shared" si="110"/>
        <v>#VALUE!</v>
      </c>
      <c r="B680" s="21">
        <f t="shared" ca="1" si="111"/>
        <v>46128</v>
      </c>
      <c r="C680" s="21">
        <f t="shared" ca="1" si="112"/>
        <v>46157</v>
      </c>
      <c r="D680">
        <f t="shared" ca="1" si="113"/>
        <v>9</v>
      </c>
      <c r="E680">
        <f t="shared" ca="1" si="114"/>
        <v>0.19171242518339227</v>
      </c>
      <c r="F680" s="47">
        <f t="shared" ca="1" si="115"/>
        <v>2055.66</v>
      </c>
      <c r="G680" s="32" t="str">
        <f t="shared" ca="1" si="116"/>
        <v>personal</v>
      </c>
      <c r="H68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80" t="str">
        <f t="shared" ca="1" si="117"/>
        <v>Sí</v>
      </c>
      <c r="J68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80" s="32">
        <f ca="1">IF(Tabla2[[#This Row],[¿cliente deuda abierta?]]="Sí", Tabla2[[#This Row],[Deuda actual]]*Tabla2[[#This Row],[diferencia de días]], "0")</f>
        <v>18500.939999999999</v>
      </c>
      <c r="L68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8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8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80">
        <f t="shared" ca="1" si="118"/>
        <v>1716.89</v>
      </c>
      <c r="P680">
        <f t="shared" ca="1" si="119"/>
        <v>593515.74</v>
      </c>
      <c r="Q680">
        <f t="shared" ca="1" si="120"/>
        <v>0</v>
      </c>
      <c r="R680">
        <f ca="1">((Tabla2[[#This Row],[Fantasma Comunicación]]+1)/(Tabla2[[#This Row],[Fantasma Comunicación]]+RANDBETWEEN(0,5)+2))-0.5</f>
        <v>-0.33333333333333337</v>
      </c>
      <c r="S680" s="51">
        <f ca="1">1+MAX(0,Tabla2[[#This Row],[Deuda actual]]/Tabla2[[#This Row],[Liquidez]]+Tabla2[[#This Row],[Liquidez]]/(Tabla2[[#This Row],[Activos]]+Tabla2[[#This Row],[Liquidez]])+Tabla2[[#This Row],[Comunicación]])</f>
        <v>1.8668671456759514</v>
      </c>
      <c r="T680">
        <f ca="1">Tabla2[[#This Row],[Deuda actual]]*EXP(Tabla2[[#This Row],[Ki]]*Tabla2[[#This Row],[diferencia de días]])*(1+Tabla2[[#This Row],[Hg]])</f>
        <v>2162.3316961766109</v>
      </c>
    </row>
    <row r="681" spans="1:20" ht="14.5" x14ac:dyDescent="0.35">
      <c r="A681" t="e">
        <f t="shared" si="110"/>
        <v>#VALUE!</v>
      </c>
      <c r="B681" s="21">
        <f t="shared" ca="1" si="111"/>
        <v>46094</v>
      </c>
      <c r="C681" s="21">
        <f t="shared" ca="1" si="112"/>
        <v>46157</v>
      </c>
      <c r="D681">
        <f t="shared" ca="1" si="113"/>
        <v>8</v>
      </c>
      <c r="E681">
        <f t="shared" ca="1" si="114"/>
        <v>0.14122350273892881</v>
      </c>
      <c r="F681" s="47">
        <f t="shared" ca="1" si="115"/>
        <v>1311.76</v>
      </c>
      <c r="G681" s="32" t="str">
        <f t="shared" ca="1" si="116"/>
        <v>personal</v>
      </c>
      <c r="H68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81" t="str">
        <f t="shared" ca="1" si="117"/>
        <v>Sí</v>
      </c>
      <c r="J68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81" s="32">
        <f ca="1">IF(Tabla2[[#This Row],[¿cliente deuda abierta?]]="Sí", Tabla2[[#This Row],[Deuda actual]]*Tabla2[[#This Row],[diferencia de días]], "0")</f>
        <v>10494.08</v>
      </c>
      <c r="L68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8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8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81">
        <f t="shared" ca="1" si="118"/>
        <v>1482.05</v>
      </c>
      <c r="P681">
        <f t="shared" ca="1" si="119"/>
        <v>140394.23000000001</v>
      </c>
      <c r="Q681">
        <f t="shared" ca="1" si="120"/>
        <v>4</v>
      </c>
      <c r="R681">
        <f ca="1">((Tabla2[[#This Row],[Fantasma Comunicación]]+1)/(Tabla2[[#This Row],[Fantasma Comunicación]]+RANDBETWEEN(0,5)+2))-0.5</f>
        <v>-4.545454545454547E-2</v>
      </c>
      <c r="S681" s="51">
        <f ca="1">1+MAX(0,Tabla2[[#This Row],[Deuda actual]]/Tabla2[[#This Row],[Liquidez]]+Tabla2[[#This Row],[Liquidez]]/(Tabla2[[#This Row],[Activos]]+Tabla2[[#This Row],[Liquidez]])+Tabla2[[#This Row],[Comunicación]])</f>
        <v>1.8500898712122653</v>
      </c>
      <c r="T681">
        <f ca="1">Tabla2[[#This Row],[Deuda actual]]*EXP(Tabla2[[#This Row],[Ki]]*Tabla2[[#This Row],[diferencia de días]])*(1+Tabla2[[#This Row],[Hg]])</f>
        <v>1379.553520746086</v>
      </c>
    </row>
    <row r="682" spans="1:20" ht="14.5" x14ac:dyDescent="0.35">
      <c r="A682" t="e">
        <f t="shared" si="110"/>
        <v>#VALUE!</v>
      </c>
      <c r="B682" s="21">
        <f t="shared" ca="1" si="111"/>
        <v>46107</v>
      </c>
      <c r="C682" s="21">
        <f t="shared" ca="1" si="112"/>
        <v>46157</v>
      </c>
      <c r="D682">
        <f t="shared" ca="1" si="113"/>
        <v>33</v>
      </c>
      <c r="E682">
        <f t="shared" ca="1" si="114"/>
        <v>0.47016958868879866</v>
      </c>
      <c r="F682" s="47">
        <f t="shared" ca="1" si="115"/>
        <v>1526.96</v>
      </c>
      <c r="G682" s="32" t="str">
        <f t="shared" ca="1" si="116"/>
        <v>personal</v>
      </c>
      <c r="H68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682" t="str">
        <f t="shared" ca="1" si="117"/>
        <v>Sí</v>
      </c>
      <c r="J68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82" s="32">
        <f ca="1">IF(Tabla2[[#This Row],[¿cliente deuda abierta?]]="Sí", Tabla2[[#This Row],[Deuda actual]]*Tabla2[[#This Row],[diferencia de días]], "0")</f>
        <v>50389.68</v>
      </c>
      <c r="L68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68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82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682">
        <f t="shared" ca="1" si="118"/>
        <v>1735.57</v>
      </c>
      <c r="P682">
        <f t="shared" ca="1" si="119"/>
        <v>110115.44</v>
      </c>
      <c r="Q682">
        <f t="shared" ca="1" si="120"/>
        <v>4</v>
      </c>
      <c r="R682">
        <f ca="1">((Tabla2[[#This Row],[Fantasma Comunicación]]+1)/(Tabla2[[#This Row],[Fantasma Comunicación]]+RANDBETWEEN(0,5)+2))-0.5</f>
        <v>0.33333333333333337</v>
      </c>
      <c r="S682" s="51">
        <f ca="1">1+MAX(0,Tabla2[[#This Row],[Deuda actual]]/Tabla2[[#This Row],[Liquidez]]+Tabla2[[#This Row],[Liquidez]]/(Tabla2[[#This Row],[Activos]]+Tabla2[[#This Row],[Liquidez]])+Tabla2[[#This Row],[Comunicación]])</f>
        <v>2.2286533126050792</v>
      </c>
      <c r="T682">
        <f ca="1">Tabla2[[#This Row],[Deuda actual]]*EXP(Tabla2[[#This Row],[Ki]]*Tabla2[[#This Row],[diferencia de días]])*(1+Tabla2[[#This Row],[Hg]])</f>
        <v>1736.0093645398945</v>
      </c>
    </row>
    <row r="683" spans="1:20" ht="14.5" x14ac:dyDescent="0.35">
      <c r="A683" t="e">
        <f t="shared" si="110"/>
        <v>#VALUE!</v>
      </c>
      <c r="B683" s="21">
        <f t="shared" ca="1" si="111"/>
        <v>46102</v>
      </c>
      <c r="C683" s="21">
        <f t="shared" ca="1" si="112"/>
        <v>46157</v>
      </c>
      <c r="D683">
        <f t="shared" ca="1" si="113"/>
        <v>4</v>
      </c>
      <c r="E683">
        <f t="shared" ca="1" si="114"/>
        <v>0.87701029545710774</v>
      </c>
      <c r="F683" s="47">
        <f t="shared" ca="1" si="115"/>
        <v>100.39</v>
      </c>
      <c r="G683" s="32" t="str">
        <f t="shared" ca="1" si="116"/>
        <v>personal</v>
      </c>
      <c r="H68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83" t="str">
        <f t="shared" ca="1" si="117"/>
        <v>Sí</v>
      </c>
      <c r="J68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83" s="32">
        <f ca="1">IF(Tabla2[[#This Row],[¿cliente deuda abierta?]]="Sí", Tabla2[[#This Row],[Deuda actual]]*Tabla2[[#This Row],[diferencia de días]], "0")</f>
        <v>401.56</v>
      </c>
      <c r="L68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8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8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83">
        <f t="shared" ca="1" si="118"/>
        <v>1540.24</v>
      </c>
      <c r="P683">
        <f t="shared" ca="1" si="119"/>
        <v>194549.43</v>
      </c>
      <c r="Q683">
        <f t="shared" ca="1" si="120"/>
        <v>2</v>
      </c>
      <c r="R683">
        <f ca="1">((Tabla2[[#This Row],[Fantasma Comunicación]]+1)/(Tabla2[[#This Row],[Fantasma Comunicación]]+RANDBETWEEN(0,5)+2))-0.5</f>
        <v>9.9999999999999978E-2</v>
      </c>
      <c r="S683" s="51">
        <f ca="1">1+MAX(0,Tabla2[[#This Row],[Deuda actual]]/Tabla2[[#This Row],[Liquidez]]+Tabla2[[#This Row],[Liquidez]]/(Tabla2[[#This Row],[Activos]]+Tabla2[[#This Row],[Liquidez]])+Tabla2[[#This Row],[Comunicación]])</f>
        <v>1.1730329278418445</v>
      </c>
      <c r="T683">
        <f ca="1">Tabla2[[#This Row],[Deuda actual]]*EXP(Tabla2[[#This Row],[Ki]]*Tabla2[[#This Row],[diferencia de días]])*(1+Tabla2[[#This Row],[Hg]])</f>
        <v>105.49386134003674</v>
      </c>
    </row>
    <row r="684" spans="1:20" ht="14.5" x14ac:dyDescent="0.35">
      <c r="A684" t="e">
        <f t="shared" si="110"/>
        <v>#VALUE!</v>
      </c>
      <c r="B684" s="21">
        <f t="shared" ca="1" si="111"/>
        <v>46121</v>
      </c>
      <c r="C684" s="21">
        <f t="shared" ca="1" si="112"/>
        <v>46157</v>
      </c>
      <c r="D684">
        <f t="shared" ca="1" si="113"/>
        <v>16</v>
      </c>
      <c r="E684">
        <f t="shared" ca="1" si="114"/>
        <v>0.78494655722446105</v>
      </c>
      <c r="F684" s="47">
        <f t="shared" ca="1" si="115"/>
        <v>3342.5</v>
      </c>
      <c r="G684" s="32" t="str">
        <f t="shared" ca="1" si="116"/>
        <v>personal</v>
      </c>
      <c r="H68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684" t="str">
        <f t="shared" ca="1" si="117"/>
        <v>No</v>
      </c>
      <c r="J68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11999.211133734249</v>
      </c>
      <c r="K684" s="32" t="str">
        <f ca="1">IF(Tabla2[[#This Row],[¿cliente deuda abierta?]]="Sí", Tabla2[[#This Row],[Deuda actual]]*Tabla2[[#This Row],[diferencia de días]], "0")</f>
        <v>0</v>
      </c>
      <c r="L68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8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68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684">
        <f t="shared" ca="1" si="118"/>
        <v>1506.12</v>
      </c>
      <c r="P684">
        <f t="shared" ca="1" si="119"/>
        <v>40465.629999999997</v>
      </c>
      <c r="Q684">
        <f t="shared" ca="1" si="120"/>
        <v>5</v>
      </c>
      <c r="R684">
        <f ca="1">((Tabla2[[#This Row],[Fantasma Comunicación]]+1)/(Tabla2[[#This Row],[Fantasma Comunicación]]+RANDBETWEEN(0,5)+2))-0.5</f>
        <v>0.25</v>
      </c>
      <c r="S684" s="51">
        <f ca="1">1+MAX(0,Tabla2[[#This Row],[Deuda actual]]/Tabla2[[#This Row],[Liquidez]]+Tabla2[[#This Row],[Liquidez]]/(Tabla2[[#This Row],[Activos]]+Tabla2[[#This Row],[Liquidez]])+Tabla2[[#This Row],[Comunicación]])</f>
        <v>3.5051628126875101</v>
      </c>
      <c r="T684">
        <f ca="1">Tabla2[[#This Row],[Deuda actual]]*EXP(Tabla2[[#This Row],[Ki]]*Tabla2[[#This Row],[diferencia de días]])*(1+Tabla2[[#This Row],[Hg]])</f>
        <v>3027.5645406030094</v>
      </c>
    </row>
    <row r="685" spans="1:20" ht="14.5" x14ac:dyDescent="0.35">
      <c r="A685" t="e">
        <f t="shared" si="110"/>
        <v>#VALUE!</v>
      </c>
      <c r="B685" s="21">
        <f t="shared" ca="1" si="111"/>
        <v>46118</v>
      </c>
      <c r="C685" s="21">
        <f t="shared" ca="1" si="112"/>
        <v>46157</v>
      </c>
      <c r="D685">
        <f t="shared" ca="1" si="113"/>
        <v>14</v>
      </c>
      <c r="E685">
        <f t="shared" ca="1" si="114"/>
        <v>0.77011790178910566</v>
      </c>
      <c r="F685" s="47">
        <f t="shared" ca="1" si="115"/>
        <v>651.39</v>
      </c>
      <c r="G685" s="32" t="str">
        <f t="shared" ca="1" si="116"/>
        <v>personal</v>
      </c>
      <c r="H68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85" t="str">
        <f t="shared" ca="1" si="117"/>
        <v>Sí</v>
      </c>
      <c r="J68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85" s="32">
        <f ca="1">IF(Tabla2[[#This Row],[¿cliente deuda abierta?]]="Sí", Tabla2[[#This Row],[Deuda actual]]*Tabla2[[#This Row],[diferencia de días]], "0")</f>
        <v>9119.4599999999991</v>
      </c>
      <c r="L68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8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8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85">
        <f t="shared" ca="1" si="118"/>
        <v>1650.13</v>
      </c>
      <c r="P685">
        <f t="shared" ca="1" si="119"/>
        <v>74378.25</v>
      </c>
      <c r="Q685">
        <f t="shared" ca="1" si="120"/>
        <v>4</v>
      </c>
      <c r="R685">
        <f ca="1">((Tabla2[[#This Row],[Fantasma Comunicación]]+1)/(Tabla2[[#This Row],[Fantasma Comunicación]]+RANDBETWEEN(0,5)+2))-0.5</f>
        <v>5.555555555555558E-2</v>
      </c>
      <c r="S685" s="51">
        <f ca="1">1+MAX(0,Tabla2[[#This Row],[Deuda actual]]/Tabla2[[#This Row],[Liquidez]]+Tabla2[[#This Row],[Liquidez]]/(Tabla2[[#This Row],[Activos]]+Tabla2[[#This Row],[Liquidez]])+Tabla2[[#This Row],[Comunicación]])</f>
        <v>1.4720104042280262</v>
      </c>
      <c r="T685">
        <f ca="1">Tabla2[[#This Row],[Deuda actual]]*EXP(Tabla2[[#This Row],[Ki]]*Tabla2[[#This Row],[diferencia de días]])*(1+Tabla2[[#This Row],[Hg]])</f>
        <v>685.87727022537251</v>
      </c>
    </row>
    <row r="686" spans="1:20" ht="14.5" x14ac:dyDescent="0.35">
      <c r="A686" t="e">
        <f t="shared" si="110"/>
        <v>#VALUE!</v>
      </c>
      <c r="B686" s="21">
        <f t="shared" ca="1" si="111"/>
        <v>46100</v>
      </c>
      <c r="C686" s="21">
        <f t="shared" ca="1" si="112"/>
        <v>46157</v>
      </c>
      <c r="D686">
        <f t="shared" ca="1" si="113"/>
        <v>2</v>
      </c>
      <c r="E686">
        <f t="shared" ca="1" si="114"/>
        <v>0.90980177030812204</v>
      </c>
      <c r="F686" s="47">
        <f t="shared" ca="1" si="115"/>
        <v>10000</v>
      </c>
      <c r="G686" s="32" t="str">
        <f t="shared" ca="1" si="116"/>
        <v>hipotecario</v>
      </c>
      <c r="H68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86" t="str">
        <f t="shared" ca="1" si="117"/>
        <v>Sí</v>
      </c>
      <c r="J68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86" s="32">
        <f ca="1">IF(Tabla2[[#This Row],[¿cliente deuda abierta?]]="Sí", Tabla2[[#This Row],[Deuda actual]]*Tabla2[[#This Row],[diferencia de días]], "0")</f>
        <v>20000</v>
      </c>
      <c r="L68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8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8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86">
        <f t="shared" ca="1" si="118"/>
        <v>1705.01</v>
      </c>
      <c r="P686">
        <f t="shared" ca="1" si="119"/>
        <v>113663.71</v>
      </c>
      <c r="Q686">
        <f t="shared" ca="1" si="120"/>
        <v>1</v>
      </c>
      <c r="R686">
        <f ca="1">((Tabla2[[#This Row],[Fantasma Comunicación]]+1)/(Tabla2[[#This Row],[Fantasma Comunicación]]+RANDBETWEEN(0,5)+2))-0.5</f>
        <v>-0.2142857142857143</v>
      </c>
      <c r="S686" s="51">
        <f ca="1">1+MAX(0,Tabla2[[#This Row],[Deuda actual]]/Tabla2[[#This Row],[Liquidez]]+Tabla2[[#This Row],[Liquidez]]/(Tabla2[[#This Row],[Activos]]+Tabla2[[#This Row],[Liquidez]])+Tabla2[[#This Row],[Comunicación]])</f>
        <v>6.6655613150426012</v>
      </c>
      <c r="T686">
        <f ca="1">Tabla2[[#This Row],[Deuda actual]]*EXP(Tabla2[[#This Row],[Ki]]*Tabla2[[#This Row],[diferencia de días]])*(1+Tabla2[[#This Row],[Hg]])</f>
        <v>10504.200840112013</v>
      </c>
    </row>
    <row r="687" spans="1:20" ht="14.5" x14ac:dyDescent="0.35">
      <c r="A687" t="e">
        <f t="shared" si="110"/>
        <v>#VALUE!</v>
      </c>
      <c r="B687" s="21">
        <f t="shared" ca="1" si="111"/>
        <v>46119</v>
      </c>
      <c r="C687" s="21">
        <f t="shared" ca="1" si="112"/>
        <v>46157</v>
      </c>
      <c r="D687">
        <f t="shared" ca="1" si="113"/>
        <v>14</v>
      </c>
      <c r="E687">
        <f t="shared" ca="1" si="114"/>
        <v>0.28276218505335793</v>
      </c>
      <c r="F687" s="47">
        <f t="shared" ca="1" si="115"/>
        <v>257.52999999999997</v>
      </c>
      <c r="G687" s="32" t="str">
        <f t="shared" ca="1" si="116"/>
        <v>hipotecario</v>
      </c>
      <c r="H68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87" t="str">
        <f t="shared" ca="1" si="117"/>
        <v>Sí</v>
      </c>
      <c r="J68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87" s="32">
        <f ca="1">IF(Tabla2[[#This Row],[¿cliente deuda abierta?]]="Sí", Tabla2[[#This Row],[Deuda actual]]*Tabla2[[#This Row],[diferencia de días]], "0")</f>
        <v>3605.4199999999996</v>
      </c>
      <c r="L68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8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8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87">
        <f t="shared" ca="1" si="118"/>
        <v>1132.69</v>
      </c>
      <c r="P687">
        <f t="shared" ca="1" si="119"/>
        <v>104949.78</v>
      </c>
      <c r="Q687">
        <f t="shared" ca="1" si="120"/>
        <v>4</v>
      </c>
      <c r="R687">
        <f ca="1">((Tabla2[[#This Row],[Fantasma Comunicación]]+1)/(Tabla2[[#This Row],[Fantasma Comunicación]]+RANDBETWEEN(0,5)+2))-0.5</f>
        <v>0.125</v>
      </c>
      <c r="S687" s="51">
        <f ca="1">1+MAX(0,Tabla2[[#This Row],[Deuda actual]]/Tabla2[[#This Row],[Liquidez]]+Tabla2[[#This Row],[Liquidez]]/(Tabla2[[#This Row],[Activos]]+Tabla2[[#This Row],[Liquidez]])+Tabla2[[#This Row],[Comunicación]])</f>
        <v>1.3630388614405065</v>
      </c>
      <c r="T687">
        <f ca="1">Tabla2[[#This Row],[Deuda actual]]*EXP(Tabla2[[#This Row],[Ki]]*Tabla2[[#This Row],[diferencia de días]])*(1+Tabla2[[#This Row],[Hg]])</f>
        <v>271.16469918350015</v>
      </c>
    </row>
    <row r="688" spans="1:20" ht="14.5" x14ac:dyDescent="0.35">
      <c r="A688" t="e">
        <f t="shared" si="110"/>
        <v>#VALUE!</v>
      </c>
      <c r="B688" s="21">
        <f t="shared" ca="1" si="111"/>
        <v>46084</v>
      </c>
      <c r="C688" s="21">
        <f t="shared" ca="1" si="112"/>
        <v>46157</v>
      </c>
      <c r="D688">
        <f t="shared" ca="1" si="113"/>
        <v>1</v>
      </c>
      <c r="E688">
        <f t="shared" ca="1" si="114"/>
        <v>2.2637505040850159E-2</v>
      </c>
      <c r="F688" s="47">
        <f t="shared" ca="1" si="115"/>
        <v>511.96</v>
      </c>
      <c r="G688" s="32" t="str">
        <f t="shared" ca="1" si="116"/>
        <v>hipotecario</v>
      </c>
      <c r="H68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88" t="str">
        <f t="shared" ca="1" si="117"/>
        <v>Sí</v>
      </c>
      <c r="J68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88" s="32">
        <f ca="1">IF(Tabla2[[#This Row],[¿cliente deuda abierta?]]="Sí", Tabla2[[#This Row],[Deuda actual]]*Tabla2[[#This Row],[diferencia de días]], "0")</f>
        <v>511.96</v>
      </c>
      <c r="L68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8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8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88">
        <f t="shared" ca="1" si="118"/>
        <v>1200.1400000000001</v>
      </c>
      <c r="P688">
        <f t="shared" ca="1" si="119"/>
        <v>176629.16</v>
      </c>
      <c r="Q688">
        <f t="shared" ca="1" si="120"/>
        <v>5</v>
      </c>
      <c r="R688">
        <f ca="1">((Tabla2[[#This Row],[Fantasma Comunicación]]+1)/(Tabla2[[#This Row],[Fantasma Comunicación]]+RANDBETWEEN(0,5)+2))-0.5</f>
        <v>9.9999999999999978E-2</v>
      </c>
      <c r="S688" s="51">
        <f ca="1">1+MAX(0,Tabla2[[#This Row],[Deuda actual]]/Tabla2[[#This Row],[Liquidez]]+Tabla2[[#This Row],[Liquidez]]/(Tabla2[[#This Row],[Activos]]+Tabla2[[#This Row],[Liquidez]])+Tabla2[[#This Row],[Comunicación]])</f>
        <v>1.5333323968549615</v>
      </c>
      <c r="T688">
        <f ca="1">Tabla2[[#This Row],[Deuda actual]]*EXP(Tabla2[[#This Row],[Ki]]*Tabla2[[#This Row],[diferencia de días]])*(1+Tabla2[[#This Row],[Hg]])</f>
        <v>537.6655223518768</v>
      </c>
    </row>
    <row r="689" spans="1:20" ht="14.5" x14ac:dyDescent="0.35">
      <c r="A689" t="e">
        <f t="shared" si="110"/>
        <v>#VALUE!</v>
      </c>
      <c r="B689" s="21">
        <f t="shared" ca="1" si="111"/>
        <v>46085</v>
      </c>
      <c r="C689" s="21">
        <f t="shared" ca="1" si="112"/>
        <v>46157</v>
      </c>
      <c r="D689">
        <f t="shared" ca="1" si="113"/>
        <v>22</v>
      </c>
      <c r="E689">
        <f t="shared" ca="1" si="114"/>
        <v>0.8897828616246195</v>
      </c>
      <c r="F689" s="47">
        <f t="shared" ca="1" si="115"/>
        <v>1658.18</v>
      </c>
      <c r="G689" s="32" t="str">
        <f t="shared" ca="1" si="116"/>
        <v>hipotecario</v>
      </c>
      <c r="H68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689" t="str">
        <f t="shared" ca="1" si="117"/>
        <v>Sí</v>
      </c>
      <c r="J68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89" s="32">
        <f ca="1">IF(Tabla2[[#This Row],[¿cliente deuda abierta?]]="Sí", Tabla2[[#This Row],[Deuda actual]]*Tabla2[[#This Row],[diferencia de días]], "0")</f>
        <v>36479.96</v>
      </c>
      <c r="L68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68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89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689">
        <f t="shared" ca="1" si="118"/>
        <v>2043.03</v>
      </c>
      <c r="P689">
        <f t="shared" ca="1" si="119"/>
        <v>83269.09</v>
      </c>
      <c r="Q689">
        <f t="shared" ca="1" si="120"/>
        <v>2</v>
      </c>
      <c r="R689">
        <f ca="1">((Tabla2[[#This Row],[Fantasma Comunicación]]+1)/(Tabla2[[#This Row],[Fantasma Comunicación]]+RANDBETWEEN(0,5)+2))-0.5</f>
        <v>-0.125</v>
      </c>
      <c r="S689" s="51">
        <f ca="1">1+MAX(0,Tabla2[[#This Row],[Deuda actual]]/Tabla2[[#This Row],[Liquidez]]+Tabla2[[#This Row],[Liquidez]]/(Tabla2[[#This Row],[Activos]]+Tabla2[[#This Row],[Liquidez]])+Tabla2[[#This Row],[Comunicación]])</f>
        <v>1.7105755383595296</v>
      </c>
      <c r="T689">
        <f ca="1">Tabla2[[#This Row],[Deuda actual]]*EXP(Tabla2[[#This Row],[Ki]]*Tabla2[[#This Row],[diferencia de días]])*(1+Tabla2[[#This Row],[Hg]])</f>
        <v>1840.1200152263925</v>
      </c>
    </row>
    <row r="690" spans="1:20" ht="14.5" x14ac:dyDescent="0.35">
      <c r="A690" t="e">
        <f t="shared" si="110"/>
        <v>#VALUE!</v>
      </c>
      <c r="B690" s="21">
        <f t="shared" ca="1" si="111"/>
        <v>46115</v>
      </c>
      <c r="C690" s="21">
        <f t="shared" ca="1" si="112"/>
        <v>46157</v>
      </c>
      <c r="D690">
        <f t="shared" ca="1" si="113"/>
        <v>4</v>
      </c>
      <c r="E690">
        <f t="shared" ca="1" si="114"/>
        <v>0.51099877009686934</v>
      </c>
      <c r="F690" s="47">
        <f t="shared" ca="1" si="115"/>
        <v>519.20000000000005</v>
      </c>
      <c r="G690" s="32" t="str">
        <f t="shared" ca="1" si="116"/>
        <v>personal</v>
      </c>
      <c r="H69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90" t="str">
        <f t="shared" ca="1" si="117"/>
        <v>No</v>
      </c>
      <c r="J69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11999.751028381501</v>
      </c>
      <c r="K690" s="32" t="str">
        <f ca="1">IF(Tabla2[[#This Row],[¿cliente deuda abierta?]]="Sí", Tabla2[[#This Row],[Deuda actual]]*Tabla2[[#This Row],[diferencia de días]], "0")</f>
        <v>0</v>
      </c>
      <c r="L69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9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69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690">
        <f t="shared" ca="1" si="118"/>
        <v>1792.56</v>
      </c>
      <c r="P690">
        <f t="shared" ca="1" si="119"/>
        <v>153183.82999999999</v>
      </c>
      <c r="Q690">
        <f t="shared" ca="1" si="120"/>
        <v>1</v>
      </c>
      <c r="R690">
        <f ca="1">((Tabla2[[#This Row],[Fantasma Comunicación]]+1)/(Tabla2[[#This Row],[Fantasma Comunicación]]+RANDBETWEEN(0,5)+2))-0.5</f>
        <v>-0.25</v>
      </c>
      <c r="S690" s="51">
        <f ca="1">1+MAX(0,Tabla2[[#This Row],[Deuda actual]]/Tabla2[[#This Row],[Liquidez]]+Tabla2[[#This Row],[Liquidez]]/(Tabla2[[#This Row],[Activos]]+Tabla2[[#This Row],[Liquidez]])+Tabla2[[#This Row],[Comunicación]])</f>
        <v>1.0512082949378978</v>
      </c>
      <c r="T690">
        <f ca="1">Tabla2[[#This Row],[Deuda actual]]*EXP(Tabla2[[#This Row],[Ki]]*Tabla2[[#This Row],[diferencia de días]])*(1+Tabla2[[#This Row],[Hg]])</f>
        <v>467.65397356948262</v>
      </c>
    </row>
    <row r="691" spans="1:20" ht="14.5" x14ac:dyDescent="0.35">
      <c r="A691" t="e">
        <f t="shared" si="110"/>
        <v>#VALUE!</v>
      </c>
      <c r="B691" s="21">
        <f t="shared" ca="1" si="111"/>
        <v>46121</v>
      </c>
      <c r="C691" s="21">
        <f t="shared" ca="1" si="112"/>
        <v>46157</v>
      </c>
      <c r="D691">
        <f t="shared" ca="1" si="113"/>
        <v>31</v>
      </c>
      <c r="E691">
        <f t="shared" ca="1" si="114"/>
        <v>0.25563815214420915</v>
      </c>
      <c r="F691" s="47">
        <f t="shared" ca="1" si="115"/>
        <v>776.55</v>
      </c>
      <c r="G691" s="32" t="str">
        <f t="shared" ca="1" si="116"/>
        <v>personal</v>
      </c>
      <c r="H69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691" t="str">
        <f t="shared" ca="1" si="117"/>
        <v>Sí</v>
      </c>
      <c r="J69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91" s="32">
        <f ca="1">IF(Tabla2[[#This Row],[¿cliente deuda abierta?]]="Sí", Tabla2[[#This Row],[Deuda actual]]*Tabla2[[#This Row],[diferencia de días]], "0")</f>
        <v>24073.05</v>
      </c>
      <c r="L69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9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9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91">
        <f t="shared" ca="1" si="118"/>
        <v>1417.88</v>
      </c>
      <c r="P691">
        <f t="shared" ca="1" si="119"/>
        <v>374197.13</v>
      </c>
      <c r="Q691">
        <f t="shared" ca="1" si="120"/>
        <v>4</v>
      </c>
      <c r="R691">
        <f ca="1">((Tabla2[[#This Row],[Fantasma Comunicación]]+1)/(Tabla2[[#This Row],[Fantasma Comunicación]]+RANDBETWEEN(0,5)+2))-0.5</f>
        <v>0.125</v>
      </c>
      <c r="S691" s="51">
        <f ca="1">1+MAX(0,Tabla2[[#This Row],[Deuda actual]]/Tabla2[[#This Row],[Liquidez]]+Tabla2[[#This Row],[Liquidez]]/(Tabla2[[#This Row],[Activos]]+Tabla2[[#This Row],[Liquidez]])+Tabla2[[#This Row],[Comunicación]])</f>
        <v>1.6764586885772772</v>
      </c>
      <c r="T691">
        <f ca="1">Tabla2[[#This Row],[Deuda actual]]*EXP(Tabla2[[#This Row],[Ki]]*Tabla2[[#This Row],[diferencia de días]])*(1+Tabla2[[#This Row],[Hg]])</f>
        <v>841.05007144523313</v>
      </c>
    </row>
    <row r="692" spans="1:20" ht="14.5" x14ac:dyDescent="0.35">
      <c r="A692" t="e">
        <f t="shared" si="110"/>
        <v>#VALUE!</v>
      </c>
      <c r="B692" s="21">
        <f t="shared" ca="1" si="111"/>
        <v>46115</v>
      </c>
      <c r="C692" s="21">
        <f t="shared" ca="1" si="112"/>
        <v>46157</v>
      </c>
      <c r="D692">
        <f t="shared" ca="1" si="113"/>
        <v>11</v>
      </c>
      <c r="E692">
        <f t="shared" ca="1" si="114"/>
        <v>0.45392770308554398</v>
      </c>
      <c r="F692" s="47">
        <f t="shared" ca="1" si="115"/>
        <v>8802.43</v>
      </c>
      <c r="G692" s="32" t="str">
        <f t="shared" ca="1" si="116"/>
        <v>personal</v>
      </c>
      <c r="H69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92" t="str">
        <f t="shared" ca="1" si="117"/>
        <v>No</v>
      </c>
      <c r="J69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11999.605823107408</v>
      </c>
      <c r="K692" s="32" t="str">
        <f ca="1">IF(Tabla2[[#This Row],[¿cliente deuda abierta?]]="Sí", Tabla2[[#This Row],[Deuda actual]]*Tabla2[[#This Row],[diferencia de días]], "0")</f>
        <v>0</v>
      </c>
      <c r="L69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9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69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692">
        <f t="shared" ca="1" si="118"/>
        <v>1403.08</v>
      </c>
      <c r="P692">
        <f t="shared" ca="1" si="119"/>
        <v>119284.73</v>
      </c>
      <c r="Q692">
        <f t="shared" ca="1" si="120"/>
        <v>3</v>
      </c>
      <c r="R692">
        <f ca="1">((Tabla2[[#This Row],[Fantasma Comunicación]]+1)/(Tabla2[[#This Row],[Fantasma Comunicación]]+RANDBETWEEN(0,5)+2))-0.5</f>
        <v>0.30000000000000004</v>
      </c>
      <c r="S692" s="51">
        <f ca="1">1+MAX(0,Tabla2[[#This Row],[Deuda actual]]/Tabla2[[#This Row],[Liquidez]]+Tabla2[[#This Row],[Liquidez]]/(Tabla2[[#This Row],[Activos]]+Tabla2[[#This Row],[Liquidez]])+Tabla2[[#This Row],[Comunicación]])</f>
        <v>7.5852736721965073</v>
      </c>
      <c r="T692">
        <f ca="1">Tabla2[[#This Row],[Deuda actual]]*EXP(Tabla2[[#This Row],[Ki]]*Tabla2[[#This Row],[diferencia de días]])*(1+Tabla2[[#This Row],[Hg]])</f>
        <v>7939.6349971595182</v>
      </c>
    </row>
    <row r="693" spans="1:20" ht="14.5" x14ac:dyDescent="0.35">
      <c r="A693" t="e">
        <f t="shared" si="110"/>
        <v>#VALUE!</v>
      </c>
      <c r="B693" s="21">
        <f t="shared" ca="1" si="111"/>
        <v>46098</v>
      </c>
      <c r="C693" s="21">
        <f t="shared" ca="1" si="112"/>
        <v>46157</v>
      </c>
      <c r="D693">
        <f t="shared" ca="1" si="113"/>
        <v>20</v>
      </c>
      <c r="E693">
        <f t="shared" ca="1" si="114"/>
        <v>0.45182809171125793</v>
      </c>
      <c r="F693" s="47">
        <f t="shared" ca="1" si="115"/>
        <v>123.95</v>
      </c>
      <c r="G693" s="32" t="str">
        <f t="shared" ca="1" si="116"/>
        <v>hipotecario</v>
      </c>
      <c r="H69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693" t="str">
        <f t="shared" ca="1" si="117"/>
        <v>Sí</v>
      </c>
      <c r="J69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93" s="32">
        <f ca="1">IF(Tabla2[[#This Row],[¿cliente deuda abierta?]]="Sí", Tabla2[[#This Row],[Deuda actual]]*Tabla2[[#This Row],[diferencia de días]], "0")</f>
        <v>2479</v>
      </c>
      <c r="L69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9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9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93">
        <f t="shared" ca="1" si="118"/>
        <v>2161.02</v>
      </c>
      <c r="P693">
        <f t="shared" ca="1" si="119"/>
        <v>289142.82</v>
      </c>
      <c r="Q693">
        <f t="shared" ca="1" si="120"/>
        <v>3</v>
      </c>
      <c r="R693">
        <f ca="1">((Tabla2[[#This Row],[Fantasma Comunicación]]+1)/(Tabla2[[#This Row],[Fantasma Comunicación]]+RANDBETWEEN(0,5)+2))-0.5</f>
        <v>-5.555555555555558E-2</v>
      </c>
      <c r="S693" s="51">
        <f ca="1">1+MAX(0,Tabla2[[#This Row],[Deuda actual]]/Tabla2[[#This Row],[Liquidez]]+Tabla2[[#This Row],[Liquidez]]/(Tabla2[[#This Row],[Activos]]+Tabla2[[#This Row],[Liquidez]])+Tabla2[[#This Row],[Comunicación]])</f>
        <v>1.0092200581696873</v>
      </c>
      <c r="T693">
        <f ca="1">Tabla2[[#This Row],[Deuda actual]]*EXP(Tabla2[[#This Row],[Ki]]*Tabla2[[#This Row],[diferencia de días]])*(1+Tabla2[[#This Row],[Hg]])</f>
        <v>131.19285584816743</v>
      </c>
    </row>
    <row r="694" spans="1:20" ht="14.5" x14ac:dyDescent="0.35">
      <c r="A694" t="e">
        <f t="shared" si="110"/>
        <v>#VALUE!</v>
      </c>
      <c r="B694" s="21">
        <f t="shared" ca="1" si="111"/>
        <v>46117</v>
      </c>
      <c r="C694" s="21">
        <f t="shared" ca="1" si="112"/>
        <v>46157</v>
      </c>
      <c r="D694">
        <f t="shared" ca="1" si="113"/>
        <v>0</v>
      </c>
      <c r="E694">
        <f t="shared" ca="1" si="114"/>
        <v>0.55013472535030039</v>
      </c>
      <c r="F694" s="47">
        <f t="shared" ca="1" si="115"/>
        <v>295.91000000000003</v>
      </c>
      <c r="G694" s="32" t="str">
        <f t="shared" ca="1" si="116"/>
        <v>personal</v>
      </c>
      <c r="H69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94" t="str">
        <f t="shared" ca="1" si="117"/>
        <v>No</v>
      </c>
      <c r="J69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11999.774021366758</v>
      </c>
      <c r="K694" s="32" t="str">
        <f ca="1">IF(Tabla2[[#This Row],[¿cliente deuda abierta?]]="Sí", Tabla2[[#This Row],[Deuda actual]]*Tabla2[[#This Row],[diferencia de días]], "0")</f>
        <v>0</v>
      </c>
      <c r="L69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9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69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694">
        <f t="shared" ca="1" si="118"/>
        <v>1739.63</v>
      </c>
      <c r="P694">
        <f t="shared" ca="1" si="119"/>
        <v>63274.73</v>
      </c>
      <c r="Q694">
        <f t="shared" ca="1" si="120"/>
        <v>1</v>
      </c>
      <c r="R694">
        <f ca="1">((Tabla2[[#This Row],[Fantasma Comunicación]]+1)/(Tabla2[[#This Row],[Fantasma Comunicación]]+RANDBETWEEN(0,5)+2))-0.5</f>
        <v>-0.2142857142857143</v>
      </c>
      <c r="S694" s="51">
        <f ca="1">1+MAX(0,Tabla2[[#This Row],[Deuda actual]]/Tabla2[[#This Row],[Liquidez]]+Tabla2[[#This Row],[Liquidez]]/(Tabla2[[#This Row],[Activos]]+Tabla2[[#This Row],[Liquidez]])+Tabla2[[#This Row],[Comunicación]])</f>
        <v>1</v>
      </c>
      <c r="T694">
        <f ca="1">Tabla2[[#This Row],[Deuda actual]]*EXP(Tabla2[[#This Row],[Ki]]*Tabla2[[#This Row],[diferencia de días]])*(1+Tabla2[[#This Row],[Hg]])</f>
        <v>266.31900000000002</v>
      </c>
    </row>
    <row r="695" spans="1:20" ht="14.5" x14ac:dyDescent="0.35">
      <c r="A695" t="e">
        <f t="shared" si="110"/>
        <v>#VALUE!</v>
      </c>
      <c r="B695" s="21">
        <f t="shared" ca="1" si="111"/>
        <v>46138</v>
      </c>
      <c r="C695" s="21">
        <f t="shared" ca="1" si="112"/>
        <v>46157</v>
      </c>
      <c r="D695">
        <f t="shared" ca="1" si="113"/>
        <v>5</v>
      </c>
      <c r="E695">
        <f t="shared" ca="1" si="114"/>
        <v>0.46890942179813522</v>
      </c>
      <c r="F695" s="47">
        <f t="shared" ca="1" si="115"/>
        <v>2401.19</v>
      </c>
      <c r="G695" s="32" t="str">
        <f t="shared" ca="1" si="116"/>
        <v>hipotecario</v>
      </c>
      <c r="H69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95" t="str">
        <f t="shared" ca="1" si="117"/>
        <v>Sí</v>
      </c>
      <c r="J69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95" s="32">
        <f ca="1">IF(Tabla2[[#This Row],[¿cliente deuda abierta?]]="Sí", Tabla2[[#This Row],[Deuda actual]]*Tabla2[[#This Row],[diferencia de días]], "0")</f>
        <v>12005.95</v>
      </c>
      <c r="L69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69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9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695">
        <f t="shared" ca="1" si="118"/>
        <v>1855.09</v>
      </c>
      <c r="P695">
        <f t="shared" ca="1" si="119"/>
        <v>97653.68</v>
      </c>
      <c r="Q695">
        <f t="shared" ca="1" si="120"/>
        <v>4</v>
      </c>
      <c r="R695">
        <f ca="1">((Tabla2[[#This Row],[Fantasma Comunicación]]+1)/(Tabla2[[#This Row],[Fantasma Comunicación]]+RANDBETWEEN(0,5)+2))-0.5</f>
        <v>0.2142857142857143</v>
      </c>
      <c r="S695" s="51">
        <f ca="1">1+MAX(0,Tabla2[[#This Row],[Deuda actual]]/Tabla2[[#This Row],[Liquidez]]+Tabla2[[#This Row],[Liquidez]]/(Tabla2[[#This Row],[Activos]]+Tabla2[[#This Row],[Liquidez]])+Tabla2[[#This Row],[Comunicación]])</f>
        <v>2.5273074401738196</v>
      </c>
      <c r="T695">
        <f ca="1">Tabla2[[#This Row],[Deuda actual]]*EXP(Tabla2[[#This Row],[Ki]]*Tabla2[[#This Row],[diferencia de días]])*(1+Tabla2[[#This Row],[Hg]])</f>
        <v>2523.7720105450635</v>
      </c>
    </row>
    <row r="696" spans="1:20" ht="14.5" x14ac:dyDescent="0.35">
      <c r="A696" t="e">
        <f t="shared" si="110"/>
        <v>#VALUE!</v>
      </c>
      <c r="B696" s="21">
        <f t="shared" ca="1" si="111"/>
        <v>46085</v>
      </c>
      <c r="C696" s="21">
        <f t="shared" ca="1" si="112"/>
        <v>46157</v>
      </c>
      <c r="D696">
        <f t="shared" ca="1" si="113"/>
        <v>10</v>
      </c>
      <c r="E696">
        <f t="shared" ca="1" si="114"/>
        <v>0.41297102426332566</v>
      </c>
      <c r="F696" s="47">
        <f t="shared" ca="1" si="115"/>
        <v>10000</v>
      </c>
      <c r="G696" s="32" t="str">
        <f t="shared" ca="1" si="116"/>
        <v>hipotecario</v>
      </c>
      <c r="H69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96" t="str">
        <f t="shared" ca="1" si="117"/>
        <v>Sí</v>
      </c>
      <c r="J69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96" s="32">
        <f ca="1">IF(Tabla2[[#This Row],[¿cliente deuda abierta?]]="Sí", Tabla2[[#This Row],[Deuda actual]]*Tabla2[[#This Row],[diferencia de días]], "0")</f>
        <v>100000</v>
      </c>
      <c r="L69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69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96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696">
        <f t="shared" ca="1" si="118"/>
        <v>1515.98</v>
      </c>
      <c r="P696">
        <f t="shared" ca="1" si="119"/>
        <v>430235.05</v>
      </c>
      <c r="Q696">
        <f t="shared" ca="1" si="120"/>
        <v>0</v>
      </c>
      <c r="R696">
        <f ca="1">((Tabla2[[#This Row],[Fantasma Comunicación]]+1)/(Tabla2[[#This Row],[Fantasma Comunicación]]+RANDBETWEEN(0,5)+2))-0.5</f>
        <v>-0.25</v>
      </c>
      <c r="S696" s="51">
        <f ca="1">1+MAX(0,Tabla2[[#This Row],[Deuda actual]]/Tabla2[[#This Row],[Liquidez]]+Tabla2[[#This Row],[Liquidez]]/(Tabla2[[#This Row],[Activos]]+Tabla2[[#This Row],[Liquidez]])+Tabla2[[#This Row],[Comunicación]])</f>
        <v>7.3499043288140182</v>
      </c>
      <c r="T696">
        <f ca="1">Tabla2[[#This Row],[Deuda actual]]*EXP(Tabla2[[#This Row],[Ki]]*Tabla2[[#This Row],[diferencia de días]])*(1+Tabla2[[#This Row],[Hg]])</f>
        <v>11523.023015341003</v>
      </c>
    </row>
    <row r="697" spans="1:20" ht="14.5" x14ac:dyDescent="0.35">
      <c r="A697" t="e">
        <f t="shared" si="110"/>
        <v>#VALUE!</v>
      </c>
      <c r="B697" s="21">
        <f t="shared" ca="1" si="111"/>
        <v>46134</v>
      </c>
      <c r="C697" s="21">
        <f t="shared" ca="1" si="112"/>
        <v>46157</v>
      </c>
      <c r="D697">
        <f t="shared" ca="1" si="113"/>
        <v>36</v>
      </c>
      <c r="E697">
        <f t="shared" ca="1" si="114"/>
        <v>0.49513674310118438</v>
      </c>
      <c r="F697" s="47">
        <f t="shared" ca="1" si="115"/>
        <v>1571.31</v>
      </c>
      <c r="G697" s="32" t="str">
        <f t="shared" ca="1" si="116"/>
        <v>personal</v>
      </c>
      <c r="H69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697" t="str">
        <f t="shared" ca="1" si="117"/>
        <v>Sí</v>
      </c>
      <c r="J69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97" s="32">
        <f ca="1">IF(Tabla2[[#This Row],[¿cliente deuda abierta?]]="Sí", Tabla2[[#This Row],[Deuda actual]]*Tabla2[[#This Row],[diferencia de días]], "0")</f>
        <v>56567.159999999996</v>
      </c>
      <c r="L69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69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97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697">
        <f t="shared" ca="1" si="118"/>
        <v>1240.97</v>
      </c>
      <c r="P697">
        <f t="shared" ca="1" si="119"/>
        <v>200655.4</v>
      </c>
      <c r="Q697">
        <f t="shared" ca="1" si="120"/>
        <v>0</v>
      </c>
      <c r="R697">
        <f ca="1">((Tabla2[[#This Row],[Fantasma Comunicación]]+1)/(Tabla2[[#This Row],[Fantasma Comunicación]]+RANDBETWEEN(0,5)+2))-0.5</f>
        <v>-0.16666666666666669</v>
      </c>
      <c r="S697" s="51">
        <f ca="1">1+MAX(0,Tabla2[[#This Row],[Deuda actual]]/Tabla2[[#This Row],[Liquidez]]+Tabla2[[#This Row],[Liquidez]]/(Tabla2[[#This Row],[Activos]]+Tabla2[[#This Row],[Liquidez]])+Tabla2[[#This Row],[Comunicación]])</f>
        <v>2.105674895113343</v>
      </c>
      <c r="T697">
        <f ca="1">Tabla2[[#This Row],[Deuda actual]]*EXP(Tabla2[[#This Row],[Ki]]*Tabla2[[#This Row],[diferencia de días]])*(1+Tabla2[[#This Row],[Hg]])</f>
        <v>1791.7984679646188</v>
      </c>
    </row>
    <row r="698" spans="1:20" ht="14.5" x14ac:dyDescent="0.35">
      <c r="A698" t="e">
        <f t="shared" si="110"/>
        <v>#VALUE!</v>
      </c>
      <c r="B698" s="21">
        <f t="shared" ca="1" si="111"/>
        <v>46135</v>
      </c>
      <c r="C698" s="21">
        <f t="shared" ca="1" si="112"/>
        <v>46157</v>
      </c>
      <c r="D698">
        <f t="shared" ca="1" si="113"/>
        <v>39</v>
      </c>
      <c r="E698">
        <f t="shared" ca="1" si="114"/>
        <v>0.30093044949710845</v>
      </c>
      <c r="F698" s="47">
        <f t="shared" ca="1" si="115"/>
        <v>2375.54</v>
      </c>
      <c r="G698" s="32" t="str">
        <f t="shared" ca="1" si="116"/>
        <v>personal</v>
      </c>
      <c r="H69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698" t="str">
        <f t="shared" ca="1" si="117"/>
        <v>Sí</v>
      </c>
      <c r="J69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698" s="32">
        <f ca="1">IF(Tabla2[[#This Row],[¿cliente deuda abierta?]]="Sí", Tabla2[[#This Row],[Deuda actual]]*Tabla2[[#This Row],[diferencia de días]], "0")</f>
        <v>92646.06</v>
      </c>
      <c r="L69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69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698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698">
        <f t="shared" ca="1" si="118"/>
        <v>1641.22</v>
      </c>
      <c r="P698">
        <f t="shared" ca="1" si="119"/>
        <v>75263.23</v>
      </c>
      <c r="Q698">
        <f t="shared" ca="1" si="120"/>
        <v>4</v>
      </c>
      <c r="R698">
        <f ca="1">((Tabla2[[#This Row],[Fantasma Comunicación]]+1)/(Tabla2[[#This Row],[Fantasma Comunicación]]+RANDBETWEEN(0,5)+2))-0.5</f>
        <v>0</v>
      </c>
      <c r="S698" s="51">
        <f ca="1">1+MAX(0,Tabla2[[#This Row],[Deuda actual]]/Tabla2[[#This Row],[Liquidez]]+Tabla2[[#This Row],[Liquidez]]/(Tabla2[[#This Row],[Activos]]+Tabla2[[#This Row],[Liquidez]])+Tabla2[[#This Row],[Comunicación]])</f>
        <v>2.4687642860377088</v>
      </c>
      <c r="T698">
        <f ca="1">Tabla2[[#This Row],[Deuda actual]]*EXP(Tabla2[[#This Row],[Ki]]*Tabla2[[#This Row],[diferencia de días]])*(1+Tabla2[[#This Row],[Hg]])</f>
        <v>2840.51883093984</v>
      </c>
    </row>
    <row r="699" spans="1:20" ht="14.5" x14ac:dyDescent="0.35">
      <c r="A699" t="e">
        <f t="shared" si="110"/>
        <v>#VALUE!</v>
      </c>
      <c r="B699" s="21">
        <f t="shared" ca="1" si="111"/>
        <v>46087</v>
      </c>
      <c r="C699" s="21">
        <f t="shared" ca="1" si="112"/>
        <v>46157</v>
      </c>
      <c r="D699">
        <f t="shared" ca="1" si="113"/>
        <v>13</v>
      </c>
      <c r="E699">
        <f t="shared" ca="1" si="114"/>
        <v>0.38755256333877164</v>
      </c>
      <c r="F699" s="47">
        <f t="shared" ca="1" si="115"/>
        <v>497.96</v>
      </c>
      <c r="G699" s="32" t="str">
        <f t="shared" ca="1" si="116"/>
        <v>personal</v>
      </c>
      <c r="H69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699" t="str">
        <f t="shared" ca="1" si="117"/>
        <v>No</v>
      </c>
      <c r="J69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12000.047638447699</v>
      </c>
      <c r="K699" s="32" t="str">
        <f ca="1">IF(Tabla2[[#This Row],[¿cliente deuda abierta?]]="Sí", Tabla2[[#This Row],[Deuda actual]]*Tabla2[[#This Row],[diferencia de días]], "0")</f>
        <v>0</v>
      </c>
      <c r="L69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69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69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699">
        <f t="shared" ca="1" si="118"/>
        <v>2682.8</v>
      </c>
      <c r="P699">
        <f t="shared" ca="1" si="119"/>
        <v>257828.59</v>
      </c>
      <c r="Q699">
        <f t="shared" ca="1" si="120"/>
        <v>0</v>
      </c>
      <c r="R699">
        <f ca="1">((Tabla2[[#This Row],[Fantasma Comunicación]]+1)/(Tabla2[[#This Row],[Fantasma Comunicación]]+RANDBETWEEN(0,5)+2))-0.5</f>
        <v>-0.25</v>
      </c>
      <c r="S699" s="51">
        <f ca="1">1+MAX(0,Tabla2[[#This Row],[Deuda actual]]/Tabla2[[#This Row],[Liquidez]]+Tabla2[[#This Row],[Liquidez]]/(Tabla2[[#This Row],[Activos]]+Tabla2[[#This Row],[Liquidez]])+Tabla2[[#This Row],[Comunicación]])</f>
        <v>1</v>
      </c>
      <c r="T699">
        <f ca="1">Tabla2[[#This Row],[Deuda actual]]*EXP(Tabla2[[#This Row],[Ki]]*Tabla2[[#This Row],[diferencia de días]])*(1+Tabla2[[#This Row],[Hg]])</f>
        <v>449.33074250799552</v>
      </c>
    </row>
    <row r="700" spans="1:20" ht="14.5" x14ac:dyDescent="0.35">
      <c r="A700" t="e">
        <f t="shared" si="110"/>
        <v>#VALUE!</v>
      </c>
      <c r="B700" s="21">
        <f t="shared" ca="1" si="111"/>
        <v>46118</v>
      </c>
      <c r="C700" s="21">
        <f t="shared" ca="1" si="112"/>
        <v>46157</v>
      </c>
      <c r="D700">
        <f t="shared" ca="1" si="113"/>
        <v>10</v>
      </c>
      <c r="E700">
        <f t="shared" ca="1" si="114"/>
        <v>0.49484062889437253</v>
      </c>
      <c r="F700" s="47">
        <f t="shared" ca="1" si="115"/>
        <v>252.26</v>
      </c>
      <c r="G700" s="32" t="str">
        <f t="shared" ca="1" si="116"/>
        <v>personal</v>
      </c>
      <c r="H70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00" t="str">
        <f t="shared" ca="1" si="117"/>
        <v>Sí</v>
      </c>
      <c r="J70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00" s="32">
        <f ca="1">IF(Tabla2[[#This Row],[¿cliente deuda abierta?]]="Sí", Tabla2[[#This Row],[Deuda actual]]*Tabla2[[#This Row],[diferencia de días]], "0")</f>
        <v>2522.6</v>
      </c>
      <c r="L70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0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0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00">
        <f t="shared" ca="1" si="118"/>
        <v>1584.84</v>
      </c>
      <c r="P700">
        <f t="shared" ca="1" si="119"/>
        <v>311252.81</v>
      </c>
      <c r="Q700">
        <f t="shared" ca="1" si="120"/>
        <v>0</v>
      </c>
      <c r="R700">
        <f ca="1">((Tabla2[[#This Row],[Fantasma Comunicación]]+1)/(Tabla2[[#This Row],[Fantasma Comunicación]]+RANDBETWEEN(0,5)+2))-0.5</f>
        <v>-0.3</v>
      </c>
      <c r="S700" s="51">
        <f ca="1">1+MAX(0,Tabla2[[#This Row],[Deuda actual]]/Tabla2[[#This Row],[Liquidez]]+Tabla2[[#This Row],[Liquidez]]/(Tabla2[[#This Row],[Activos]]+Tabla2[[#This Row],[Liquidez]])+Tabla2[[#This Row],[Comunicación]])</f>
        <v>1</v>
      </c>
      <c r="T700">
        <f ca="1">Tabla2[[#This Row],[Deuda actual]]*EXP(Tabla2[[#This Row],[Ki]]*Tabla2[[#This Row],[diferencia de días]])*(1+Tabla2[[#This Row],[Hg]])</f>
        <v>265.40327609934064</v>
      </c>
    </row>
    <row r="701" spans="1:20" ht="14.5" x14ac:dyDescent="0.35">
      <c r="A701" t="e">
        <f t="shared" si="110"/>
        <v>#VALUE!</v>
      </c>
      <c r="B701" s="21">
        <f t="shared" ca="1" si="111"/>
        <v>46118</v>
      </c>
      <c r="C701" s="21">
        <f t="shared" ca="1" si="112"/>
        <v>46157</v>
      </c>
      <c r="D701">
        <f t="shared" ca="1" si="113"/>
        <v>3</v>
      </c>
      <c r="E701">
        <f t="shared" ca="1" si="114"/>
        <v>0.59135697710592794</v>
      </c>
      <c r="F701" s="47">
        <f t="shared" ca="1" si="115"/>
        <v>225.45</v>
      </c>
      <c r="G701" s="32" t="str">
        <f t="shared" ca="1" si="116"/>
        <v>personal</v>
      </c>
      <c r="H70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01" t="str">
        <f t="shared" ca="1" si="117"/>
        <v>No</v>
      </c>
      <c r="J70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11998.594602855612</v>
      </c>
      <c r="K701" s="32" t="str">
        <f ca="1">IF(Tabla2[[#This Row],[¿cliente deuda abierta?]]="Sí", Tabla2[[#This Row],[Deuda actual]]*Tabla2[[#This Row],[diferencia de días]], "0")</f>
        <v>0</v>
      </c>
      <c r="L70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0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70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701">
        <f t="shared" ca="1" si="118"/>
        <v>1784.72</v>
      </c>
      <c r="P701">
        <f t="shared" ca="1" si="119"/>
        <v>140578.60999999999</v>
      </c>
      <c r="Q701">
        <f t="shared" ca="1" si="120"/>
        <v>5</v>
      </c>
      <c r="R701">
        <f ca="1">((Tabla2[[#This Row],[Fantasma Comunicación]]+1)/(Tabla2[[#This Row],[Fantasma Comunicación]]+RANDBETWEEN(0,5)+2))-0.5</f>
        <v>4.5454545454545414E-2</v>
      </c>
      <c r="S701" s="51">
        <f ca="1">1+MAX(0,Tabla2[[#This Row],[Deuda actual]]/Tabla2[[#This Row],[Liquidez]]+Tabla2[[#This Row],[Liquidez]]/(Tabla2[[#This Row],[Activos]]+Tabla2[[#This Row],[Liquidez]])+Tabla2[[#This Row],[Comunicación]])</f>
        <v>1.1843132560912704</v>
      </c>
      <c r="T701">
        <f ca="1">Tabla2[[#This Row],[Deuda actual]]*EXP(Tabla2[[#This Row],[Ki]]*Tabla2[[#This Row],[diferencia de días]])*(1+Tabla2[[#This Row],[Hg]])</f>
        <v>203.02677953020566</v>
      </c>
    </row>
    <row r="702" spans="1:20" ht="14.5" x14ac:dyDescent="0.35">
      <c r="A702" t="e">
        <f t="shared" si="110"/>
        <v>#VALUE!</v>
      </c>
      <c r="B702" s="21">
        <f t="shared" ca="1" si="111"/>
        <v>46138</v>
      </c>
      <c r="C702" s="21">
        <f t="shared" ca="1" si="112"/>
        <v>46157</v>
      </c>
      <c r="D702">
        <f t="shared" ca="1" si="113"/>
        <v>3</v>
      </c>
      <c r="E702">
        <f t="shared" ca="1" si="114"/>
        <v>0.44557290129236593</v>
      </c>
      <c r="F702" s="47">
        <f t="shared" ca="1" si="115"/>
        <v>1711.66</v>
      </c>
      <c r="G702" s="32" t="str">
        <f t="shared" ca="1" si="116"/>
        <v>personal</v>
      </c>
      <c r="H70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02" t="str">
        <f t="shared" ca="1" si="117"/>
        <v>Sí</v>
      </c>
      <c r="J70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02" s="32">
        <f ca="1">IF(Tabla2[[#This Row],[¿cliente deuda abierta?]]="Sí", Tabla2[[#This Row],[Deuda actual]]*Tabla2[[#This Row],[diferencia de días]], "0")</f>
        <v>5134.9800000000005</v>
      </c>
      <c r="L70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0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0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02">
        <f t="shared" ca="1" si="118"/>
        <v>1271.1300000000001</v>
      </c>
      <c r="P702">
        <f t="shared" ca="1" si="119"/>
        <v>254179.07</v>
      </c>
      <c r="Q702">
        <f t="shared" ca="1" si="120"/>
        <v>2</v>
      </c>
      <c r="R702">
        <f ca="1">((Tabla2[[#This Row],[Fantasma Comunicación]]+1)/(Tabla2[[#This Row],[Fantasma Comunicación]]+RANDBETWEEN(0,5)+2))-0.5</f>
        <v>0.25</v>
      </c>
      <c r="S702" s="51">
        <f ca="1">1+MAX(0,Tabla2[[#This Row],[Deuda actual]]/Tabla2[[#This Row],[Liquidez]]+Tabla2[[#This Row],[Liquidez]]/(Tabla2[[#This Row],[Activos]]+Tabla2[[#This Row],[Liquidez]])+Tabla2[[#This Row],[Comunicación]])</f>
        <v>2.6015416925641448</v>
      </c>
      <c r="T702">
        <f ca="1">Tabla2[[#This Row],[Deuda actual]]*EXP(Tabla2[[#This Row],[Ki]]*Tabla2[[#This Row],[diferencia de días]])*(1+Tabla2[[#This Row],[Hg]])</f>
        <v>1798.3216693684506</v>
      </c>
    </row>
    <row r="703" spans="1:20" ht="14.5" x14ac:dyDescent="0.35">
      <c r="A703" t="e">
        <f t="shared" si="110"/>
        <v>#VALUE!</v>
      </c>
      <c r="B703" s="21">
        <f t="shared" ca="1" si="111"/>
        <v>46107</v>
      </c>
      <c r="C703" s="21">
        <f t="shared" ca="1" si="112"/>
        <v>46157</v>
      </c>
      <c r="D703">
        <f t="shared" ca="1" si="113"/>
        <v>1</v>
      </c>
      <c r="E703">
        <f t="shared" ca="1" si="114"/>
        <v>2.7353689769744283E-2</v>
      </c>
      <c r="F703" s="47">
        <f t="shared" ca="1" si="115"/>
        <v>1111.71</v>
      </c>
      <c r="G703" s="32" t="str">
        <f t="shared" ca="1" si="116"/>
        <v>hipotecario</v>
      </c>
      <c r="H70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03" t="str">
        <f t="shared" ca="1" si="117"/>
        <v>Sí</v>
      </c>
      <c r="J70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03" s="32">
        <f ca="1">IF(Tabla2[[#This Row],[¿cliente deuda abierta?]]="Sí", Tabla2[[#This Row],[Deuda actual]]*Tabla2[[#This Row],[diferencia de días]], "0")</f>
        <v>1111.71</v>
      </c>
      <c r="L70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0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0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03">
        <f t="shared" ca="1" si="118"/>
        <v>1812.21</v>
      </c>
      <c r="P703">
        <f t="shared" ca="1" si="119"/>
        <v>148264.35999999999</v>
      </c>
      <c r="Q703">
        <f t="shared" ca="1" si="120"/>
        <v>0</v>
      </c>
      <c r="R703">
        <f ca="1">((Tabla2[[#This Row],[Fantasma Comunicación]]+1)/(Tabla2[[#This Row],[Fantasma Comunicación]]+RANDBETWEEN(0,5)+2))-0.5</f>
        <v>-0.25</v>
      </c>
      <c r="S703" s="51">
        <f ca="1">1+MAX(0,Tabla2[[#This Row],[Deuda actual]]/Tabla2[[#This Row],[Liquidez]]+Tabla2[[#This Row],[Liquidez]]/(Tabla2[[#This Row],[Activos]]+Tabla2[[#This Row],[Liquidez]])+Tabla2[[#This Row],[Comunicación]])</f>
        <v>1.3755306302369217</v>
      </c>
      <c r="T703">
        <f ca="1">Tabla2[[#This Row],[Deuda actual]]*EXP(Tabla2[[#This Row],[Ki]]*Tabla2[[#This Row],[diferencia de días]])*(1+Tabla2[[#This Row],[Hg]])</f>
        <v>1167.5289824474664</v>
      </c>
    </row>
    <row r="704" spans="1:20" ht="14.5" x14ac:dyDescent="0.35">
      <c r="A704" t="e">
        <f t="shared" si="110"/>
        <v>#VALUE!</v>
      </c>
      <c r="B704" s="21">
        <f t="shared" ca="1" si="111"/>
        <v>46093</v>
      </c>
      <c r="C704" s="21">
        <f t="shared" ca="1" si="112"/>
        <v>46157</v>
      </c>
      <c r="D704">
        <f t="shared" ca="1" si="113"/>
        <v>43</v>
      </c>
      <c r="E704">
        <f t="shared" ca="1" si="114"/>
        <v>0.66699222454118989</v>
      </c>
      <c r="F704" s="47">
        <f t="shared" ca="1" si="115"/>
        <v>3469.57</v>
      </c>
      <c r="G704" s="32" t="str">
        <f t="shared" ca="1" si="116"/>
        <v>personal</v>
      </c>
      <c r="H70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704" t="str">
        <f t="shared" ca="1" si="117"/>
        <v>No</v>
      </c>
      <c r="J70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11999.937659813513</v>
      </c>
      <c r="K704" s="32" t="str">
        <f ca="1">IF(Tabla2[[#This Row],[¿cliente deuda abierta?]]="Sí", Tabla2[[#This Row],[Deuda actual]]*Tabla2[[#This Row],[diferencia de días]], "0")</f>
        <v>0</v>
      </c>
      <c r="L70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0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70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704">
        <f t="shared" ca="1" si="118"/>
        <v>1926.66</v>
      </c>
      <c r="P704">
        <f t="shared" ca="1" si="119"/>
        <v>184716.69</v>
      </c>
      <c r="Q704">
        <f t="shared" ca="1" si="120"/>
        <v>3</v>
      </c>
      <c r="R704">
        <f ca="1">((Tabla2[[#This Row],[Fantasma Comunicación]]+1)/(Tabla2[[#This Row],[Fantasma Comunicación]]+RANDBETWEEN(0,5)+2))-0.5</f>
        <v>0.30000000000000004</v>
      </c>
      <c r="S704" s="51">
        <f ca="1">1+MAX(0,Tabla2[[#This Row],[Deuda actual]]/Tabla2[[#This Row],[Liquidez]]+Tabla2[[#This Row],[Liquidez]]/(Tabla2[[#This Row],[Activos]]+Tabla2[[#This Row],[Liquidez]])+Tabla2[[#This Row],[Comunicación]])</f>
        <v>3.1111437923784062</v>
      </c>
      <c r="T704">
        <f ca="1">Tabla2[[#This Row],[Deuda actual]]*EXP(Tabla2[[#This Row],[Ki]]*Tabla2[[#This Row],[diferencia de días]])*(1+Tabla2[[#This Row],[Hg]])</f>
        <v>3259.8140416531564</v>
      </c>
    </row>
    <row r="705" spans="1:20" ht="14.5" x14ac:dyDescent="0.35">
      <c r="A705" t="e">
        <f t="shared" si="110"/>
        <v>#VALUE!</v>
      </c>
      <c r="B705" s="21">
        <f t="shared" ca="1" si="111"/>
        <v>46127</v>
      </c>
      <c r="C705" s="21">
        <f t="shared" ca="1" si="112"/>
        <v>46157</v>
      </c>
      <c r="D705">
        <f t="shared" ca="1" si="113"/>
        <v>3</v>
      </c>
      <c r="E705">
        <f t="shared" ca="1" si="114"/>
        <v>0.4481306787729894</v>
      </c>
      <c r="F705" s="47">
        <f t="shared" ca="1" si="115"/>
        <v>2910.1</v>
      </c>
      <c r="G705" s="32" t="str">
        <f t="shared" ca="1" si="116"/>
        <v>hipotecario</v>
      </c>
      <c r="H70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05" t="str">
        <f t="shared" ca="1" si="117"/>
        <v>No</v>
      </c>
      <c r="J70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165000.46834406798</v>
      </c>
      <c r="K705" s="32" t="str">
        <f ca="1">IF(Tabla2[[#This Row],[¿cliente deuda abierta?]]="Sí", Tabla2[[#This Row],[Deuda actual]]*Tabla2[[#This Row],[diferencia de días]], "0")</f>
        <v>0</v>
      </c>
      <c r="L70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0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70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705">
        <f t="shared" ca="1" si="118"/>
        <v>2005.12</v>
      </c>
      <c r="P705">
        <f t="shared" ca="1" si="119"/>
        <v>279844.89</v>
      </c>
      <c r="Q705">
        <f t="shared" ca="1" si="120"/>
        <v>2</v>
      </c>
      <c r="R705">
        <f ca="1">((Tabla2[[#This Row],[Fantasma Comunicación]]+1)/(Tabla2[[#This Row],[Fantasma Comunicación]]+RANDBETWEEN(0,5)+2))-0.5</f>
        <v>0</v>
      </c>
      <c r="S705" s="51">
        <f ca="1">1+MAX(0,Tabla2[[#This Row],[Deuda actual]]/Tabla2[[#This Row],[Liquidez]]+Tabla2[[#This Row],[Liquidez]]/(Tabla2[[#This Row],[Activos]]+Tabla2[[#This Row],[Liquidez]])+Tabla2[[#This Row],[Comunicación]])</f>
        <v>2.4584487219401905</v>
      </c>
      <c r="T705">
        <f ca="1">Tabla2[[#This Row],[Deuda actual]]*EXP(Tabla2[[#This Row],[Ki]]*Tabla2[[#This Row],[diferencia de días]])*(1+Tabla2[[#This Row],[Hg]])</f>
        <v>2329.4772671382234</v>
      </c>
    </row>
    <row r="706" spans="1:20" ht="14.5" x14ac:dyDescent="0.35">
      <c r="A706" t="e">
        <f t="shared" ref="A706:A769" si="121">A705+1</f>
        <v>#VALUE!</v>
      </c>
      <c r="B706" s="21">
        <f t="shared" ref="B706:B769" ca="1" si="122">RANDBETWEEN(DATE(2026,3,1), DATE(2026,5,1))</f>
        <v>46108</v>
      </c>
      <c r="C706" s="21">
        <f t="shared" ref="C706:C769" ca="1" si="123">TODAY()</f>
        <v>46157</v>
      </c>
      <c r="D706">
        <f t="shared" ref="D706:D769" ca="1" si="124">ROUND((-(15) * LN(RAND())),0)</f>
        <v>14</v>
      </c>
      <c r="E706">
        <f t="shared" ref="E706:E769" ca="1" si="125">RAND()</f>
        <v>0.54488105868973913</v>
      </c>
      <c r="F706" s="47">
        <f t="shared" ref="F706:F769" ca="1" si="126">ROUND(MIN(10000, _xlfn.LOGNORM.INV(RAND(), 69/10, 13/10)),2)</f>
        <v>1015.35</v>
      </c>
      <c r="G706" s="32" t="str">
        <f t="shared" ref="G706:G769" ca="1" si="127">IF(RAND()&lt;=0.5,"personal","hipotecario")</f>
        <v>personal</v>
      </c>
      <c r="H70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06" t="str">
        <f t="shared" ref="I706:I769" ca="1" si="128">IF(RAND()&lt;=0.65, "Sí", "No")</f>
        <v>No</v>
      </c>
      <c r="J70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11999.619503060756</v>
      </c>
      <c r="K706" s="32" t="str">
        <f ca="1">IF(Tabla2[[#This Row],[¿cliente deuda abierta?]]="Sí", Tabla2[[#This Row],[Deuda actual]]*Tabla2[[#This Row],[diferencia de días]], "0")</f>
        <v>0</v>
      </c>
      <c r="L70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0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70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706">
        <f t="shared" ref="O706:O769" ca="1" si="129">ROUND(1000*(_xlfn.LOGNORM.INV(RAND(), 0.5, 0.2)),2)</f>
        <v>1235.9000000000001</v>
      </c>
      <c r="P706">
        <f t="shared" ref="P706:P769" ca="1" si="130">ROUND(50000*(_xlfn.LOGNORM.INV(RAND(), 1, 0.75)),2)</f>
        <v>199682.12</v>
      </c>
      <c r="Q706">
        <f t="shared" ref="Q706:Q769" ca="1" si="131">RANDBETWEEN(0,5)</f>
        <v>0</v>
      </c>
      <c r="R706">
        <f ca="1">((Tabla2[[#This Row],[Fantasma Comunicación]]+1)/(Tabla2[[#This Row],[Fantasma Comunicación]]+RANDBETWEEN(0,5)+2))-0.5</f>
        <v>-0.35714285714285715</v>
      </c>
      <c r="S706" s="51">
        <f ca="1">1+MAX(0,Tabla2[[#This Row],[Deuda actual]]/Tabla2[[#This Row],[Liquidez]]+Tabla2[[#This Row],[Liquidez]]/(Tabla2[[#This Row],[Activos]]+Tabla2[[#This Row],[Liquidez]])+Tabla2[[#This Row],[Comunicación]])</f>
        <v>1.4705554586675675</v>
      </c>
      <c r="T706">
        <f ca="1">Tabla2[[#This Row],[Deuda actual]]*EXP(Tabla2[[#This Row],[Ki]]*Tabla2[[#This Row],[diferencia de días]])*(1+Tabla2[[#This Row],[Hg]])</f>
        <v>916.37726750048614</v>
      </c>
    </row>
    <row r="707" spans="1:20" ht="14.5" x14ac:dyDescent="0.35">
      <c r="A707" t="e">
        <f t="shared" si="121"/>
        <v>#VALUE!</v>
      </c>
      <c r="B707" s="21">
        <f t="shared" ca="1" si="122"/>
        <v>46131</v>
      </c>
      <c r="C707" s="21">
        <f t="shared" ca="1" si="123"/>
        <v>46157</v>
      </c>
      <c r="D707">
        <f t="shared" ca="1" si="124"/>
        <v>16</v>
      </c>
      <c r="E707">
        <f t="shared" ca="1" si="125"/>
        <v>0.24898126359092743</v>
      </c>
      <c r="F707" s="47">
        <f t="shared" ca="1" si="126"/>
        <v>2117.66</v>
      </c>
      <c r="G707" s="32" t="str">
        <f t="shared" ca="1" si="127"/>
        <v>hipotecario</v>
      </c>
      <c r="H70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707" t="str">
        <f t="shared" ca="1" si="128"/>
        <v>No</v>
      </c>
      <c r="J70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164998.82036211379</v>
      </c>
      <c r="K707" s="32" t="str">
        <f ca="1">IF(Tabla2[[#This Row],[¿cliente deuda abierta?]]="Sí", Tabla2[[#This Row],[Deuda actual]]*Tabla2[[#This Row],[diferencia de días]], "0")</f>
        <v>0</v>
      </c>
      <c r="L70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0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70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707">
        <f t="shared" ca="1" si="129"/>
        <v>1455.18</v>
      </c>
      <c r="P707">
        <f t="shared" ca="1" si="130"/>
        <v>188654.28</v>
      </c>
      <c r="Q707">
        <f t="shared" ca="1" si="131"/>
        <v>4</v>
      </c>
      <c r="R707">
        <f ca="1">((Tabla2[[#This Row],[Fantasma Comunicación]]+1)/(Tabla2[[#This Row],[Fantasma Comunicación]]+RANDBETWEEN(0,5)+2))-0.5</f>
        <v>-4.545454545454547E-2</v>
      </c>
      <c r="S707" s="51">
        <f ca="1">1+MAX(0,Tabla2[[#This Row],[Deuda actual]]/Tabla2[[#This Row],[Liquidez]]+Tabla2[[#This Row],[Liquidez]]/(Tabla2[[#This Row],[Activos]]+Tabla2[[#This Row],[Liquidez]])+Tabla2[[#This Row],[Comunicación]])</f>
        <v>2.4174562812899003</v>
      </c>
      <c r="T707">
        <f ca="1">Tabla2[[#This Row],[Deuda actual]]*EXP(Tabla2[[#This Row],[Ki]]*Tabla2[[#This Row],[diferencia de días]])*(1+Tabla2[[#This Row],[Hg]])</f>
        <v>1705.0051890776017</v>
      </c>
    </row>
    <row r="708" spans="1:20" ht="14.5" x14ac:dyDescent="0.35">
      <c r="A708" t="e">
        <f t="shared" si="121"/>
        <v>#VALUE!</v>
      </c>
      <c r="B708" s="21">
        <f t="shared" ca="1" si="122"/>
        <v>46113</v>
      </c>
      <c r="C708" s="21">
        <f t="shared" ca="1" si="123"/>
        <v>46157</v>
      </c>
      <c r="D708">
        <f t="shared" ca="1" si="124"/>
        <v>7</v>
      </c>
      <c r="E708">
        <f t="shared" ca="1" si="125"/>
        <v>0.59008307281838113</v>
      </c>
      <c r="F708" s="47">
        <f t="shared" ca="1" si="126"/>
        <v>164.7</v>
      </c>
      <c r="G708" s="32" t="str">
        <f t="shared" ca="1" si="127"/>
        <v>personal</v>
      </c>
      <c r="H70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08" t="str">
        <f t="shared" ca="1" si="128"/>
        <v>Sí</v>
      </c>
      <c r="J70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08" s="32">
        <f ca="1">IF(Tabla2[[#This Row],[¿cliente deuda abierta?]]="Sí", Tabla2[[#This Row],[Deuda actual]]*Tabla2[[#This Row],[diferencia de días]], "0")</f>
        <v>1152.8999999999999</v>
      </c>
      <c r="L70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0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0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08">
        <f t="shared" ca="1" si="129"/>
        <v>1641.87</v>
      </c>
      <c r="P708">
        <f t="shared" ca="1" si="130"/>
        <v>185936.07</v>
      </c>
      <c r="Q708">
        <f t="shared" ca="1" si="131"/>
        <v>2</v>
      </c>
      <c r="R708">
        <f ca="1">((Tabla2[[#This Row],[Fantasma Comunicación]]+1)/(Tabla2[[#This Row],[Fantasma Comunicación]]+RANDBETWEEN(0,5)+2))-0.5</f>
        <v>-0.16666666666666669</v>
      </c>
      <c r="S708" s="51">
        <f ca="1">1+MAX(0,Tabla2[[#This Row],[Deuda actual]]/Tabla2[[#This Row],[Liquidez]]+Tabla2[[#This Row],[Liquidez]]/(Tabla2[[#This Row],[Activos]]+Tabla2[[#This Row],[Liquidez]])+Tabla2[[#This Row],[Comunicación]])</f>
        <v>1</v>
      </c>
      <c r="T708">
        <f ca="1">Tabla2[[#This Row],[Deuda actual]]*EXP(Tabla2[[#This Row],[Ki]]*Tabla2[[#This Row],[diferencia de días]])*(1+Tabla2[[#This Row],[Hg]])</f>
        <v>173.17727855541665</v>
      </c>
    </row>
    <row r="709" spans="1:20" ht="14.5" x14ac:dyDescent="0.35">
      <c r="A709" t="e">
        <f t="shared" si="121"/>
        <v>#VALUE!</v>
      </c>
      <c r="B709" s="21">
        <f t="shared" ca="1" si="122"/>
        <v>46143</v>
      </c>
      <c r="C709" s="21">
        <f t="shared" ca="1" si="123"/>
        <v>46157</v>
      </c>
      <c r="D709">
        <f t="shared" ca="1" si="124"/>
        <v>5</v>
      </c>
      <c r="E709">
        <f t="shared" ca="1" si="125"/>
        <v>0.17253262815503267</v>
      </c>
      <c r="F709" s="47">
        <f t="shared" ca="1" si="126"/>
        <v>453.66</v>
      </c>
      <c r="G709" s="32" t="str">
        <f t="shared" ca="1" si="127"/>
        <v>personal</v>
      </c>
      <c r="H70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09" t="str">
        <f t="shared" ca="1" si="128"/>
        <v>No</v>
      </c>
      <c r="J70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11999.089648278235</v>
      </c>
      <c r="K709" s="32" t="str">
        <f ca="1">IF(Tabla2[[#This Row],[¿cliente deuda abierta?]]="Sí", Tabla2[[#This Row],[Deuda actual]]*Tabla2[[#This Row],[diferencia de días]], "0")</f>
        <v>0</v>
      </c>
      <c r="L70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0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70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709">
        <f t="shared" ca="1" si="129"/>
        <v>1870.32</v>
      </c>
      <c r="P709">
        <f t="shared" ca="1" si="130"/>
        <v>109944.87</v>
      </c>
      <c r="Q709">
        <f t="shared" ca="1" si="131"/>
        <v>2</v>
      </c>
      <c r="R709">
        <f ca="1">((Tabla2[[#This Row],[Fantasma Comunicación]]+1)/(Tabla2[[#This Row],[Fantasma Comunicación]]+RANDBETWEEN(0,5)+2))-0.5</f>
        <v>9.9999999999999978E-2</v>
      </c>
      <c r="S709" s="51">
        <f ca="1">1+MAX(0,Tabla2[[#This Row],[Deuda actual]]/Tabla2[[#This Row],[Liquidez]]+Tabla2[[#This Row],[Liquidez]]/(Tabla2[[#This Row],[Activos]]+Tabla2[[#This Row],[Liquidez]])+Tabla2[[#This Row],[Comunicación]])</f>
        <v>1.3592843098992275</v>
      </c>
      <c r="T709">
        <f ca="1">Tabla2[[#This Row],[Deuda actual]]*EXP(Tabla2[[#This Row],[Ki]]*Tabla2[[#This Row],[diferencia de días]])*(1+Tabla2[[#This Row],[Hg]])</f>
        <v>408.70249821506604</v>
      </c>
    </row>
    <row r="710" spans="1:20" ht="14.5" x14ac:dyDescent="0.35">
      <c r="A710" t="e">
        <f t="shared" si="121"/>
        <v>#VALUE!</v>
      </c>
      <c r="B710" s="21">
        <f t="shared" ca="1" si="122"/>
        <v>46109</v>
      </c>
      <c r="C710" s="21">
        <f t="shared" ca="1" si="123"/>
        <v>46157</v>
      </c>
      <c r="D710">
        <f t="shared" ca="1" si="124"/>
        <v>19</v>
      </c>
      <c r="E710">
        <f t="shared" ca="1" si="125"/>
        <v>6.6460973843895266E-2</v>
      </c>
      <c r="F710" s="47">
        <f t="shared" ca="1" si="126"/>
        <v>953.47</v>
      </c>
      <c r="G710" s="32" t="str">
        <f t="shared" ca="1" si="127"/>
        <v>hipotecario</v>
      </c>
      <c r="H71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710" t="str">
        <f t="shared" ca="1" si="128"/>
        <v>Sí</v>
      </c>
      <c r="J71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10" s="32">
        <f ca="1">IF(Tabla2[[#This Row],[¿cliente deuda abierta?]]="Sí", Tabla2[[#This Row],[Deuda actual]]*Tabla2[[#This Row],[diferencia de días]], "0")</f>
        <v>18115.93</v>
      </c>
      <c r="L71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1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1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10">
        <f t="shared" ca="1" si="129"/>
        <v>1306.57</v>
      </c>
      <c r="P710">
        <f t="shared" ca="1" si="130"/>
        <v>141126.48000000001</v>
      </c>
      <c r="Q710">
        <f t="shared" ca="1" si="131"/>
        <v>3</v>
      </c>
      <c r="R710">
        <f ca="1">((Tabla2[[#This Row],[Fantasma Comunicación]]+1)/(Tabla2[[#This Row],[Fantasma Comunicación]]+RANDBETWEEN(0,5)+2))-0.5</f>
        <v>7.1428571428571397E-2</v>
      </c>
      <c r="S710" s="51">
        <f ca="1">1+MAX(0,Tabla2[[#This Row],[Deuda actual]]/Tabla2[[#This Row],[Liquidez]]+Tabla2[[#This Row],[Liquidez]]/(Tabla2[[#This Row],[Activos]]+Tabla2[[#This Row],[Liquidez]])+Tabla2[[#This Row],[Comunicación]])</f>
        <v>1.8103522087236048</v>
      </c>
      <c r="T710">
        <f ca="1">Tabla2[[#This Row],[Deuda actual]]*EXP(Tabla2[[#This Row],[Ki]]*Tabla2[[#This Row],[diferencia de días]])*(1+Tabla2[[#This Row],[Hg]])</f>
        <v>1008.7811770099881</v>
      </c>
    </row>
    <row r="711" spans="1:20" ht="14.5" x14ac:dyDescent="0.35">
      <c r="A711" t="e">
        <f t="shared" si="121"/>
        <v>#VALUE!</v>
      </c>
      <c r="B711" s="21">
        <f t="shared" ca="1" si="122"/>
        <v>46119</v>
      </c>
      <c r="C711" s="21">
        <f t="shared" ca="1" si="123"/>
        <v>46157</v>
      </c>
      <c r="D711">
        <f t="shared" ca="1" si="124"/>
        <v>29</v>
      </c>
      <c r="E711">
        <f t="shared" ca="1" si="125"/>
        <v>0.40507465066217763</v>
      </c>
      <c r="F711" s="47">
        <f t="shared" ca="1" si="126"/>
        <v>417.59</v>
      </c>
      <c r="G711" s="32" t="str">
        <f t="shared" ca="1" si="127"/>
        <v>hipotecario</v>
      </c>
      <c r="H71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711" t="str">
        <f t="shared" ca="1" si="128"/>
        <v>No</v>
      </c>
      <c r="J71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164999.846859293</v>
      </c>
      <c r="K711" s="32" t="str">
        <f ca="1">IF(Tabla2[[#This Row],[¿cliente deuda abierta?]]="Sí", Tabla2[[#This Row],[Deuda actual]]*Tabla2[[#This Row],[diferencia de días]], "0")</f>
        <v>0</v>
      </c>
      <c r="L71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1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71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711">
        <f t="shared" ca="1" si="129"/>
        <v>1417.11</v>
      </c>
      <c r="P711">
        <f t="shared" ca="1" si="130"/>
        <v>178155.17</v>
      </c>
      <c r="Q711">
        <f t="shared" ca="1" si="131"/>
        <v>2</v>
      </c>
      <c r="R711">
        <f ca="1">((Tabla2[[#This Row],[Fantasma Comunicación]]+1)/(Tabla2[[#This Row],[Fantasma Comunicación]]+RANDBETWEEN(0,5)+2))-0.5</f>
        <v>-0.16666666666666669</v>
      </c>
      <c r="S711" s="51">
        <f ca="1">1+MAX(0,Tabla2[[#This Row],[Deuda actual]]/Tabla2[[#This Row],[Liquidez]]+Tabla2[[#This Row],[Liquidez]]/(Tabla2[[#This Row],[Activos]]+Tabla2[[#This Row],[Liquidez]])+Tabla2[[#This Row],[Comunicación]])</f>
        <v>1.1359021139640673</v>
      </c>
      <c r="T711">
        <f ca="1">Tabla2[[#This Row],[Deuda actual]]*EXP(Tabla2[[#This Row],[Ki]]*Tabla2[[#This Row],[diferencia de días]])*(1+Tabla2[[#This Row],[Hg]])</f>
        <v>337.9697987253889</v>
      </c>
    </row>
    <row r="712" spans="1:20" ht="14.5" x14ac:dyDescent="0.35">
      <c r="A712" t="e">
        <f t="shared" si="121"/>
        <v>#VALUE!</v>
      </c>
      <c r="B712" s="21">
        <f t="shared" ca="1" si="122"/>
        <v>46115</v>
      </c>
      <c r="C712" s="21">
        <f t="shared" ca="1" si="123"/>
        <v>46157</v>
      </c>
      <c r="D712">
        <f t="shared" ca="1" si="124"/>
        <v>12</v>
      </c>
      <c r="E712">
        <f t="shared" ca="1" si="125"/>
        <v>0.86838214667504832</v>
      </c>
      <c r="F712" s="47">
        <f t="shared" ca="1" si="126"/>
        <v>1802.86</v>
      </c>
      <c r="G712" s="32" t="str">
        <f t="shared" ca="1" si="127"/>
        <v>personal</v>
      </c>
      <c r="H71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12" t="str">
        <f t="shared" ca="1" si="128"/>
        <v>No</v>
      </c>
      <c r="J71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12000.887019864289</v>
      </c>
      <c r="K712" s="32" t="str">
        <f ca="1">IF(Tabla2[[#This Row],[¿cliente deuda abierta?]]="Sí", Tabla2[[#This Row],[Deuda actual]]*Tabla2[[#This Row],[diferencia de días]], "0")</f>
        <v>0</v>
      </c>
      <c r="L71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1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71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712">
        <f t="shared" ca="1" si="129"/>
        <v>1474.54</v>
      </c>
      <c r="P712">
        <f t="shared" ca="1" si="130"/>
        <v>125299.1</v>
      </c>
      <c r="Q712">
        <f t="shared" ca="1" si="131"/>
        <v>3</v>
      </c>
      <c r="R712">
        <f ca="1">((Tabla2[[#This Row],[Fantasma Comunicación]]+1)/(Tabla2[[#This Row],[Fantasma Comunicación]]+RANDBETWEEN(0,5)+2))-0.5</f>
        <v>0.16666666666666663</v>
      </c>
      <c r="S712" s="51">
        <f ca="1">1+MAX(0,Tabla2[[#This Row],[Deuda actual]]/Tabla2[[#This Row],[Liquidez]]+Tabla2[[#This Row],[Liquidez]]/(Tabla2[[#This Row],[Activos]]+Tabla2[[#This Row],[Liquidez]])+Tabla2[[#This Row],[Comunicación]])</f>
        <v>2.4009572190154329</v>
      </c>
      <c r="T712">
        <f ca="1">Tabla2[[#This Row],[Deuda actual]]*EXP(Tabla2[[#This Row],[Ki]]*Tabla2[[#This Row],[diferencia de días]])*(1+Tabla2[[#This Row],[Hg]])</f>
        <v>1626.4728543537744</v>
      </c>
    </row>
    <row r="713" spans="1:20" ht="14.5" x14ac:dyDescent="0.35">
      <c r="A713" t="e">
        <f t="shared" si="121"/>
        <v>#VALUE!</v>
      </c>
      <c r="B713" s="21">
        <f t="shared" ca="1" si="122"/>
        <v>46131</v>
      </c>
      <c r="C713" s="21">
        <f t="shared" ca="1" si="123"/>
        <v>46157</v>
      </c>
      <c r="D713">
        <f t="shared" ca="1" si="124"/>
        <v>4</v>
      </c>
      <c r="E713">
        <f t="shared" ca="1" si="125"/>
        <v>0.22551660708691823</v>
      </c>
      <c r="F713" s="47">
        <f t="shared" ca="1" si="126"/>
        <v>1094.72</v>
      </c>
      <c r="G713" s="32" t="str">
        <f t="shared" ca="1" si="127"/>
        <v>personal</v>
      </c>
      <c r="H71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13" t="str">
        <f t="shared" ca="1" si="128"/>
        <v>Sí</v>
      </c>
      <c r="J71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13" s="32">
        <f ca="1">IF(Tabla2[[#This Row],[¿cliente deuda abierta?]]="Sí", Tabla2[[#This Row],[Deuda actual]]*Tabla2[[#This Row],[diferencia de días]], "0")</f>
        <v>4378.88</v>
      </c>
      <c r="L71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1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1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13">
        <f t="shared" ca="1" si="129"/>
        <v>1018.11</v>
      </c>
      <c r="P713">
        <f t="shared" ca="1" si="130"/>
        <v>90150.9</v>
      </c>
      <c r="Q713">
        <f t="shared" ca="1" si="131"/>
        <v>0</v>
      </c>
      <c r="R713">
        <f ca="1">((Tabla2[[#This Row],[Fantasma Comunicación]]+1)/(Tabla2[[#This Row],[Fantasma Comunicación]]+RANDBETWEEN(0,5)+2))-0.5</f>
        <v>-0.25</v>
      </c>
      <c r="S713" s="51">
        <f ca="1">1+MAX(0,Tabla2[[#This Row],[Deuda actual]]/Tabla2[[#This Row],[Liquidez]]+Tabla2[[#This Row],[Liquidez]]/(Tabla2[[#This Row],[Activos]]+Tabla2[[#This Row],[Liquidez]])+Tabla2[[#This Row],[Comunicación]])</f>
        <v>1.8364145534195373</v>
      </c>
      <c r="T713">
        <f ca="1">Tabla2[[#This Row],[Deuda actual]]*EXP(Tabla2[[#This Row],[Ki]]*Tabla2[[#This Row],[diferencia de días]])*(1+Tabla2[[#This Row],[Hg]])</f>
        <v>1150.3759327240264</v>
      </c>
    </row>
    <row r="714" spans="1:20" ht="14.5" x14ac:dyDescent="0.35">
      <c r="A714" t="e">
        <f t="shared" si="121"/>
        <v>#VALUE!</v>
      </c>
      <c r="B714" s="21">
        <f t="shared" ca="1" si="122"/>
        <v>46132</v>
      </c>
      <c r="C714" s="21">
        <f t="shared" ca="1" si="123"/>
        <v>46157</v>
      </c>
      <c r="D714">
        <f t="shared" ca="1" si="124"/>
        <v>3</v>
      </c>
      <c r="E714">
        <f t="shared" ca="1" si="125"/>
        <v>0.59006050180670189</v>
      </c>
      <c r="F714" s="47">
        <f t="shared" ca="1" si="126"/>
        <v>245.58</v>
      </c>
      <c r="G714" s="32" t="str">
        <f t="shared" ca="1" si="127"/>
        <v>hipotecario</v>
      </c>
      <c r="H71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14" t="str">
        <f t="shared" ca="1" si="128"/>
        <v>Sí</v>
      </c>
      <c r="J71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14" s="32">
        <f ca="1">IF(Tabla2[[#This Row],[¿cliente deuda abierta?]]="Sí", Tabla2[[#This Row],[Deuda actual]]*Tabla2[[#This Row],[diferencia de días]], "0")</f>
        <v>736.74</v>
      </c>
      <c r="L71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1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1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14">
        <f t="shared" ca="1" si="129"/>
        <v>1453.75</v>
      </c>
      <c r="P714">
        <f t="shared" ca="1" si="130"/>
        <v>103774.66</v>
      </c>
      <c r="Q714">
        <f t="shared" ca="1" si="131"/>
        <v>4</v>
      </c>
      <c r="R714">
        <f ca="1">((Tabla2[[#This Row],[Fantasma Comunicación]]+1)/(Tabla2[[#This Row],[Fantasma Comunicación]]+RANDBETWEEN(0,5)+2))-0.5</f>
        <v>5.555555555555558E-2</v>
      </c>
      <c r="S714" s="51">
        <f ca="1">1+MAX(0,Tabla2[[#This Row],[Deuda actual]]/Tabla2[[#This Row],[Liquidez]]+Tabla2[[#This Row],[Liquidez]]/(Tabla2[[#This Row],[Activos]]+Tabla2[[#This Row],[Liquidez]])+Tabla2[[#This Row],[Comunicación]])</f>
        <v>1.2382993738634402</v>
      </c>
      <c r="T714">
        <f ca="1">Tabla2[[#This Row],[Deuda actual]]*EXP(Tabla2[[#This Row],[Ki]]*Tabla2[[#This Row],[diferencia de días]])*(1+Tabla2[[#This Row],[Hg]])</f>
        <v>258.01376182390436</v>
      </c>
    </row>
    <row r="715" spans="1:20" ht="14.5" x14ac:dyDescent="0.35">
      <c r="A715" t="e">
        <f t="shared" si="121"/>
        <v>#VALUE!</v>
      </c>
      <c r="B715" s="21">
        <f t="shared" ca="1" si="122"/>
        <v>46100</v>
      </c>
      <c r="C715" s="21">
        <f t="shared" ca="1" si="123"/>
        <v>46157</v>
      </c>
      <c r="D715">
        <f t="shared" ca="1" si="124"/>
        <v>8</v>
      </c>
      <c r="E715">
        <f t="shared" ca="1" si="125"/>
        <v>0.75160775062578233</v>
      </c>
      <c r="F715" s="47">
        <f t="shared" ca="1" si="126"/>
        <v>1922.24</v>
      </c>
      <c r="G715" s="32" t="str">
        <f t="shared" ca="1" si="127"/>
        <v>personal</v>
      </c>
      <c r="H71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15" t="str">
        <f t="shared" ca="1" si="128"/>
        <v>No</v>
      </c>
      <c r="J71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12001.012524425354</v>
      </c>
      <c r="K715" s="32" t="str">
        <f ca="1">IF(Tabla2[[#This Row],[¿cliente deuda abierta?]]="Sí", Tabla2[[#This Row],[Deuda actual]]*Tabla2[[#This Row],[diferencia de días]], "0")</f>
        <v>0</v>
      </c>
      <c r="L71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1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71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715">
        <f t="shared" ca="1" si="129"/>
        <v>1083.3900000000001</v>
      </c>
      <c r="P715">
        <f t="shared" ca="1" si="130"/>
        <v>144509.35999999999</v>
      </c>
      <c r="Q715">
        <f t="shared" ca="1" si="131"/>
        <v>2</v>
      </c>
      <c r="R715">
        <f ca="1">((Tabla2[[#This Row],[Fantasma Comunicación]]+1)/(Tabla2[[#This Row],[Fantasma Comunicación]]+RANDBETWEEN(0,5)+2))-0.5</f>
        <v>-7.1428571428571452E-2</v>
      </c>
      <c r="S715" s="51">
        <f ca="1">1+MAX(0,Tabla2[[#This Row],[Deuda actual]]/Tabla2[[#This Row],[Liquidez]]+Tabla2[[#This Row],[Liquidez]]/(Tabla2[[#This Row],[Activos]]+Tabla2[[#This Row],[Liquidez]])+Tabla2[[#This Row],[Comunicación]])</f>
        <v>2.7102952404729508</v>
      </c>
      <c r="T715">
        <f ca="1">Tabla2[[#This Row],[Deuda actual]]*EXP(Tabla2[[#This Row],[Ki]]*Tabla2[[#This Row],[diferencia de días]])*(1+Tabla2[[#This Row],[Hg]])</f>
        <v>1732.7862412019767</v>
      </c>
    </row>
    <row r="716" spans="1:20" ht="14.5" x14ac:dyDescent="0.35">
      <c r="A716" t="e">
        <f t="shared" si="121"/>
        <v>#VALUE!</v>
      </c>
      <c r="B716" s="21">
        <f t="shared" ca="1" si="122"/>
        <v>46132</v>
      </c>
      <c r="C716" s="21">
        <f t="shared" ca="1" si="123"/>
        <v>46157</v>
      </c>
      <c r="D716">
        <f t="shared" ca="1" si="124"/>
        <v>43</v>
      </c>
      <c r="E716">
        <f t="shared" ca="1" si="125"/>
        <v>0.31051651500852473</v>
      </c>
      <c r="F716" s="47">
        <f t="shared" ca="1" si="126"/>
        <v>2569.69</v>
      </c>
      <c r="G716" s="32" t="str">
        <f t="shared" ca="1" si="127"/>
        <v>personal</v>
      </c>
      <c r="H71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716" t="str">
        <f t="shared" ca="1" si="128"/>
        <v>Sí</v>
      </c>
      <c r="J71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16" s="32">
        <f ca="1">IF(Tabla2[[#This Row],[¿cliente deuda abierta?]]="Sí", Tabla2[[#This Row],[Deuda actual]]*Tabla2[[#This Row],[diferencia de días]], "0")</f>
        <v>110496.67</v>
      </c>
      <c r="L71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71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16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716">
        <f t="shared" ca="1" si="129"/>
        <v>1639.41</v>
      </c>
      <c r="P716">
        <f t="shared" ca="1" si="130"/>
        <v>176978.74</v>
      </c>
      <c r="Q716">
        <f t="shared" ca="1" si="131"/>
        <v>2</v>
      </c>
      <c r="R716">
        <f ca="1">((Tabla2[[#This Row],[Fantasma Comunicación]]+1)/(Tabla2[[#This Row],[Fantasma Comunicación]]+RANDBETWEEN(0,5)+2))-0.5</f>
        <v>-7.1428571428571452E-2</v>
      </c>
      <c r="S716" s="51">
        <f ca="1">1+MAX(0,Tabla2[[#This Row],[Deuda actual]]/Tabla2[[#This Row],[Liquidez]]+Tabla2[[#This Row],[Liquidez]]/(Tabla2[[#This Row],[Activos]]+Tabla2[[#This Row],[Liquidez]])+Tabla2[[#This Row],[Comunicación]])</f>
        <v>2.505197768495814</v>
      </c>
      <c r="T716">
        <f ca="1">Tabla2[[#This Row],[Deuda actual]]*EXP(Tabla2[[#This Row],[Ki]]*Tabla2[[#This Row],[diferencia de días]])*(1+Tabla2[[#This Row],[Hg]])</f>
        <v>3084.9862843714714</v>
      </c>
    </row>
    <row r="717" spans="1:20" ht="14.5" x14ac:dyDescent="0.35">
      <c r="A717" t="e">
        <f t="shared" si="121"/>
        <v>#VALUE!</v>
      </c>
      <c r="B717" s="21">
        <f t="shared" ca="1" si="122"/>
        <v>46113</v>
      </c>
      <c r="C717" s="21">
        <f t="shared" ca="1" si="123"/>
        <v>46157</v>
      </c>
      <c r="D717">
        <f t="shared" ca="1" si="124"/>
        <v>24</v>
      </c>
      <c r="E717">
        <f t="shared" ca="1" si="125"/>
        <v>0.68997615286964986</v>
      </c>
      <c r="F717" s="47">
        <f t="shared" ca="1" si="126"/>
        <v>582.04</v>
      </c>
      <c r="G717" s="32" t="str">
        <f t="shared" ca="1" si="127"/>
        <v>personal</v>
      </c>
      <c r="H71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717" t="str">
        <f t="shared" ca="1" si="128"/>
        <v>Sí</v>
      </c>
      <c r="J71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17" s="32">
        <f ca="1">IF(Tabla2[[#This Row],[¿cliente deuda abierta?]]="Sí", Tabla2[[#This Row],[Deuda actual]]*Tabla2[[#This Row],[diferencia de días]], "0")</f>
        <v>13968.96</v>
      </c>
      <c r="L71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1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1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17">
        <f t="shared" ca="1" si="129"/>
        <v>1739.05</v>
      </c>
      <c r="P717">
        <f t="shared" ca="1" si="130"/>
        <v>84447.16</v>
      </c>
      <c r="Q717">
        <f t="shared" ca="1" si="131"/>
        <v>2</v>
      </c>
      <c r="R717">
        <f ca="1">((Tabla2[[#This Row],[Fantasma Comunicación]]+1)/(Tabla2[[#This Row],[Fantasma Comunicación]]+RANDBETWEEN(0,5)+2))-0.5</f>
        <v>-0.125</v>
      </c>
      <c r="S717" s="51">
        <f ca="1">1+MAX(0,Tabla2[[#This Row],[Deuda actual]]/Tabla2[[#This Row],[Liquidez]]+Tabla2[[#This Row],[Liquidez]]/(Tabla2[[#This Row],[Activos]]+Tabla2[[#This Row],[Liquidez]])+Tabla2[[#This Row],[Comunicación]])</f>
        <v>1.2298663012930362</v>
      </c>
      <c r="T717">
        <f ca="1">Tabla2[[#This Row],[Deuda actual]]*EXP(Tabla2[[#This Row],[Ki]]*Tabla2[[#This Row],[diferencia de días]])*(1+Tabla2[[#This Row],[Hg]])</f>
        <v>617.03721495661034</v>
      </c>
    </row>
    <row r="718" spans="1:20" ht="14.5" x14ac:dyDescent="0.35">
      <c r="A718" t="e">
        <f t="shared" si="121"/>
        <v>#VALUE!</v>
      </c>
      <c r="B718" s="21">
        <f t="shared" ca="1" si="122"/>
        <v>46096</v>
      </c>
      <c r="C718" s="21">
        <f t="shared" ca="1" si="123"/>
        <v>46157</v>
      </c>
      <c r="D718">
        <f t="shared" ca="1" si="124"/>
        <v>8</v>
      </c>
      <c r="E718">
        <f t="shared" ca="1" si="125"/>
        <v>0.66639677222257543</v>
      </c>
      <c r="F718" s="47">
        <f t="shared" ca="1" si="126"/>
        <v>445.75</v>
      </c>
      <c r="G718" s="32" t="str">
        <f t="shared" ca="1" si="127"/>
        <v>hipotecario</v>
      </c>
      <c r="H71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18" t="str">
        <f t="shared" ca="1" si="128"/>
        <v>No</v>
      </c>
      <c r="J71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164999.56542286469</v>
      </c>
      <c r="K718" s="32" t="str">
        <f ca="1">IF(Tabla2[[#This Row],[¿cliente deuda abierta?]]="Sí", Tabla2[[#This Row],[Deuda actual]]*Tabla2[[#This Row],[diferencia de días]], "0")</f>
        <v>0</v>
      </c>
      <c r="L71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1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71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718">
        <f t="shared" ca="1" si="129"/>
        <v>1148.81</v>
      </c>
      <c r="P718">
        <f t="shared" ca="1" si="130"/>
        <v>58027.49</v>
      </c>
      <c r="Q718">
        <f t="shared" ca="1" si="131"/>
        <v>0</v>
      </c>
      <c r="R718">
        <f ca="1">((Tabla2[[#This Row],[Fantasma Comunicación]]+1)/(Tabla2[[#This Row],[Fantasma Comunicación]]+RANDBETWEEN(0,5)+2))-0.5</f>
        <v>-0.35714285714285715</v>
      </c>
      <c r="S718" s="51">
        <f ca="1">1+MAX(0,Tabla2[[#This Row],[Deuda actual]]/Tabla2[[#This Row],[Liquidez]]+Tabla2[[#This Row],[Liquidez]]/(Tabla2[[#This Row],[Activos]]+Tabla2[[#This Row],[Liquidez]])+Tabla2[[#This Row],[Comunicación]])</f>
        <v>1.0502806909395748</v>
      </c>
      <c r="T718">
        <f ca="1">Tabla2[[#This Row],[Deuda actual]]*EXP(Tabla2[[#This Row],[Ki]]*Tabla2[[#This Row],[diferencia de días]])*(1+Tabla2[[#This Row],[Hg]])</f>
        <v>357.17101669153635</v>
      </c>
    </row>
    <row r="719" spans="1:20" ht="14.5" x14ac:dyDescent="0.35">
      <c r="A719" t="e">
        <f t="shared" si="121"/>
        <v>#VALUE!</v>
      </c>
      <c r="B719" s="21">
        <f t="shared" ca="1" si="122"/>
        <v>46122</v>
      </c>
      <c r="C719" s="21">
        <f t="shared" ca="1" si="123"/>
        <v>46157</v>
      </c>
      <c r="D719">
        <f t="shared" ca="1" si="124"/>
        <v>4</v>
      </c>
      <c r="E719">
        <f t="shared" ca="1" si="125"/>
        <v>0.6404868690568446</v>
      </c>
      <c r="F719" s="47">
        <f t="shared" ca="1" si="126"/>
        <v>1117.46</v>
      </c>
      <c r="G719" s="32" t="str">
        <f t="shared" ca="1" si="127"/>
        <v>hipotecario</v>
      </c>
      <c r="H71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19" t="str">
        <f t="shared" ca="1" si="128"/>
        <v>Sí</v>
      </c>
      <c r="J71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19" s="32">
        <f ca="1">IF(Tabla2[[#This Row],[¿cliente deuda abierta?]]="Sí", Tabla2[[#This Row],[Deuda actual]]*Tabla2[[#This Row],[diferencia de días]], "0")</f>
        <v>4469.84</v>
      </c>
      <c r="L71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1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1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19">
        <f t="shared" ca="1" si="129"/>
        <v>1942.97</v>
      </c>
      <c r="P719">
        <f t="shared" ca="1" si="130"/>
        <v>829214.04</v>
      </c>
      <c r="Q719">
        <f t="shared" ca="1" si="131"/>
        <v>3</v>
      </c>
      <c r="R719">
        <f ca="1">((Tabla2[[#This Row],[Fantasma Comunicación]]+1)/(Tabla2[[#This Row],[Fantasma Comunicación]]+RANDBETWEEN(0,5)+2))-0.5</f>
        <v>0.30000000000000004</v>
      </c>
      <c r="S719" s="51">
        <f ca="1">1+MAX(0,Tabla2[[#This Row],[Deuda actual]]/Tabla2[[#This Row],[Liquidez]]+Tabla2[[#This Row],[Liquidez]]/(Tabla2[[#This Row],[Activos]]+Tabla2[[#This Row],[Liquidez]])+Tabla2[[#This Row],[Comunicación]])</f>
        <v>1.8774674960457838</v>
      </c>
      <c r="T719">
        <f ca="1">Tabla2[[#This Row],[Deuda actual]]*EXP(Tabla2[[#This Row],[Ki]]*Tabla2[[#This Row],[diferencia de días]])*(1+Tabla2[[#This Row],[Hg]])</f>
        <v>1174.2720419667044</v>
      </c>
    </row>
    <row r="720" spans="1:20" ht="14.5" x14ac:dyDescent="0.35">
      <c r="A720" t="e">
        <f t="shared" si="121"/>
        <v>#VALUE!</v>
      </c>
      <c r="B720" s="21">
        <f t="shared" ca="1" si="122"/>
        <v>46116</v>
      </c>
      <c r="C720" s="21">
        <f t="shared" ca="1" si="123"/>
        <v>46157</v>
      </c>
      <c r="D720">
        <f t="shared" ca="1" si="124"/>
        <v>60</v>
      </c>
      <c r="E720">
        <f t="shared" ca="1" si="125"/>
        <v>1.2656422577112747E-2</v>
      </c>
      <c r="F720" s="47">
        <f t="shared" ca="1" si="126"/>
        <v>2058.42</v>
      </c>
      <c r="G720" s="32" t="str">
        <f t="shared" ca="1" si="127"/>
        <v>personal</v>
      </c>
      <c r="H72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720" t="str">
        <f t="shared" ca="1" si="128"/>
        <v>Sí</v>
      </c>
      <c r="J72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20" s="32">
        <f ca="1">IF(Tabla2[[#This Row],[¿cliente deuda abierta?]]="Sí", Tabla2[[#This Row],[Deuda actual]]*Tabla2[[#This Row],[diferencia de días]], "0")</f>
        <v>123505.20000000001</v>
      </c>
      <c r="L72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72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20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720">
        <f t="shared" ca="1" si="129"/>
        <v>1857.01</v>
      </c>
      <c r="P720">
        <f t="shared" ca="1" si="130"/>
        <v>259287.2</v>
      </c>
      <c r="Q720">
        <f t="shared" ca="1" si="131"/>
        <v>4</v>
      </c>
      <c r="R720">
        <f ca="1">((Tabla2[[#This Row],[Fantasma Comunicación]]+1)/(Tabla2[[#This Row],[Fantasma Comunicación]]+RANDBETWEEN(0,5)+2))-0.5</f>
        <v>0</v>
      </c>
      <c r="S720" s="51">
        <f ca="1">1+MAX(0,Tabla2[[#This Row],[Deuda actual]]/Tabla2[[#This Row],[Liquidez]]+Tabla2[[#This Row],[Liquidez]]/(Tabla2[[#This Row],[Activos]]+Tabla2[[#This Row],[Liquidez]])+Tabla2[[#This Row],[Comunicación]])</f>
        <v>2.1155703492552806</v>
      </c>
      <c r="T720">
        <f ca="1">Tabla2[[#This Row],[Deuda actual]]*EXP(Tabla2[[#This Row],[Ki]]*Tabla2[[#This Row],[diferencia de días]])*(1+Tabla2[[#This Row],[Hg]])</f>
        <v>2513.5614217608841</v>
      </c>
    </row>
    <row r="721" spans="1:20" ht="14.5" x14ac:dyDescent="0.35">
      <c r="A721" t="e">
        <f t="shared" si="121"/>
        <v>#VALUE!</v>
      </c>
      <c r="B721" s="21">
        <f t="shared" ca="1" si="122"/>
        <v>46121</v>
      </c>
      <c r="C721" s="21">
        <f t="shared" ca="1" si="123"/>
        <v>46157</v>
      </c>
      <c r="D721">
        <f t="shared" ca="1" si="124"/>
        <v>19</v>
      </c>
      <c r="E721">
        <f t="shared" ca="1" si="125"/>
        <v>0.38018654960192033</v>
      </c>
      <c r="F721" s="47">
        <f t="shared" ca="1" si="126"/>
        <v>239.21</v>
      </c>
      <c r="G721" s="32" t="str">
        <f t="shared" ca="1" si="127"/>
        <v>hipotecario</v>
      </c>
      <c r="H72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721" t="str">
        <f t="shared" ca="1" si="128"/>
        <v>No</v>
      </c>
      <c r="J72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164999.53119581807</v>
      </c>
      <c r="K721" s="32" t="str">
        <f ca="1">IF(Tabla2[[#This Row],[¿cliente deuda abierta?]]="Sí", Tabla2[[#This Row],[Deuda actual]]*Tabla2[[#This Row],[diferencia de días]], "0")</f>
        <v>0</v>
      </c>
      <c r="L72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2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72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721">
        <f t="shared" ca="1" si="129"/>
        <v>1520.87</v>
      </c>
      <c r="P721">
        <f t="shared" ca="1" si="130"/>
        <v>149533.01999999999</v>
      </c>
      <c r="Q721">
        <f t="shared" ca="1" si="131"/>
        <v>5</v>
      </c>
      <c r="R721">
        <f ca="1">((Tabla2[[#This Row],[Fantasma Comunicación]]+1)/(Tabla2[[#This Row],[Fantasma Comunicación]]+RANDBETWEEN(0,5)+2))-0.5</f>
        <v>0.3571428571428571</v>
      </c>
      <c r="S721" s="51">
        <f ca="1">1+MAX(0,Tabla2[[#This Row],[Deuda actual]]/Tabla2[[#This Row],[Liquidez]]+Tabla2[[#This Row],[Liquidez]]/(Tabla2[[#This Row],[Activos]]+Tabla2[[#This Row],[Liquidez]])+Tabla2[[#This Row],[Comunicación]])</f>
        <v>1.5244962256620591</v>
      </c>
      <c r="T721">
        <f ca="1">Tabla2[[#This Row],[Deuda actual]]*EXP(Tabla2[[#This Row],[Ki]]*Tabla2[[#This Row],[diferencia de días]])*(1+Tabla2[[#This Row],[Hg]])</f>
        <v>192.8279375354756</v>
      </c>
    </row>
    <row r="722" spans="1:20" ht="14.5" x14ac:dyDescent="0.35">
      <c r="A722" t="e">
        <f t="shared" si="121"/>
        <v>#VALUE!</v>
      </c>
      <c r="B722" s="21">
        <f t="shared" ca="1" si="122"/>
        <v>46142</v>
      </c>
      <c r="C722" s="21">
        <f t="shared" ca="1" si="123"/>
        <v>46157</v>
      </c>
      <c r="D722">
        <f t="shared" ca="1" si="124"/>
        <v>28</v>
      </c>
      <c r="E722">
        <f t="shared" ca="1" si="125"/>
        <v>0.12763388932001385</v>
      </c>
      <c r="F722" s="47">
        <f t="shared" ca="1" si="126"/>
        <v>1733.76</v>
      </c>
      <c r="G722" s="32" t="str">
        <f t="shared" ca="1" si="127"/>
        <v>hipotecario</v>
      </c>
      <c r="H72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722" t="str">
        <f t="shared" ca="1" si="128"/>
        <v>No</v>
      </c>
      <c r="J72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165000.69815831637</v>
      </c>
      <c r="K722" s="32" t="str">
        <f ca="1">IF(Tabla2[[#This Row],[¿cliente deuda abierta?]]="Sí", Tabla2[[#This Row],[Deuda actual]]*Tabla2[[#This Row],[diferencia de días]], "0")</f>
        <v>0</v>
      </c>
      <c r="L72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2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72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722">
        <f t="shared" ca="1" si="129"/>
        <v>1442.8</v>
      </c>
      <c r="P722">
        <f t="shared" ca="1" si="130"/>
        <v>130019.34</v>
      </c>
      <c r="Q722">
        <f t="shared" ca="1" si="131"/>
        <v>5</v>
      </c>
      <c r="R722">
        <f ca="1">((Tabla2[[#This Row],[Fantasma Comunicación]]+1)/(Tabla2[[#This Row],[Fantasma Comunicación]]+RANDBETWEEN(0,5)+2))-0.5</f>
        <v>9.9999999999999978E-2</v>
      </c>
      <c r="S722" s="51">
        <f ca="1">1+MAX(0,Tabla2[[#This Row],[Deuda actual]]/Tabla2[[#This Row],[Liquidez]]+Tabla2[[#This Row],[Liquidez]]/(Tabla2[[#This Row],[Activos]]+Tabla2[[#This Row],[Liquidez]])+Tabla2[[#This Row],[Comunicación]])</f>
        <v>2.3126384551380865</v>
      </c>
      <c r="T722">
        <f ca="1">Tabla2[[#This Row],[Deuda actual]]*EXP(Tabla2[[#This Row],[Ki]]*Tabla2[[#This Row],[diferencia de días]])*(1+Tabla2[[#This Row],[Hg]])</f>
        <v>1402.629808427565</v>
      </c>
    </row>
    <row r="723" spans="1:20" ht="14.5" x14ac:dyDescent="0.35">
      <c r="A723" t="e">
        <f t="shared" si="121"/>
        <v>#VALUE!</v>
      </c>
      <c r="B723" s="21">
        <f t="shared" ca="1" si="122"/>
        <v>46093</v>
      </c>
      <c r="C723" s="21">
        <f t="shared" ca="1" si="123"/>
        <v>46157</v>
      </c>
      <c r="D723">
        <f t="shared" ca="1" si="124"/>
        <v>3</v>
      </c>
      <c r="E723">
        <f t="shared" ca="1" si="125"/>
        <v>0.22026723503319878</v>
      </c>
      <c r="F723" s="47">
        <f t="shared" ca="1" si="126"/>
        <v>831.73</v>
      </c>
      <c r="G723" s="32" t="str">
        <f t="shared" ca="1" si="127"/>
        <v>hipotecario</v>
      </c>
      <c r="H72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23" t="str">
        <f t="shared" ca="1" si="128"/>
        <v>Sí</v>
      </c>
      <c r="J72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23" s="32">
        <f ca="1">IF(Tabla2[[#This Row],[¿cliente deuda abierta?]]="Sí", Tabla2[[#This Row],[Deuda actual]]*Tabla2[[#This Row],[diferencia de días]], "0")</f>
        <v>2495.19</v>
      </c>
      <c r="L72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2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2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23">
        <f t="shared" ca="1" si="129"/>
        <v>1401.12</v>
      </c>
      <c r="P723">
        <f t="shared" ca="1" si="130"/>
        <v>401535.11</v>
      </c>
      <c r="Q723">
        <f t="shared" ca="1" si="131"/>
        <v>5</v>
      </c>
      <c r="R723">
        <f ca="1">((Tabla2[[#This Row],[Fantasma Comunicación]]+1)/(Tabla2[[#This Row],[Fantasma Comunicación]]+RANDBETWEEN(0,5)+2))-0.5</f>
        <v>0.3571428571428571</v>
      </c>
      <c r="S723" s="51">
        <f ca="1">1+MAX(0,Tabla2[[#This Row],[Deuda actual]]/Tabla2[[#This Row],[Liquidez]]+Tabla2[[#This Row],[Liquidez]]/(Tabla2[[#This Row],[Activos]]+Tabla2[[#This Row],[Liquidez]])+Tabla2[[#This Row],[Comunicación]])</f>
        <v>1.9542380947190054</v>
      </c>
      <c r="T723">
        <f ca="1">Tabla2[[#This Row],[Deuda actual]]*EXP(Tabla2[[#This Row],[Ki]]*Tabla2[[#This Row],[diferencia de días]])*(1+Tabla2[[#This Row],[Hg]])</f>
        <v>873.84064712841416</v>
      </c>
    </row>
    <row r="724" spans="1:20" ht="14.5" x14ac:dyDescent="0.35">
      <c r="A724" t="e">
        <f t="shared" si="121"/>
        <v>#VALUE!</v>
      </c>
      <c r="B724" s="21">
        <f t="shared" ca="1" si="122"/>
        <v>46120</v>
      </c>
      <c r="C724" s="21">
        <f t="shared" ca="1" si="123"/>
        <v>46157</v>
      </c>
      <c r="D724">
        <f t="shared" ca="1" si="124"/>
        <v>4</v>
      </c>
      <c r="E724">
        <f t="shared" ca="1" si="125"/>
        <v>0.41488140550921049</v>
      </c>
      <c r="F724" s="47">
        <f t="shared" ca="1" si="126"/>
        <v>4576.79</v>
      </c>
      <c r="G724" s="32" t="str">
        <f t="shared" ca="1" si="127"/>
        <v>hipotecario</v>
      </c>
      <c r="H72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24" t="str">
        <f t="shared" ca="1" si="128"/>
        <v>No</v>
      </c>
      <c r="J72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165000.09993732977</v>
      </c>
      <c r="K724" s="32" t="str">
        <f ca="1">IF(Tabla2[[#This Row],[¿cliente deuda abierta?]]="Sí", Tabla2[[#This Row],[Deuda actual]]*Tabla2[[#This Row],[diferencia de días]], "0")</f>
        <v>0</v>
      </c>
      <c r="L72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2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72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724">
        <f t="shared" ca="1" si="129"/>
        <v>1644.54</v>
      </c>
      <c r="P724">
        <f t="shared" ca="1" si="130"/>
        <v>341696.46</v>
      </c>
      <c r="Q724">
        <f t="shared" ca="1" si="131"/>
        <v>0</v>
      </c>
      <c r="R724">
        <f ca="1">((Tabla2[[#This Row],[Fantasma Comunicación]]+1)/(Tabla2[[#This Row],[Fantasma Comunicación]]+RANDBETWEEN(0,5)+2))-0.5</f>
        <v>0</v>
      </c>
      <c r="S724" s="51">
        <f ca="1">1+MAX(0,Tabla2[[#This Row],[Deuda actual]]/Tabla2[[#This Row],[Liquidez]]+Tabla2[[#This Row],[Liquidez]]/(Tabla2[[#This Row],[Activos]]+Tabla2[[#This Row],[Liquidez]])+Tabla2[[#This Row],[Comunicación]])</f>
        <v>3.7878112073732493</v>
      </c>
      <c r="T724">
        <f ca="1">Tabla2[[#This Row],[Deuda actual]]*EXP(Tabla2[[#This Row],[Ki]]*Tabla2[[#This Row],[diferencia de días]])*(1+Tabla2[[#This Row],[Hg]])</f>
        <v>3664.3623175707444</v>
      </c>
    </row>
    <row r="725" spans="1:20" ht="14.5" x14ac:dyDescent="0.35">
      <c r="A725" t="e">
        <f t="shared" si="121"/>
        <v>#VALUE!</v>
      </c>
      <c r="B725" s="21">
        <f t="shared" ca="1" si="122"/>
        <v>46092</v>
      </c>
      <c r="C725" s="21">
        <f t="shared" ca="1" si="123"/>
        <v>46157</v>
      </c>
      <c r="D725">
        <f t="shared" ca="1" si="124"/>
        <v>31</v>
      </c>
      <c r="E725">
        <f t="shared" ca="1" si="125"/>
        <v>0.93742677753379133</v>
      </c>
      <c r="F725" s="47">
        <f t="shared" ca="1" si="126"/>
        <v>885.18</v>
      </c>
      <c r="G725" s="32" t="str">
        <f t="shared" ca="1" si="127"/>
        <v>hipotecario</v>
      </c>
      <c r="H72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725" t="str">
        <f t="shared" ca="1" si="128"/>
        <v>Sí</v>
      </c>
      <c r="J72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25" s="32">
        <f ca="1">IF(Tabla2[[#This Row],[¿cliente deuda abierta?]]="Sí", Tabla2[[#This Row],[Deuda actual]]*Tabla2[[#This Row],[diferencia de días]], "0")</f>
        <v>27440.579999999998</v>
      </c>
      <c r="L72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2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2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25">
        <f t="shared" ca="1" si="129"/>
        <v>1867.97</v>
      </c>
      <c r="P725">
        <f t="shared" ca="1" si="130"/>
        <v>966833.06</v>
      </c>
      <c r="Q725">
        <f t="shared" ca="1" si="131"/>
        <v>3</v>
      </c>
      <c r="R725">
        <f ca="1">((Tabla2[[#This Row],[Fantasma Comunicación]]+1)/(Tabla2[[#This Row],[Fantasma Comunicación]]+RANDBETWEEN(0,5)+2))-0.5</f>
        <v>0</v>
      </c>
      <c r="S725" s="51">
        <f ca="1">1+MAX(0,Tabla2[[#This Row],[Deuda actual]]/Tabla2[[#This Row],[Liquidez]]+Tabla2[[#This Row],[Liquidez]]/(Tabla2[[#This Row],[Activos]]+Tabla2[[#This Row],[Liquidez]])+Tabla2[[#This Row],[Comunicación]])</f>
        <v>1.475801031308078</v>
      </c>
      <c r="T725">
        <f ca="1">Tabla2[[#This Row],[Deuda actual]]*EXP(Tabla2[[#This Row],[Ki]]*Tabla2[[#This Row],[diferencia de días]])*(1+Tabla2[[#This Row],[Hg]])</f>
        <v>958.7028552467857</v>
      </c>
    </row>
    <row r="726" spans="1:20" ht="14.5" x14ac:dyDescent="0.35">
      <c r="A726" t="e">
        <f t="shared" si="121"/>
        <v>#VALUE!</v>
      </c>
      <c r="B726" s="21">
        <f t="shared" ca="1" si="122"/>
        <v>46129</v>
      </c>
      <c r="C726" s="21">
        <f t="shared" ca="1" si="123"/>
        <v>46157</v>
      </c>
      <c r="D726">
        <f t="shared" ca="1" si="124"/>
        <v>12</v>
      </c>
      <c r="E726">
        <f t="shared" ca="1" si="125"/>
        <v>0.90634737290517675</v>
      </c>
      <c r="F726" s="47">
        <f t="shared" ca="1" si="126"/>
        <v>1754.6</v>
      </c>
      <c r="G726" s="32" t="str">
        <f t="shared" ca="1" si="127"/>
        <v>personal</v>
      </c>
      <c r="H72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26" t="str">
        <f t="shared" ca="1" si="128"/>
        <v>Sí</v>
      </c>
      <c r="J72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26" s="32">
        <f ca="1">IF(Tabla2[[#This Row],[¿cliente deuda abierta?]]="Sí", Tabla2[[#This Row],[Deuda actual]]*Tabla2[[#This Row],[diferencia de días]], "0")</f>
        <v>21055.199999999997</v>
      </c>
      <c r="L72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2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2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26">
        <f t="shared" ca="1" si="129"/>
        <v>1865.45</v>
      </c>
      <c r="P726">
        <f t="shared" ca="1" si="130"/>
        <v>88591.97</v>
      </c>
      <c r="Q726">
        <f t="shared" ca="1" si="131"/>
        <v>5</v>
      </c>
      <c r="R726">
        <f ca="1">((Tabla2[[#This Row],[Fantasma Comunicación]]+1)/(Tabla2[[#This Row],[Fantasma Comunicación]]+RANDBETWEEN(0,5)+2))-0.5</f>
        <v>0.16666666666666663</v>
      </c>
      <c r="S726" s="51">
        <f ca="1">1+MAX(0,Tabla2[[#This Row],[Deuda actual]]/Tabla2[[#This Row],[Liquidez]]+Tabla2[[#This Row],[Liquidez]]/(Tabla2[[#This Row],[Activos]]+Tabla2[[#This Row],[Liquidez]])+Tabla2[[#This Row],[Comunicación]])</f>
        <v>2.1278664172239714</v>
      </c>
      <c r="T726">
        <f ca="1">Tabla2[[#This Row],[Deuda actual]]*EXP(Tabla2[[#This Row],[Ki]]*Tabla2[[#This Row],[diferencia de días]])*(1+Tabla2[[#This Row],[Hg]])</f>
        <v>1846.7569021576762</v>
      </c>
    </row>
    <row r="727" spans="1:20" ht="14.5" x14ac:dyDescent="0.35">
      <c r="A727" t="e">
        <f t="shared" si="121"/>
        <v>#VALUE!</v>
      </c>
      <c r="B727" s="21">
        <f t="shared" ca="1" si="122"/>
        <v>46085</v>
      </c>
      <c r="C727" s="21">
        <f t="shared" ca="1" si="123"/>
        <v>46157</v>
      </c>
      <c r="D727">
        <f t="shared" ca="1" si="124"/>
        <v>44</v>
      </c>
      <c r="E727">
        <f t="shared" ca="1" si="125"/>
        <v>0.83085230363289808</v>
      </c>
      <c r="F727" s="47">
        <f t="shared" ca="1" si="126"/>
        <v>49.54</v>
      </c>
      <c r="G727" s="32" t="str">
        <f t="shared" ca="1" si="127"/>
        <v>personal</v>
      </c>
      <c r="H72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727" t="str">
        <f t="shared" ca="1" si="128"/>
        <v>Sí</v>
      </c>
      <c r="J72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27" s="32">
        <f ca="1">IF(Tabla2[[#This Row],[¿cliente deuda abierta?]]="Sí", Tabla2[[#This Row],[Deuda actual]]*Tabla2[[#This Row],[diferencia de días]], "0")</f>
        <v>2179.7599999999998</v>
      </c>
      <c r="L72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2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2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27">
        <f t="shared" ca="1" si="129"/>
        <v>1863.79</v>
      </c>
      <c r="P727">
        <f t="shared" ca="1" si="130"/>
        <v>186608.97</v>
      </c>
      <c r="Q727">
        <f t="shared" ca="1" si="131"/>
        <v>4</v>
      </c>
      <c r="R727">
        <f ca="1">((Tabla2[[#This Row],[Fantasma Comunicación]]+1)/(Tabla2[[#This Row],[Fantasma Comunicación]]+RANDBETWEEN(0,5)+2))-0.5</f>
        <v>5.555555555555558E-2</v>
      </c>
      <c r="S727" s="51">
        <f ca="1">1+MAX(0,Tabla2[[#This Row],[Deuda actual]]/Tabla2[[#This Row],[Liquidez]]+Tabla2[[#This Row],[Liquidez]]/(Tabla2[[#This Row],[Activos]]+Tabla2[[#This Row],[Liquidez]])+Tabla2[[#This Row],[Comunicación]])</f>
        <v>1.0920247124755305</v>
      </c>
      <c r="T727">
        <f ca="1">Tabla2[[#This Row],[Deuda actual]]*EXP(Tabla2[[#This Row],[Ki]]*Tabla2[[#This Row],[diferencia de días]])*(1+Tabla2[[#This Row],[Hg]])</f>
        <v>54.356847154232184</v>
      </c>
    </row>
    <row r="728" spans="1:20" ht="14.5" x14ac:dyDescent="0.35">
      <c r="A728" t="e">
        <f t="shared" si="121"/>
        <v>#VALUE!</v>
      </c>
      <c r="B728" s="21">
        <f t="shared" ca="1" si="122"/>
        <v>46116</v>
      </c>
      <c r="C728" s="21">
        <f t="shared" ca="1" si="123"/>
        <v>46157</v>
      </c>
      <c r="D728">
        <f t="shared" ca="1" si="124"/>
        <v>16</v>
      </c>
      <c r="E728">
        <f t="shared" ca="1" si="125"/>
        <v>0.86440329320455422</v>
      </c>
      <c r="F728" s="47">
        <f t="shared" ca="1" si="126"/>
        <v>960.95</v>
      </c>
      <c r="G728" s="32" t="str">
        <f t="shared" ca="1" si="127"/>
        <v>hipotecario</v>
      </c>
      <c r="H72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728" t="str">
        <f t="shared" ca="1" si="128"/>
        <v>No</v>
      </c>
      <c r="J72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164999.48890599911</v>
      </c>
      <c r="K728" s="32" t="str">
        <f ca="1">IF(Tabla2[[#This Row],[¿cliente deuda abierta?]]="Sí", Tabla2[[#This Row],[Deuda actual]]*Tabla2[[#This Row],[diferencia de días]], "0")</f>
        <v>0</v>
      </c>
      <c r="L72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2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72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728">
        <f t="shared" ca="1" si="129"/>
        <v>1886.46</v>
      </c>
      <c r="P728">
        <f t="shared" ca="1" si="130"/>
        <v>38933</v>
      </c>
      <c r="Q728">
        <f t="shared" ca="1" si="131"/>
        <v>5</v>
      </c>
      <c r="R728">
        <f ca="1">((Tabla2[[#This Row],[Fantasma Comunicación]]+1)/(Tabla2[[#This Row],[Fantasma Comunicación]]+RANDBETWEEN(0,5)+2))-0.5</f>
        <v>0.16666666666666663</v>
      </c>
      <c r="S728" s="51">
        <f ca="1">1+MAX(0,Tabla2[[#This Row],[Deuda actual]]/Tabla2[[#This Row],[Liquidez]]+Tabla2[[#This Row],[Liquidez]]/(Tabla2[[#This Row],[Activos]]+Tabla2[[#This Row],[Liquidez]])+Tabla2[[#This Row],[Comunicación]])</f>
        <v>1.7222746438539984</v>
      </c>
      <c r="T728">
        <f ca="1">Tabla2[[#This Row],[Deuda actual]]*EXP(Tabla2[[#This Row],[Ki]]*Tabla2[[#This Row],[diferencia de días]])*(1+Tabla2[[#This Row],[Hg]])</f>
        <v>773.69584184624614</v>
      </c>
    </row>
    <row r="729" spans="1:20" ht="14.5" x14ac:dyDescent="0.35">
      <c r="A729" t="e">
        <f t="shared" si="121"/>
        <v>#VALUE!</v>
      </c>
      <c r="B729" s="21">
        <f t="shared" ca="1" si="122"/>
        <v>46087</v>
      </c>
      <c r="C729" s="21">
        <f t="shared" ca="1" si="123"/>
        <v>46157</v>
      </c>
      <c r="D729">
        <f t="shared" ca="1" si="124"/>
        <v>3</v>
      </c>
      <c r="E729">
        <f t="shared" ca="1" si="125"/>
        <v>0.68249946468159539</v>
      </c>
      <c r="F729" s="47">
        <f t="shared" ca="1" si="126"/>
        <v>174.35</v>
      </c>
      <c r="G729" s="32" t="str">
        <f t="shared" ca="1" si="127"/>
        <v>personal</v>
      </c>
      <c r="H72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29" t="str">
        <f t="shared" ca="1" si="128"/>
        <v>No</v>
      </c>
      <c r="J72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12001.523101788318</v>
      </c>
      <c r="K729" s="32" t="str">
        <f ca="1">IF(Tabla2[[#This Row],[¿cliente deuda abierta?]]="Sí", Tabla2[[#This Row],[Deuda actual]]*Tabla2[[#This Row],[diferencia de días]], "0")</f>
        <v>0</v>
      </c>
      <c r="L72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2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72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729">
        <f t="shared" ca="1" si="129"/>
        <v>2251.08</v>
      </c>
      <c r="P729">
        <f t="shared" ca="1" si="130"/>
        <v>53071.34</v>
      </c>
      <c r="Q729">
        <f t="shared" ca="1" si="131"/>
        <v>4</v>
      </c>
      <c r="R729">
        <f ca="1">((Tabla2[[#This Row],[Fantasma Comunicación]]+1)/(Tabla2[[#This Row],[Fantasma Comunicación]]+RANDBETWEEN(0,5)+2))-0.5</f>
        <v>5.555555555555558E-2</v>
      </c>
      <c r="S729" s="51">
        <f ca="1">1+MAX(0,Tabla2[[#This Row],[Deuda actual]]/Tabla2[[#This Row],[Liquidez]]+Tabla2[[#This Row],[Liquidez]]/(Tabla2[[#This Row],[Activos]]+Tabla2[[#This Row],[Liquidez]])+Tabla2[[#This Row],[Comunicación]])</f>
        <v>1.1736974615801834</v>
      </c>
      <c r="T729">
        <f ca="1">Tabla2[[#This Row],[Deuda actual]]*EXP(Tabla2[[#This Row],[Ki]]*Tabla2[[#This Row],[diferencia de días]])*(1+Tabla2[[#This Row],[Hg]])</f>
        <v>157.00917725034978</v>
      </c>
    </row>
    <row r="730" spans="1:20" ht="14.5" x14ac:dyDescent="0.35">
      <c r="A730" t="e">
        <f t="shared" si="121"/>
        <v>#VALUE!</v>
      </c>
      <c r="B730" s="21">
        <f t="shared" ca="1" si="122"/>
        <v>46137</v>
      </c>
      <c r="C730" s="21">
        <f t="shared" ca="1" si="123"/>
        <v>46157</v>
      </c>
      <c r="D730">
        <f t="shared" ca="1" si="124"/>
        <v>1</v>
      </c>
      <c r="E730">
        <f t="shared" ca="1" si="125"/>
        <v>0.99154123903124813</v>
      </c>
      <c r="F730" s="47">
        <f t="shared" ca="1" si="126"/>
        <v>214.5</v>
      </c>
      <c r="G730" s="32" t="str">
        <f t="shared" ca="1" si="127"/>
        <v>hipotecario</v>
      </c>
      <c r="H73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30" t="str">
        <f t="shared" ca="1" si="128"/>
        <v>Sí</v>
      </c>
      <c r="J73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30" s="32">
        <f ca="1">IF(Tabla2[[#This Row],[¿cliente deuda abierta?]]="Sí", Tabla2[[#This Row],[Deuda actual]]*Tabla2[[#This Row],[diferencia de días]], "0")</f>
        <v>214.5</v>
      </c>
      <c r="L73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3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3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30">
        <f t="shared" ca="1" si="129"/>
        <v>1700.68</v>
      </c>
      <c r="P730">
        <f t="shared" ca="1" si="130"/>
        <v>28575.71</v>
      </c>
      <c r="Q730">
        <f t="shared" ca="1" si="131"/>
        <v>3</v>
      </c>
      <c r="R730">
        <f ca="1">((Tabla2[[#This Row],[Fantasma Comunicación]]+1)/(Tabla2[[#This Row],[Fantasma Comunicación]]+RANDBETWEEN(0,5)+2))-0.5</f>
        <v>0</v>
      </c>
      <c r="S730" s="51">
        <f ca="1">1+MAX(0,Tabla2[[#This Row],[Deuda actual]]/Tabla2[[#This Row],[Liquidez]]+Tabla2[[#This Row],[Liquidez]]/(Tabla2[[#This Row],[Activos]]+Tabla2[[#This Row],[Liquidez]])+Tabla2[[#This Row],[Comunicación]])</f>
        <v>1.1822978425143318</v>
      </c>
      <c r="T730">
        <f ca="1">Tabla2[[#This Row],[Deuda actual]]*EXP(Tabla2[[#This Row],[Ki]]*Tabla2[[#This Row],[diferencia de días]])*(1+Tabla2[[#This Row],[Hg]])</f>
        <v>225.27004950480034</v>
      </c>
    </row>
    <row r="731" spans="1:20" ht="14.5" x14ac:dyDescent="0.35">
      <c r="A731" t="e">
        <f t="shared" si="121"/>
        <v>#VALUE!</v>
      </c>
      <c r="B731" s="21">
        <f t="shared" ca="1" si="122"/>
        <v>46115</v>
      </c>
      <c r="C731" s="21">
        <f t="shared" ca="1" si="123"/>
        <v>46157</v>
      </c>
      <c r="D731">
        <f t="shared" ca="1" si="124"/>
        <v>21</v>
      </c>
      <c r="E731">
        <f t="shared" ca="1" si="125"/>
        <v>7.272747835178206E-2</v>
      </c>
      <c r="F731" s="47">
        <f t="shared" ca="1" si="126"/>
        <v>1565.25</v>
      </c>
      <c r="G731" s="32" t="str">
        <f t="shared" ca="1" si="127"/>
        <v>hipotecario</v>
      </c>
      <c r="H73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731" t="str">
        <f t="shared" ca="1" si="128"/>
        <v>No</v>
      </c>
      <c r="J73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165000.72266621311</v>
      </c>
      <c r="K731" s="32" t="str">
        <f ca="1">IF(Tabla2[[#This Row],[¿cliente deuda abierta?]]="Sí", Tabla2[[#This Row],[Deuda actual]]*Tabla2[[#This Row],[diferencia de días]], "0")</f>
        <v>0</v>
      </c>
      <c r="L73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3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73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731">
        <f t="shared" ca="1" si="129"/>
        <v>1705.8</v>
      </c>
      <c r="P731">
        <f t="shared" ca="1" si="130"/>
        <v>77004.31</v>
      </c>
      <c r="Q731">
        <f t="shared" ca="1" si="131"/>
        <v>0</v>
      </c>
      <c r="R731">
        <f ca="1">((Tabla2[[#This Row],[Fantasma Comunicación]]+1)/(Tabla2[[#This Row],[Fantasma Comunicación]]+RANDBETWEEN(0,5)+2))-0.5</f>
        <v>0</v>
      </c>
      <c r="S731" s="51">
        <f ca="1">1+MAX(0,Tabla2[[#This Row],[Deuda actual]]/Tabla2[[#This Row],[Liquidez]]+Tabla2[[#This Row],[Liquidez]]/(Tabla2[[#This Row],[Activos]]+Tabla2[[#This Row],[Liquidez]])+Tabla2[[#This Row],[Comunicación]])</f>
        <v>1.9392765730562966</v>
      </c>
      <c r="T731">
        <f ca="1">Tabla2[[#This Row],[Deuda actual]]*EXP(Tabla2[[#This Row],[Ki]]*Tabla2[[#This Row],[diferencia de días]])*(1+Tabla2[[#This Row],[Hg]])</f>
        <v>1262.7627815735264</v>
      </c>
    </row>
    <row r="732" spans="1:20" ht="14.5" x14ac:dyDescent="0.35">
      <c r="A732" t="e">
        <f t="shared" si="121"/>
        <v>#VALUE!</v>
      </c>
      <c r="B732" s="21">
        <f t="shared" ca="1" si="122"/>
        <v>46084</v>
      </c>
      <c r="C732" s="21">
        <f t="shared" ca="1" si="123"/>
        <v>46157</v>
      </c>
      <c r="D732">
        <f t="shared" ca="1" si="124"/>
        <v>21</v>
      </c>
      <c r="E732">
        <f t="shared" ca="1" si="125"/>
        <v>0.86781619851681424</v>
      </c>
      <c r="F732" s="47">
        <f t="shared" ca="1" si="126"/>
        <v>256.57</v>
      </c>
      <c r="G732" s="32" t="str">
        <f t="shared" ca="1" si="127"/>
        <v>personal</v>
      </c>
      <c r="H73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732" t="str">
        <f t="shared" ca="1" si="128"/>
        <v>No</v>
      </c>
      <c r="J73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11999.655051626585</v>
      </c>
      <c r="K732" s="32" t="str">
        <f ca="1">IF(Tabla2[[#This Row],[¿cliente deuda abierta?]]="Sí", Tabla2[[#This Row],[Deuda actual]]*Tabla2[[#This Row],[diferencia de días]], "0")</f>
        <v>0</v>
      </c>
      <c r="L73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3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73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732">
        <f t="shared" ca="1" si="129"/>
        <v>1669.08</v>
      </c>
      <c r="P732">
        <f t="shared" ca="1" si="130"/>
        <v>220395.86</v>
      </c>
      <c r="Q732">
        <f t="shared" ca="1" si="131"/>
        <v>1</v>
      </c>
      <c r="R732">
        <f ca="1">((Tabla2[[#This Row],[Fantasma Comunicación]]+1)/(Tabla2[[#This Row],[Fantasma Comunicación]]+RANDBETWEEN(0,5)+2))-0.5</f>
        <v>-0.2142857142857143</v>
      </c>
      <c r="S732" s="51">
        <f ca="1">1+MAX(0,Tabla2[[#This Row],[Deuda actual]]/Tabla2[[#This Row],[Liquidez]]+Tabla2[[#This Row],[Liquidez]]/(Tabla2[[#This Row],[Activos]]+Tabla2[[#This Row],[Liquidez]])+Tabla2[[#This Row],[Comunicación]])</f>
        <v>1</v>
      </c>
      <c r="T732">
        <f ca="1">Tabla2[[#This Row],[Deuda actual]]*EXP(Tabla2[[#This Row],[Ki]]*Tabla2[[#This Row],[diferencia de días]])*(1+Tabla2[[#This Row],[Hg]])</f>
        <v>232.86083866913248</v>
      </c>
    </row>
    <row r="733" spans="1:20" ht="14.5" x14ac:dyDescent="0.35">
      <c r="A733" t="e">
        <f t="shared" si="121"/>
        <v>#VALUE!</v>
      </c>
      <c r="B733" s="21">
        <f t="shared" ca="1" si="122"/>
        <v>46141</v>
      </c>
      <c r="C733" s="21">
        <f t="shared" ca="1" si="123"/>
        <v>46157</v>
      </c>
      <c r="D733">
        <f t="shared" ca="1" si="124"/>
        <v>1</v>
      </c>
      <c r="E733">
        <f t="shared" ca="1" si="125"/>
        <v>0.39050120250593545</v>
      </c>
      <c r="F733" s="47">
        <f t="shared" ca="1" si="126"/>
        <v>828.4</v>
      </c>
      <c r="G733" s="32" t="str">
        <f t="shared" ca="1" si="127"/>
        <v>hipotecario</v>
      </c>
      <c r="H73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33" t="str">
        <f t="shared" ca="1" si="128"/>
        <v>Sí</v>
      </c>
      <c r="J73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33" s="32">
        <f ca="1">IF(Tabla2[[#This Row],[¿cliente deuda abierta?]]="Sí", Tabla2[[#This Row],[Deuda actual]]*Tabla2[[#This Row],[diferencia de días]], "0")</f>
        <v>828.4</v>
      </c>
      <c r="L73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3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3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33">
        <f t="shared" ca="1" si="129"/>
        <v>1579.34</v>
      </c>
      <c r="P733">
        <f t="shared" ca="1" si="130"/>
        <v>110761.99</v>
      </c>
      <c r="Q733">
        <f t="shared" ca="1" si="131"/>
        <v>5</v>
      </c>
      <c r="R733">
        <f ca="1">((Tabla2[[#This Row],[Fantasma Comunicación]]+1)/(Tabla2[[#This Row],[Fantasma Comunicación]]+RANDBETWEEN(0,5)+2))-0.5</f>
        <v>0.25</v>
      </c>
      <c r="S733" s="51">
        <f ca="1">1+MAX(0,Tabla2[[#This Row],[Deuda actual]]/Tabla2[[#This Row],[Liquidez]]+Tabla2[[#This Row],[Liquidez]]/(Tabla2[[#This Row],[Activos]]+Tabla2[[#This Row],[Liquidez]])+Tabla2[[#This Row],[Comunicación]])</f>
        <v>1.7885813077249617</v>
      </c>
      <c r="T733">
        <f ca="1">Tabla2[[#This Row],[Deuda actual]]*EXP(Tabla2[[#This Row],[Ki]]*Tabla2[[#This Row],[diferencia de días]])*(1+Tabla2[[#This Row],[Hg]])</f>
        <v>869.99398139755988</v>
      </c>
    </row>
    <row r="734" spans="1:20" ht="14.5" x14ac:dyDescent="0.35">
      <c r="A734" t="e">
        <f t="shared" si="121"/>
        <v>#VALUE!</v>
      </c>
      <c r="B734" s="21">
        <f t="shared" ca="1" si="122"/>
        <v>46130</v>
      </c>
      <c r="C734" s="21">
        <f t="shared" ca="1" si="123"/>
        <v>46157</v>
      </c>
      <c r="D734">
        <f t="shared" ca="1" si="124"/>
        <v>0</v>
      </c>
      <c r="E734">
        <f t="shared" ca="1" si="125"/>
        <v>1.0116902799246152E-2</v>
      </c>
      <c r="F734" s="47">
        <f t="shared" ca="1" si="126"/>
        <v>1223.27</v>
      </c>
      <c r="G734" s="32" t="str">
        <f t="shared" ca="1" si="127"/>
        <v>hipotecario</v>
      </c>
      <c r="H73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34" t="str">
        <f t="shared" ca="1" si="128"/>
        <v>No</v>
      </c>
      <c r="J73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165000.32662294398</v>
      </c>
      <c r="K734" s="32" t="str">
        <f ca="1">IF(Tabla2[[#This Row],[¿cliente deuda abierta?]]="Sí", Tabla2[[#This Row],[Deuda actual]]*Tabla2[[#This Row],[diferencia de días]], "0")</f>
        <v>0</v>
      </c>
      <c r="L73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3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73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734">
        <f t="shared" ca="1" si="129"/>
        <v>1231.54</v>
      </c>
      <c r="P734">
        <f t="shared" ca="1" si="130"/>
        <v>291477.65999999997</v>
      </c>
      <c r="Q734">
        <f t="shared" ca="1" si="131"/>
        <v>1</v>
      </c>
      <c r="R734">
        <f ca="1">((Tabla2[[#This Row],[Fantasma Comunicación]]+1)/(Tabla2[[#This Row],[Fantasma Comunicación]]+RANDBETWEEN(0,5)+2))-0.5</f>
        <v>-0.2142857142857143</v>
      </c>
      <c r="S734" s="51">
        <f ca="1">1+MAX(0,Tabla2[[#This Row],[Deuda actual]]/Tabla2[[#This Row],[Liquidez]]+Tabla2[[#This Row],[Liquidez]]/(Tabla2[[#This Row],[Activos]]+Tabla2[[#This Row],[Liquidez]])+Tabla2[[#This Row],[Comunicación]])</f>
        <v>1.7832065000730943</v>
      </c>
      <c r="T734">
        <f ca="1">Tabla2[[#This Row],[Deuda actual]]*EXP(Tabla2[[#This Row],[Ki]]*Tabla2[[#This Row],[diferencia de días]])*(1+Tabla2[[#This Row],[Hg]])</f>
        <v>978.61599999999999</v>
      </c>
    </row>
    <row r="735" spans="1:20" ht="14.5" x14ac:dyDescent="0.35">
      <c r="A735" t="e">
        <f t="shared" si="121"/>
        <v>#VALUE!</v>
      </c>
      <c r="B735" s="21">
        <f t="shared" ca="1" si="122"/>
        <v>46100</v>
      </c>
      <c r="C735" s="21">
        <f t="shared" ca="1" si="123"/>
        <v>46157</v>
      </c>
      <c r="D735">
        <f t="shared" ca="1" si="124"/>
        <v>7</v>
      </c>
      <c r="E735">
        <f t="shared" ca="1" si="125"/>
        <v>0.6047691259061273</v>
      </c>
      <c r="F735" s="47">
        <f t="shared" ca="1" si="126"/>
        <v>582.55999999999995</v>
      </c>
      <c r="G735" s="32" t="str">
        <f t="shared" ca="1" si="127"/>
        <v>personal</v>
      </c>
      <c r="H73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35" t="str">
        <f t="shared" ca="1" si="128"/>
        <v>No</v>
      </c>
      <c r="J73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11998.980515684862</v>
      </c>
      <c r="K735" s="32" t="str">
        <f ca="1">IF(Tabla2[[#This Row],[¿cliente deuda abierta?]]="Sí", Tabla2[[#This Row],[Deuda actual]]*Tabla2[[#This Row],[diferencia de días]], "0")</f>
        <v>0</v>
      </c>
      <c r="L73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3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73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735">
        <f t="shared" ca="1" si="129"/>
        <v>1643.58</v>
      </c>
      <c r="P735">
        <f t="shared" ca="1" si="130"/>
        <v>351089.36</v>
      </c>
      <c r="Q735">
        <f t="shared" ca="1" si="131"/>
        <v>5</v>
      </c>
      <c r="R735">
        <f ca="1">((Tabla2[[#This Row],[Fantasma Comunicación]]+1)/(Tabla2[[#This Row],[Fantasma Comunicación]]+RANDBETWEEN(0,5)+2))-0.5</f>
        <v>0.16666666666666663</v>
      </c>
      <c r="S735" s="51">
        <f ca="1">1+MAX(0,Tabla2[[#This Row],[Deuda actual]]/Tabla2[[#This Row],[Liquidez]]+Tabla2[[#This Row],[Liquidez]]/(Tabla2[[#This Row],[Activos]]+Tabla2[[#This Row],[Liquidez]])+Tabla2[[#This Row],[Comunicación]])</f>
        <v>1.5257720088080211</v>
      </c>
      <c r="T735">
        <f ca="1">Tabla2[[#This Row],[Deuda actual]]*EXP(Tabla2[[#This Row],[Ki]]*Tabla2[[#This Row],[diferencia de días]])*(1+Tabla2[[#This Row],[Hg]])</f>
        <v>525.03853965778558</v>
      </c>
    </row>
    <row r="736" spans="1:20" ht="14.5" x14ac:dyDescent="0.35">
      <c r="A736" t="e">
        <f t="shared" si="121"/>
        <v>#VALUE!</v>
      </c>
      <c r="B736" s="21">
        <f t="shared" ca="1" si="122"/>
        <v>46125</v>
      </c>
      <c r="C736" s="21">
        <f t="shared" ca="1" si="123"/>
        <v>46157</v>
      </c>
      <c r="D736">
        <f t="shared" ca="1" si="124"/>
        <v>14</v>
      </c>
      <c r="E736">
        <f t="shared" ca="1" si="125"/>
        <v>0.2090776365717647</v>
      </c>
      <c r="F736" s="47">
        <f t="shared" ca="1" si="126"/>
        <v>711.31</v>
      </c>
      <c r="G736" s="32" t="str">
        <f t="shared" ca="1" si="127"/>
        <v>hipotecario</v>
      </c>
      <c r="H73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36" t="str">
        <f t="shared" ca="1" si="128"/>
        <v>Sí</v>
      </c>
      <c r="J73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36" s="32">
        <f ca="1">IF(Tabla2[[#This Row],[¿cliente deuda abierta?]]="Sí", Tabla2[[#This Row],[Deuda actual]]*Tabla2[[#This Row],[diferencia de días]], "0")</f>
        <v>9958.34</v>
      </c>
      <c r="L73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3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3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36">
        <f t="shared" ca="1" si="129"/>
        <v>1308</v>
      </c>
      <c r="P736">
        <f t="shared" ca="1" si="130"/>
        <v>208458.46</v>
      </c>
      <c r="Q736">
        <f t="shared" ca="1" si="131"/>
        <v>4</v>
      </c>
      <c r="R736">
        <f ca="1">((Tabla2[[#This Row],[Fantasma Comunicación]]+1)/(Tabla2[[#This Row],[Fantasma Comunicación]]+RANDBETWEEN(0,5)+2))-0.5</f>
        <v>0.33333333333333337</v>
      </c>
      <c r="S736" s="51">
        <f ca="1">1+MAX(0,Tabla2[[#This Row],[Deuda actual]]/Tabla2[[#This Row],[Liquidez]]+Tabla2[[#This Row],[Liquidez]]/(Tabla2[[#This Row],[Activos]]+Tabla2[[#This Row],[Liquidez]])+Tabla2[[#This Row],[Comunicación]])</f>
        <v>1.8833838239478089</v>
      </c>
      <c r="T736">
        <f ca="1">Tabla2[[#This Row],[Deuda actual]]*EXP(Tabla2[[#This Row],[Ki]]*Tabla2[[#This Row],[diferencia de días]])*(1+Tabla2[[#This Row],[Hg]])</f>
        <v>748.96968188644234</v>
      </c>
    </row>
    <row r="737" spans="1:20" ht="14.5" x14ac:dyDescent="0.35">
      <c r="A737" t="e">
        <f t="shared" si="121"/>
        <v>#VALUE!</v>
      </c>
      <c r="B737" s="21">
        <f t="shared" ca="1" si="122"/>
        <v>46125</v>
      </c>
      <c r="C737" s="21">
        <f t="shared" ca="1" si="123"/>
        <v>46157</v>
      </c>
      <c r="D737">
        <f t="shared" ca="1" si="124"/>
        <v>20</v>
      </c>
      <c r="E737">
        <f t="shared" ca="1" si="125"/>
        <v>0.41048972194926747</v>
      </c>
      <c r="F737" s="47">
        <f t="shared" ca="1" si="126"/>
        <v>1216.32</v>
      </c>
      <c r="G737" s="32" t="str">
        <f t="shared" ca="1" si="127"/>
        <v>hipotecario</v>
      </c>
      <c r="H73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737" t="str">
        <f t="shared" ca="1" si="128"/>
        <v>No</v>
      </c>
      <c r="J73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165000.00618343201</v>
      </c>
      <c r="K737" s="32" t="str">
        <f ca="1">IF(Tabla2[[#This Row],[¿cliente deuda abierta?]]="Sí", Tabla2[[#This Row],[Deuda actual]]*Tabla2[[#This Row],[diferencia de días]], "0")</f>
        <v>0</v>
      </c>
      <c r="L73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3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73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737">
        <f t="shared" ca="1" si="129"/>
        <v>1382.25</v>
      </c>
      <c r="P737">
        <f t="shared" ca="1" si="130"/>
        <v>46924.62</v>
      </c>
      <c r="Q737">
        <f t="shared" ca="1" si="131"/>
        <v>1</v>
      </c>
      <c r="R737">
        <f ca="1">((Tabla2[[#This Row],[Fantasma Comunicación]]+1)/(Tabla2[[#This Row],[Fantasma Comunicación]]+RANDBETWEEN(0,5)+2))-0.5</f>
        <v>0.16666666666666663</v>
      </c>
      <c r="S737" s="51">
        <f ca="1">1+MAX(0,Tabla2[[#This Row],[Deuda actual]]/Tabla2[[#This Row],[Liquidez]]+Tabla2[[#This Row],[Liquidez]]/(Tabla2[[#This Row],[Activos]]+Tabla2[[#This Row],[Liquidez]])+Tabla2[[#This Row],[Comunicación]])</f>
        <v>2.0752372016678002</v>
      </c>
      <c r="T737">
        <f ca="1">Tabla2[[#This Row],[Deuda actual]]*EXP(Tabla2[[#This Row],[Ki]]*Tabla2[[#This Row],[diferencia de días]])*(1+Tabla2[[#This Row],[Hg]])</f>
        <v>980.8716689924463</v>
      </c>
    </row>
    <row r="738" spans="1:20" ht="14.5" x14ac:dyDescent="0.35">
      <c r="A738" t="e">
        <f t="shared" si="121"/>
        <v>#VALUE!</v>
      </c>
      <c r="B738" s="21">
        <f t="shared" ca="1" si="122"/>
        <v>46104</v>
      </c>
      <c r="C738" s="21">
        <f t="shared" ca="1" si="123"/>
        <v>46157</v>
      </c>
      <c r="D738">
        <f t="shared" ca="1" si="124"/>
        <v>4</v>
      </c>
      <c r="E738">
        <f t="shared" ca="1" si="125"/>
        <v>0.24197349759674547</v>
      </c>
      <c r="F738" s="47">
        <f t="shared" ca="1" si="126"/>
        <v>387.58</v>
      </c>
      <c r="G738" s="32" t="str">
        <f t="shared" ca="1" si="127"/>
        <v>hipotecario</v>
      </c>
      <c r="H73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38" t="str">
        <f t="shared" ca="1" si="128"/>
        <v>Sí</v>
      </c>
      <c r="J73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38" s="32">
        <f ca="1">IF(Tabla2[[#This Row],[¿cliente deuda abierta?]]="Sí", Tabla2[[#This Row],[Deuda actual]]*Tabla2[[#This Row],[diferencia de días]], "0")</f>
        <v>1550.32</v>
      </c>
      <c r="L73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3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3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38">
        <f t="shared" ca="1" si="129"/>
        <v>1696.73</v>
      </c>
      <c r="P738">
        <f t="shared" ca="1" si="130"/>
        <v>48276.11</v>
      </c>
      <c r="Q738">
        <f t="shared" ca="1" si="131"/>
        <v>2</v>
      </c>
      <c r="R738">
        <f ca="1">((Tabla2[[#This Row],[Fantasma Comunicación]]+1)/(Tabla2[[#This Row],[Fantasma Comunicación]]+RANDBETWEEN(0,5)+2))-0.5</f>
        <v>0.25</v>
      </c>
      <c r="S738" s="51">
        <f ca="1">1+MAX(0,Tabla2[[#This Row],[Deuda actual]]/Tabla2[[#This Row],[Liquidez]]+Tabla2[[#This Row],[Liquidez]]/(Tabla2[[#This Row],[Activos]]+Tabla2[[#This Row],[Liquidez]])+Tabla2[[#This Row],[Comunicación]])</f>
        <v>1.5123806658376584</v>
      </c>
      <c r="T738">
        <f ca="1">Tabla2[[#This Row],[Deuda actual]]*EXP(Tabla2[[#This Row],[Ki]]*Tabla2[[#This Row],[diferencia de días]])*(1+Tabla2[[#This Row],[Hg]])</f>
        <v>407.28469746161409</v>
      </c>
    </row>
    <row r="739" spans="1:20" ht="14.5" x14ac:dyDescent="0.35">
      <c r="A739" t="e">
        <f t="shared" si="121"/>
        <v>#VALUE!</v>
      </c>
      <c r="B739" s="21">
        <f t="shared" ca="1" si="122"/>
        <v>46084</v>
      </c>
      <c r="C739" s="21">
        <f t="shared" ca="1" si="123"/>
        <v>46157</v>
      </c>
      <c r="D739">
        <f t="shared" ca="1" si="124"/>
        <v>25</v>
      </c>
      <c r="E739">
        <f t="shared" ca="1" si="125"/>
        <v>0.97473923861269907</v>
      </c>
      <c r="F739" s="47">
        <f t="shared" ca="1" si="126"/>
        <v>621.23</v>
      </c>
      <c r="G739" s="32" t="str">
        <f t="shared" ca="1" si="127"/>
        <v>personal</v>
      </c>
      <c r="H73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739" t="str">
        <f t="shared" ca="1" si="128"/>
        <v>Sí</v>
      </c>
      <c r="J73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39" s="32">
        <f ca="1">IF(Tabla2[[#This Row],[¿cliente deuda abierta?]]="Sí", Tabla2[[#This Row],[Deuda actual]]*Tabla2[[#This Row],[diferencia de días]], "0")</f>
        <v>15530.75</v>
      </c>
      <c r="L73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3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3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39">
        <f t="shared" ca="1" si="129"/>
        <v>1938.92</v>
      </c>
      <c r="P739">
        <f t="shared" ca="1" si="130"/>
        <v>593041.68999999994</v>
      </c>
      <c r="Q739">
        <f t="shared" ca="1" si="131"/>
        <v>0</v>
      </c>
      <c r="R739">
        <f ca="1">((Tabla2[[#This Row],[Fantasma Comunicación]]+1)/(Tabla2[[#This Row],[Fantasma Comunicación]]+RANDBETWEEN(0,5)+2))-0.5</f>
        <v>-0.3</v>
      </c>
      <c r="S739" s="51">
        <f ca="1">1+MAX(0,Tabla2[[#This Row],[Deuda actual]]/Tabla2[[#This Row],[Liquidez]]+Tabla2[[#This Row],[Liquidez]]/(Tabla2[[#This Row],[Activos]]+Tabla2[[#This Row],[Liquidez]])+Tabla2[[#This Row],[Comunicación]])</f>
        <v>1.0236588117780505</v>
      </c>
      <c r="T739">
        <f ca="1">Tabla2[[#This Row],[Deuda actual]]*EXP(Tabla2[[#This Row],[Ki]]*Tabla2[[#This Row],[diferencia de días]])*(1+Tabla2[[#This Row],[Hg]])</f>
        <v>658.84713856258259</v>
      </c>
    </row>
    <row r="740" spans="1:20" ht="14.5" x14ac:dyDescent="0.35">
      <c r="A740" t="e">
        <f t="shared" si="121"/>
        <v>#VALUE!</v>
      </c>
      <c r="B740" s="21">
        <f t="shared" ca="1" si="122"/>
        <v>46113</v>
      </c>
      <c r="C740" s="21">
        <f t="shared" ca="1" si="123"/>
        <v>46157</v>
      </c>
      <c r="D740">
        <f t="shared" ca="1" si="124"/>
        <v>10</v>
      </c>
      <c r="E740">
        <f t="shared" ca="1" si="125"/>
        <v>0.96421364948855881</v>
      </c>
      <c r="F740" s="47">
        <f t="shared" ca="1" si="126"/>
        <v>125.59</v>
      </c>
      <c r="G740" s="32" t="str">
        <f t="shared" ca="1" si="127"/>
        <v>hipotecario</v>
      </c>
      <c r="H74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40" t="str">
        <f t="shared" ca="1" si="128"/>
        <v>Sí</v>
      </c>
      <c r="J74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40" s="32">
        <f ca="1">IF(Tabla2[[#This Row],[¿cliente deuda abierta?]]="Sí", Tabla2[[#This Row],[Deuda actual]]*Tabla2[[#This Row],[diferencia de días]], "0")</f>
        <v>1255.9000000000001</v>
      </c>
      <c r="L74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4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4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40">
        <f t="shared" ca="1" si="129"/>
        <v>1632.88</v>
      </c>
      <c r="P740">
        <f t="shared" ca="1" si="130"/>
        <v>120822.84</v>
      </c>
      <c r="Q740">
        <f t="shared" ca="1" si="131"/>
        <v>0</v>
      </c>
      <c r="R740">
        <f ca="1">((Tabla2[[#This Row],[Fantasma Comunicación]]+1)/(Tabla2[[#This Row],[Fantasma Comunicación]]+RANDBETWEEN(0,5)+2))-0.5</f>
        <v>-0.33333333333333337</v>
      </c>
      <c r="S740" s="51">
        <f ca="1">1+MAX(0,Tabla2[[#This Row],[Deuda actual]]/Tabla2[[#This Row],[Liquidez]]+Tabla2[[#This Row],[Liquidez]]/(Tabla2[[#This Row],[Activos]]+Tabla2[[#This Row],[Liquidez]])+Tabla2[[#This Row],[Comunicación]])</f>
        <v>1</v>
      </c>
      <c r="T740">
        <f ca="1">Tabla2[[#This Row],[Deuda actual]]*EXP(Tabla2[[#This Row],[Ki]]*Tabla2[[#This Row],[diferencia de días]])*(1+Tabla2[[#This Row],[Hg]])</f>
        <v>132.13350291491395</v>
      </c>
    </row>
    <row r="741" spans="1:20" ht="14.5" x14ac:dyDescent="0.35">
      <c r="A741" t="e">
        <f t="shared" si="121"/>
        <v>#VALUE!</v>
      </c>
      <c r="B741" s="21">
        <f t="shared" ca="1" si="122"/>
        <v>46093</v>
      </c>
      <c r="C741" s="21">
        <f t="shared" ca="1" si="123"/>
        <v>46157</v>
      </c>
      <c r="D741">
        <f t="shared" ca="1" si="124"/>
        <v>12</v>
      </c>
      <c r="E741">
        <f t="shared" ca="1" si="125"/>
        <v>0.21211290176508457</v>
      </c>
      <c r="F741" s="47">
        <f t="shared" ca="1" si="126"/>
        <v>3205.11</v>
      </c>
      <c r="G741" s="32" t="str">
        <f t="shared" ca="1" si="127"/>
        <v>personal</v>
      </c>
      <c r="H74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41" t="str">
        <f t="shared" ca="1" si="128"/>
        <v>Sí</v>
      </c>
      <c r="J74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41" s="32">
        <f ca="1">IF(Tabla2[[#This Row],[¿cliente deuda abierta?]]="Sí", Tabla2[[#This Row],[Deuda actual]]*Tabla2[[#This Row],[diferencia de días]], "0")</f>
        <v>38461.32</v>
      </c>
      <c r="L74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74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41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741">
        <f t="shared" ca="1" si="129"/>
        <v>1840.92</v>
      </c>
      <c r="P741">
        <f t="shared" ca="1" si="130"/>
        <v>52910.93</v>
      </c>
      <c r="Q741">
        <f t="shared" ca="1" si="131"/>
        <v>2</v>
      </c>
      <c r="R741">
        <f ca="1">((Tabla2[[#This Row],[Fantasma Comunicación]]+1)/(Tabla2[[#This Row],[Fantasma Comunicación]]+RANDBETWEEN(0,5)+2))-0.5</f>
        <v>0</v>
      </c>
      <c r="S741" s="51">
        <f ca="1">1+MAX(0,Tabla2[[#This Row],[Deuda actual]]/Tabla2[[#This Row],[Liquidez]]+Tabla2[[#This Row],[Liquidez]]/(Tabla2[[#This Row],[Activos]]+Tabla2[[#This Row],[Liquidez]])+Tabla2[[#This Row],[Comunicación]])</f>
        <v>2.77466006362088</v>
      </c>
      <c r="T741">
        <f ca="1">Tabla2[[#This Row],[Deuda actual]]*EXP(Tabla2[[#This Row],[Ki]]*Tabla2[[#This Row],[diferencia de días]])*(1+Tabla2[[#This Row],[Hg]])</f>
        <v>3534.0926523163871</v>
      </c>
    </row>
    <row r="742" spans="1:20" ht="14.5" x14ac:dyDescent="0.35">
      <c r="A742" t="e">
        <f t="shared" si="121"/>
        <v>#VALUE!</v>
      </c>
      <c r="B742" s="21">
        <f t="shared" ca="1" si="122"/>
        <v>46142</v>
      </c>
      <c r="C742" s="21">
        <f t="shared" ca="1" si="123"/>
        <v>46157</v>
      </c>
      <c r="D742">
        <f t="shared" ca="1" si="124"/>
        <v>11</v>
      </c>
      <c r="E742">
        <f t="shared" ca="1" si="125"/>
        <v>0.90436727584803334</v>
      </c>
      <c r="F742" s="47">
        <f t="shared" ca="1" si="126"/>
        <v>696.54</v>
      </c>
      <c r="G742" s="32" t="str">
        <f t="shared" ca="1" si="127"/>
        <v>hipotecario</v>
      </c>
      <c r="H74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42" t="str">
        <f t="shared" ca="1" si="128"/>
        <v>No</v>
      </c>
      <c r="J74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165000.03053892695</v>
      </c>
      <c r="K742" s="32" t="str">
        <f ca="1">IF(Tabla2[[#This Row],[¿cliente deuda abierta?]]="Sí", Tabla2[[#This Row],[Deuda actual]]*Tabla2[[#This Row],[diferencia de días]], "0")</f>
        <v>0</v>
      </c>
      <c r="L74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4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74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742">
        <f t="shared" ca="1" si="129"/>
        <v>1744.19</v>
      </c>
      <c r="P742">
        <f t="shared" ca="1" si="130"/>
        <v>235178.46</v>
      </c>
      <c r="Q742">
        <f t="shared" ca="1" si="131"/>
        <v>2</v>
      </c>
      <c r="R742">
        <f ca="1">((Tabla2[[#This Row],[Fantasma Comunicación]]+1)/(Tabla2[[#This Row],[Fantasma Comunicación]]+RANDBETWEEN(0,5)+2))-0.5</f>
        <v>0.25</v>
      </c>
      <c r="S742" s="51">
        <f ca="1">1+MAX(0,Tabla2[[#This Row],[Deuda actual]]/Tabla2[[#This Row],[Liquidez]]+Tabla2[[#This Row],[Liquidez]]/(Tabla2[[#This Row],[Activos]]+Tabla2[[#This Row],[Liquidez]])+Tabla2[[#This Row],[Comunicación]])</f>
        <v>1.6567105489843947</v>
      </c>
      <c r="T742">
        <f ca="1">Tabla2[[#This Row],[Deuda actual]]*EXP(Tabla2[[#This Row],[Ki]]*Tabla2[[#This Row],[diferencia de días]])*(1+Tabla2[[#This Row],[Hg]])</f>
        <v>558.45925989088516</v>
      </c>
    </row>
    <row r="743" spans="1:20" ht="14.5" x14ac:dyDescent="0.35">
      <c r="A743" t="e">
        <f t="shared" si="121"/>
        <v>#VALUE!</v>
      </c>
      <c r="B743" s="21">
        <f t="shared" ca="1" si="122"/>
        <v>46134</v>
      </c>
      <c r="C743" s="21">
        <f t="shared" ca="1" si="123"/>
        <v>46157</v>
      </c>
      <c r="D743">
        <f t="shared" ca="1" si="124"/>
        <v>10</v>
      </c>
      <c r="E743">
        <f t="shared" ca="1" si="125"/>
        <v>0.74131257809242634</v>
      </c>
      <c r="F743" s="47">
        <f t="shared" ca="1" si="126"/>
        <v>6262.41</v>
      </c>
      <c r="G743" s="32" t="str">
        <f t="shared" ca="1" si="127"/>
        <v>hipotecario</v>
      </c>
      <c r="H74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43" t="str">
        <f t="shared" ca="1" si="128"/>
        <v>Sí</v>
      </c>
      <c r="J74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43" s="32">
        <f ca="1">IF(Tabla2[[#This Row],[¿cliente deuda abierta?]]="Sí", Tabla2[[#This Row],[Deuda actual]]*Tabla2[[#This Row],[diferencia de días]], "0")</f>
        <v>62624.1</v>
      </c>
      <c r="L74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74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43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743">
        <f t="shared" ca="1" si="129"/>
        <v>1611.32</v>
      </c>
      <c r="P743">
        <f t="shared" ca="1" si="130"/>
        <v>89286.9</v>
      </c>
      <c r="Q743">
        <f t="shared" ca="1" si="131"/>
        <v>0</v>
      </c>
      <c r="R743">
        <f ca="1">((Tabla2[[#This Row],[Fantasma Comunicación]]+1)/(Tabla2[[#This Row],[Fantasma Comunicación]]+RANDBETWEEN(0,5)+2))-0.5</f>
        <v>0</v>
      </c>
      <c r="S743" s="51">
        <f ca="1">1+MAX(0,Tabla2[[#This Row],[Deuda actual]]/Tabla2[[#This Row],[Liquidez]]+Tabla2[[#This Row],[Liquidez]]/(Tabla2[[#This Row],[Activos]]+Tabla2[[#This Row],[Liquidez]])+Tabla2[[#This Row],[Comunicación]])</f>
        <v>4.9042358371797778</v>
      </c>
      <c r="T743">
        <f ca="1">Tabla2[[#This Row],[Deuda actual]]*EXP(Tabla2[[#This Row],[Ki]]*Tabla2[[#This Row],[diferencia de días]])*(1+Tabla2[[#This Row],[Hg]])</f>
        <v>7216.1894561501649</v>
      </c>
    </row>
    <row r="744" spans="1:20" ht="14.5" x14ac:dyDescent="0.35">
      <c r="A744" t="e">
        <f t="shared" si="121"/>
        <v>#VALUE!</v>
      </c>
      <c r="B744" s="21">
        <f t="shared" ca="1" si="122"/>
        <v>46083</v>
      </c>
      <c r="C744" s="21">
        <f t="shared" ca="1" si="123"/>
        <v>46157</v>
      </c>
      <c r="D744">
        <f t="shared" ca="1" si="124"/>
        <v>3</v>
      </c>
      <c r="E744">
        <f t="shared" ca="1" si="125"/>
        <v>0.67567515688105351</v>
      </c>
      <c r="F744" s="47">
        <f t="shared" ca="1" si="126"/>
        <v>538.02</v>
      </c>
      <c r="G744" s="32" t="str">
        <f t="shared" ca="1" si="127"/>
        <v>personal</v>
      </c>
      <c r="H74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44" t="str">
        <f t="shared" ca="1" si="128"/>
        <v>Sí</v>
      </c>
      <c r="J74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44" s="32">
        <f ca="1">IF(Tabla2[[#This Row],[¿cliente deuda abierta?]]="Sí", Tabla2[[#This Row],[Deuda actual]]*Tabla2[[#This Row],[diferencia de días]], "0")</f>
        <v>1614.06</v>
      </c>
      <c r="L74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4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4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44">
        <f t="shared" ca="1" si="129"/>
        <v>1544.63</v>
      </c>
      <c r="P744">
        <f t="shared" ca="1" si="130"/>
        <v>147529.51999999999</v>
      </c>
      <c r="Q744">
        <f t="shared" ca="1" si="131"/>
        <v>4</v>
      </c>
      <c r="R744">
        <f ca="1">((Tabla2[[#This Row],[Fantasma Comunicación]]+1)/(Tabla2[[#This Row],[Fantasma Comunicación]]+RANDBETWEEN(0,5)+2))-0.5</f>
        <v>5.555555555555558E-2</v>
      </c>
      <c r="S744" s="51">
        <f ca="1">1+MAX(0,Tabla2[[#This Row],[Deuda actual]]/Tabla2[[#This Row],[Liquidez]]+Tabla2[[#This Row],[Liquidez]]/(Tabla2[[#This Row],[Activos]]+Tabla2[[#This Row],[Liquidez]])+Tabla2[[#This Row],[Comunicación]])</f>
        <v>1.4142334687387663</v>
      </c>
      <c r="T744">
        <f ca="1">Tabla2[[#This Row],[Deuda actual]]*EXP(Tabla2[[#This Row],[Ki]]*Tabla2[[#This Row],[diferencia de días]])*(1+Tabla2[[#This Row],[Hg]])</f>
        <v>565.2600543061202</v>
      </c>
    </row>
    <row r="745" spans="1:20" ht="14.5" x14ac:dyDescent="0.35">
      <c r="A745" t="e">
        <f t="shared" si="121"/>
        <v>#VALUE!</v>
      </c>
      <c r="B745" s="21">
        <f t="shared" ca="1" si="122"/>
        <v>46133</v>
      </c>
      <c r="C745" s="21">
        <f t="shared" ca="1" si="123"/>
        <v>46157</v>
      </c>
      <c r="D745">
        <f t="shared" ca="1" si="124"/>
        <v>46</v>
      </c>
      <c r="E745">
        <f t="shared" ca="1" si="125"/>
        <v>5.0767227582182328E-2</v>
      </c>
      <c r="F745" s="47">
        <f t="shared" ca="1" si="126"/>
        <v>85.71</v>
      </c>
      <c r="G745" s="32" t="str">
        <f t="shared" ca="1" si="127"/>
        <v>personal</v>
      </c>
      <c r="H74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745" t="str">
        <f t="shared" ca="1" si="128"/>
        <v>Sí</v>
      </c>
      <c r="J74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45" s="32">
        <f ca="1">IF(Tabla2[[#This Row],[¿cliente deuda abierta?]]="Sí", Tabla2[[#This Row],[Deuda actual]]*Tabla2[[#This Row],[diferencia de días]], "0")</f>
        <v>3942.66</v>
      </c>
      <c r="L74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4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4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45">
        <f t="shared" ca="1" si="129"/>
        <v>1448.78</v>
      </c>
      <c r="P745">
        <f t="shared" ca="1" si="130"/>
        <v>229495.94</v>
      </c>
      <c r="Q745">
        <f t="shared" ca="1" si="131"/>
        <v>0</v>
      </c>
      <c r="R745">
        <f ca="1">((Tabla2[[#This Row],[Fantasma Comunicación]]+1)/(Tabla2[[#This Row],[Fantasma Comunicación]]+RANDBETWEEN(0,5)+2))-0.5</f>
        <v>-0.16666666666666669</v>
      </c>
      <c r="S745" s="51">
        <f ca="1">1+MAX(0,Tabla2[[#This Row],[Deuda actual]]/Tabla2[[#This Row],[Liquidez]]+Tabla2[[#This Row],[Liquidez]]/(Tabla2[[#This Row],[Activos]]+Tabla2[[#This Row],[Liquidez]])+Tabla2[[#This Row],[Comunicación]])</f>
        <v>1</v>
      </c>
      <c r="T745">
        <f ca="1">Tabla2[[#This Row],[Deuda actual]]*EXP(Tabla2[[#This Row],[Ki]]*Tabla2[[#This Row],[diferencia de días]])*(1+Tabla2[[#This Row],[Hg]])</f>
        <v>94.23198515127504</v>
      </c>
    </row>
    <row r="746" spans="1:20" ht="14.5" x14ac:dyDescent="0.35">
      <c r="A746" t="e">
        <f t="shared" si="121"/>
        <v>#VALUE!</v>
      </c>
      <c r="B746" s="21">
        <f t="shared" ca="1" si="122"/>
        <v>46094</v>
      </c>
      <c r="C746" s="21">
        <f t="shared" ca="1" si="123"/>
        <v>46157</v>
      </c>
      <c r="D746">
        <f t="shared" ca="1" si="124"/>
        <v>73</v>
      </c>
      <c r="E746">
        <f t="shared" ca="1" si="125"/>
        <v>0.38950464406518559</v>
      </c>
      <c r="F746" s="47">
        <f t="shared" ca="1" si="126"/>
        <v>1391.05</v>
      </c>
      <c r="G746" s="32" t="str">
        <f t="shared" ca="1" si="127"/>
        <v>hipotecario</v>
      </c>
      <c r="H74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746" t="str">
        <f t="shared" ca="1" si="128"/>
        <v>Sí</v>
      </c>
      <c r="J74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46" s="32">
        <f ca="1">IF(Tabla2[[#This Row],[¿cliente deuda abierta?]]="Sí", Tabla2[[#This Row],[Deuda actual]]*Tabla2[[#This Row],[diferencia de días]], "0")</f>
        <v>101546.65</v>
      </c>
      <c r="L74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74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46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746">
        <f t="shared" ca="1" si="129"/>
        <v>1469.58</v>
      </c>
      <c r="P746">
        <f t="shared" ca="1" si="130"/>
        <v>297497.06</v>
      </c>
      <c r="Q746">
        <f t="shared" ca="1" si="131"/>
        <v>0</v>
      </c>
      <c r="R746">
        <f ca="1">((Tabla2[[#This Row],[Fantasma Comunicación]]+1)/(Tabla2[[#This Row],[Fantasma Comunicación]]+RANDBETWEEN(0,5)+2))-0.5</f>
        <v>-0.3</v>
      </c>
      <c r="S746" s="51">
        <f ca="1">1+MAX(0,Tabla2[[#This Row],[Deuda actual]]/Tabla2[[#This Row],[Liquidez]]+Tabla2[[#This Row],[Liquidez]]/(Tabla2[[#This Row],[Activos]]+Tabla2[[#This Row],[Liquidez]])+Tabla2[[#This Row],[Comunicación]])</f>
        <v>1.651478495280658</v>
      </c>
      <c r="T746">
        <f ca="1">Tabla2[[#This Row],[Deuda actual]]*EXP(Tabla2[[#This Row],[Ki]]*Tabla2[[#This Row],[diferencia de días]])*(1+Tabla2[[#This Row],[Hg]])</f>
        <v>1720.8542078814778</v>
      </c>
    </row>
    <row r="747" spans="1:20" ht="14.5" x14ac:dyDescent="0.35">
      <c r="A747" t="e">
        <f t="shared" si="121"/>
        <v>#VALUE!</v>
      </c>
      <c r="B747" s="21">
        <f t="shared" ca="1" si="122"/>
        <v>46096</v>
      </c>
      <c r="C747" s="21">
        <f t="shared" ca="1" si="123"/>
        <v>46157</v>
      </c>
      <c r="D747">
        <f t="shared" ca="1" si="124"/>
        <v>65</v>
      </c>
      <c r="E747">
        <f t="shared" ca="1" si="125"/>
        <v>0.56029509728709714</v>
      </c>
      <c r="F747" s="47">
        <f t="shared" ca="1" si="126"/>
        <v>4202.87</v>
      </c>
      <c r="G747" s="32" t="str">
        <f t="shared" ca="1" si="127"/>
        <v>personal</v>
      </c>
      <c r="H74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747" t="str">
        <f t="shared" ca="1" si="128"/>
        <v>No</v>
      </c>
      <c r="J74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11997.906372188134</v>
      </c>
      <c r="K747" s="32" t="str">
        <f ca="1">IF(Tabla2[[#This Row],[¿cliente deuda abierta?]]="Sí", Tabla2[[#This Row],[Deuda actual]]*Tabla2[[#This Row],[diferencia de días]], "0")</f>
        <v>0</v>
      </c>
      <c r="L74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4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74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747">
        <f t="shared" ca="1" si="129"/>
        <v>1620.02</v>
      </c>
      <c r="P747">
        <f t="shared" ca="1" si="130"/>
        <v>27564.71</v>
      </c>
      <c r="Q747">
        <f t="shared" ca="1" si="131"/>
        <v>4</v>
      </c>
      <c r="R747">
        <f ca="1">((Tabla2[[#This Row],[Fantasma Comunicación]]+1)/(Tabla2[[#This Row],[Fantasma Comunicación]]+RANDBETWEEN(0,5)+2))-0.5</f>
        <v>0.2142857142857143</v>
      </c>
      <c r="S747" s="51">
        <f ca="1">1+MAX(0,Tabla2[[#This Row],[Deuda actual]]/Tabla2[[#This Row],[Liquidez]]+Tabla2[[#This Row],[Liquidez]]/(Tabla2[[#This Row],[Activos]]+Tabla2[[#This Row],[Liquidez]])+Tabla2[[#This Row],[Comunicación]])</f>
        <v>3.8641270482624948</v>
      </c>
      <c r="T747">
        <f ca="1">Tabla2[[#This Row],[Deuda actual]]*EXP(Tabla2[[#This Row],[Ki]]*Tabla2[[#This Row],[diferencia de días]])*(1+Tabla2[[#This Row],[Hg]])</f>
        <v>4036.6175839322323</v>
      </c>
    </row>
    <row r="748" spans="1:20" ht="14.5" x14ac:dyDescent="0.35">
      <c r="A748" t="e">
        <f t="shared" si="121"/>
        <v>#VALUE!</v>
      </c>
      <c r="B748" s="21">
        <f t="shared" ca="1" si="122"/>
        <v>46123</v>
      </c>
      <c r="C748" s="21">
        <f t="shared" ca="1" si="123"/>
        <v>46157</v>
      </c>
      <c r="D748">
        <f t="shared" ca="1" si="124"/>
        <v>2</v>
      </c>
      <c r="E748">
        <f t="shared" ca="1" si="125"/>
        <v>0.36620558996634411</v>
      </c>
      <c r="F748" s="47">
        <f t="shared" ca="1" si="126"/>
        <v>10000</v>
      </c>
      <c r="G748" s="32" t="str">
        <f t="shared" ca="1" si="127"/>
        <v>hipotecario</v>
      </c>
      <c r="H74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48" t="str">
        <f t="shared" ca="1" si="128"/>
        <v>Sí</v>
      </c>
      <c r="J74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48" s="32">
        <f ca="1">IF(Tabla2[[#This Row],[¿cliente deuda abierta?]]="Sí", Tabla2[[#This Row],[Deuda actual]]*Tabla2[[#This Row],[diferencia de días]], "0")</f>
        <v>20000</v>
      </c>
      <c r="L74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4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4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48">
        <f t="shared" ca="1" si="129"/>
        <v>1544.93</v>
      </c>
      <c r="P748">
        <f t="shared" ca="1" si="130"/>
        <v>153512.38</v>
      </c>
      <c r="Q748">
        <f t="shared" ca="1" si="131"/>
        <v>4</v>
      </c>
      <c r="R748">
        <f ca="1">((Tabla2[[#This Row],[Fantasma Comunicación]]+1)/(Tabla2[[#This Row],[Fantasma Comunicación]]+RANDBETWEEN(0,5)+2))-0.5</f>
        <v>0</v>
      </c>
      <c r="S748" s="51">
        <f ca="1">1+MAX(0,Tabla2[[#This Row],[Deuda actual]]/Tabla2[[#This Row],[Liquidez]]+Tabla2[[#This Row],[Liquidez]]/(Tabla2[[#This Row],[Activos]]+Tabla2[[#This Row],[Liquidez]])+Tabla2[[#This Row],[Comunicación]])</f>
        <v>7.4827487810923161</v>
      </c>
      <c r="T748">
        <f ca="1">Tabla2[[#This Row],[Deuda actual]]*EXP(Tabla2[[#This Row],[Ki]]*Tabla2[[#This Row],[diferencia de días]])*(1+Tabla2[[#This Row],[Hg]])</f>
        <v>10504.200840112013</v>
      </c>
    </row>
    <row r="749" spans="1:20" ht="14.5" x14ac:dyDescent="0.35">
      <c r="A749" t="e">
        <f t="shared" si="121"/>
        <v>#VALUE!</v>
      </c>
      <c r="B749" s="21">
        <f t="shared" ca="1" si="122"/>
        <v>46132</v>
      </c>
      <c r="C749" s="21">
        <f t="shared" ca="1" si="123"/>
        <v>46157</v>
      </c>
      <c r="D749">
        <f t="shared" ca="1" si="124"/>
        <v>1</v>
      </c>
      <c r="E749">
        <f t="shared" ca="1" si="125"/>
        <v>0.62046197639672795</v>
      </c>
      <c r="F749" s="47">
        <f t="shared" ca="1" si="126"/>
        <v>5656.52</v>
      </c>
      <c r="G749" s="32" t="str">
        <f t="shared" ca="1" si="127"/>
        <v>personal</v>
      </c>
      <c r="H74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49" t="str">
        <f t="shared" ca="1" si="128"/>
        <v>Sí</v>
      </c>
      <c r="J74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49" s="32">
        <f ca="1">IF(Tabla2[[#This Row],[¿cliente deuda abierta?]]="Sí", Tabla2[[#This Row],[Deuda actual]]*Tabla2[[#This Row],[diferencia de días]], "0")</f>
        <v>5656.52</v>
      </c>
      <c r="L74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4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4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49">
        <f t="shared" ca="1" si="129"/>
        <v>1576.28</v>
      </c>
      <c r="P749">
        <f t="shared" ca="1" si="130"/>
        <v>614273.57999999996</v>
      </c>
      <c r="Q749">
        <f t="shared" ca="1" si="131"/>
        <v>3</v>
      </c>
      <c r="R749">
        <f ca="1">((Tabla2[[#This Row],[Fantasma Comunicación]]+1)/(Tabla2[[#This Row],[Fantasma Comunicación]]+RANDBETWEEN(0,5)+2))-0.5</f>
        <v>0.30000000000000004</v>
      </c>
      <c r="S749" s="51">
        <f ca="1">1+MAX(0,Tabla2[[#This Row],[Deuda actual]]/Tabla2[[#This Row],[Liquidez]]+Tabla2[[#This Row],[Liquidez]]/(Tabla2[[#This Row],[Activos]]+Tabla2[[#This Row],[Liquidez]])+Tabla2[[#This Row],[Comunicación]])</f>
        <v>4.8910844013115877</v>
      </c>
      <c r="T749">
        <f ca="1">Tabla2[[#This Row],[Deuda actual]]*EXP(Tabla2[[#This Row],[Ki]]*Tabla2[[#This Row],[diferencia de días]])*(1+Tabla2[[#This Row],[Hg]])</f>
        <v>5940.5339879948406</v>
      </c>
    </row>
    <row r="750" spans="1:20" ht="14.5" x14ac:dyDescent="0.35">
      <c r="A750" t="e">
        <f t="shared" si="121"/>
        <v>#VALUE!</v>
      </c>
      <c r="B750" s="21">
        <f t="shared" ca="1" si="122"/>
        <v>46111</v>
      </c>
      <c r="C750" s="21">
        <f t="shared" ca="1" si="123"/>
        <v>46157</v>
      </c>
      <c r="D750">
        <f t="shared" ca="1" si="124"/>
        <v>6</v>
      </c>
      <c r="E750">
        <f t="shared" ca="1" si="125"/>
        <v>0.74225663319076873</v>
      </c>
      <c r="F750" s="47">
        <f t="shared" ca="1" si="126"/>
        <v>141.44</v>
      </c>
      <c r="G750" s="32" t="str">
        <f t="shared" ca="1" si="127"/>
        <v>hipotecario</v>
      </c>
      <c r="H75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50" t="str">
        <f t="shared" ca="1" si="128"/>
        <v>No</v>
      </c>
      <c r="J75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165000.61539312746</v>
      </c>
      <c r="K750" s="32" t="str">
        <f ca="1">IF(Tabla2[[#This Row],[¿cliente deuda abierta?]]="Sí", Tabla2[[#This Row],[Deuda actual]]*Tabla2[[#This Row],[diferencia de días]], "0")</f>
        <v>0</v>
      </c>
      <c r="L75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5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75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750">
        <f t="shared" ca="1" si="129"/>
        <v>1228.4100000000001</v>
      </c>
      <c r="P750">
        <f t="shared" ca="1" si="130"/>
        <v>159796.20000000001</v>
      </c>
      <c r="Q750">
        <f t="shared" ca="1" si="131"/>
        <v>4</v>
      </c>
      <c r="R750">
        <f ca="1">((Tabla2[[#This Row],[Fantasma Comunicación]]+1)/(Tabla2[[#This Row],[Fantasma Comunicación]]+RANDBETWEEN(0,5)+2))-0.5</f>
        <v>0.125</v>
      </c>
      <c r="S750" s="51">
        <f ca="1">1+MAX(0,Tabla2[[#This Row],[Deuda actual]]/Tabla2[[#This Row],[Liquidez]]+Tabla2[[#This Row],[Liquidez]]/(Tabla2[[#This Row],[Activos]]+Tabla2[[#This Row],[Liquidez]])+Tabla2[[#This Row],[Comunicación]])</f>
        <v>1.2477694200227836</v>
      </c>
      <c r="T750">
        <f ca="1">Tabla2[[#This Row],[Deuda actual]]*EXP(Tabla2[[#This Row],[Ki]]*Tabla2[[#This Row],[diferencia de días]])*(1+Tabla2[[#This Row],[Hg]])</f>
        <v>113.28786390203754</v>
      </c>
    </row>
    <row r="751" spans="1:20" ht="14.5" x14ac:dyDescent="0.35">
      <c r="A751" t="e">
        <f t="shared" si="121"/>
        <v>#VALUE!</v>
      </c>
      <c r="B751" s="21">
        <f t="shared" ca="1" si="122"/>
        <v>46129</v>
      </c>
      <c r="C751" s="21">
        <f t="shared" ca="1" si="123"/>
        <v>46157</v>
      </c>
      <c r="D751">
        <f t="shared" ca="1" si="124"/>
        <v>18</v>
      </c>
      <c r="E751">
        <f t="shared" ca="1" si="125"/>
        <v>8.3684450215774864E-2</v>
      </c>
      <c r="F751" s="47">
        <f t="shared" ca="1" si="126"/>
        <v>997.8</v>
      </c>
      <c r="G751" s="32" t="str">
        <f t="shared" ca="1" si="127"/>
        <v>personal</v>
      </c>
      <c r="H75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751" t="str">
        <f t="shared" ca="1" si="128"/>
        <v>No</v>
      </c>
      <c r="J75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12000.018153621671</v>
      </c>
      <c r="K751" s="32" t="str">
        <f ca="1">IF(Tabla2[[#This Row],[¿cliente deuda abierta?]]="Sí", Tabla2[[#This Row],[Deuda actual]]*Tabla2[[#This Row],[diferencia de días]], "0")</f>
        <v>0</v>
      </c>
      <c r="L75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5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75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751">
        <f t="shared" ca="1" si="129"/>
        <v>1807.21</v>
      </c>
      <c r="P751">
        <f t="shared" ca="1" si="130"/>
        <v>134271.53</v>
      </c>
      <c r="Q751">
        <f t="shared" ca="1" si="131"/>
        <v>4</v>
      </c>
      <c r="R751">
        <f ca="1">((Tabla2[[#This Row],[Fantasma Comunicación]]+1)/(Tabla2[[#This Row],[Fantasma Comunicación]]+RANDBETWEEN(0,5)+2))-0.5</f>
        <v>0.2142857142857143</v>
      </c>
      <c r="S751" s="51">
        <f ca="1">1+MAX(0,Tabla2[[#This Row],[Deuda actual]]/Tabla2[[#This Row],[Liquidez]]+Tabla2[[#This Row],[Liquidez]]/(Tabla2[[#This Row],[Activos]]+Tabla2[[#This Row],[Liquidez]])+Tabla2[[#This Row],[Comunicación]])</f>
        <v>1.7796881128956423</v>
      </c>
      <c r="T751">
        <f ca="1">Tabla2[[#This Row],[Deuda actual]]*EXP(Tabla2[[#This Row],[Ki]]*Tabla2[[#This Row],[diferencia de días]])*(1+Tabla2[[#This Row],[Hg]])</f>
        <v>904.50907664312854</v>
      </c>
    </row>
    <row r="752" spans="1:20" ht="14.5" x14ac:dyDescent="0.35">
      <c r="A752" t="e">
        <f t="shared" si="121"/>
        <v>#VALUE!</v>
      </c>
      <c r="B752" s="21">
        <f t="shared" ca="1" si="122"/>
        <v>46111</v>
      </c>
      <c r="C752" s="21">
        <f t="shared" ca="1" si="123"/>
        <v>46157</v>
      </c>
      <c r="D752">
        <f t="shared" ca="1" si="124"/>
        <v>19</v>
      </c>
      <c r="E752">
        <f t="shared" ca="1" si="125"/>
        <v>0.76163081230940055</v>
      </c>
      <c r="F752" s="47">
        <f t="shared" ca="1" si="126"/>
        <v>5069.1000000000004</v>
      </c>
      <c r="G752" s="32" t="str">
        <f t="shared" ca="1" si="127"/>
        <v>hipotecario</v>
      </c>
      <c r="H75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752" t="str">
        <f t="shared" ca="1" si="128"/>
        <v>Sí</v>
      </c>
      <c r="J75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52" s="32">
        <f ca="1">IF(Tabla2[[#This Row],[¿cliente deuda abierta?]]="Sí", Tabla2[[#This Row],[Deuda actual]]*Tabla2[[#This Row],[diferencia de días]], "0")</f>
        <v>96312.900000000009</v>
      </c>
      <c r="L75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75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52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752">
        <f t="shared" ca="1" si="129"/>
        <v>1900.28</v>
      </c>
      <c r="P752">
        <f t="shared" ca="1" si="130"/>
        <v>119112.56</v>
      </c>
      <c r="Q752">
        <f t="shared" ca="1" si="131"/>
        <v>3</v>
      </c>
      <c r="R752">
        <f ca="1">((Tabla2[[#This Row],[Fantasma Comunicación]]+1)/(Tabla2[[#This Row],[Fantasma Comunicación]]+RANDBETWEEN(0,5)+2))-0.5</f>
        <v>-9.9999999999999978E-2</v>
      </c>
      <c r="S752" s="51">
        <f ca="1">1+MAX(0,Tabla2[[#This Row],[Deuda actual]]/Tabla2[[#This Row],[Liquidez]]+Tabla2[[#This Row],[Liquidez]]/(Tabla2[[#This Row],[Activos]]+Tabla2[[#This Row],[Liquidez]])+Tabla2[[#This Row],[Comunicación]])</f>
        <v>3.5832573822024703</v>
      </c>
      <c r="T752">
        <f ca="1">Tabla2[[#This Row],[Deuda actual]]*EXP(Tabla2[[#This Row],[Ki]]*Tabla2[[#This Row],[diferencia de días]])*(1+Tabla2[[#This Row],[Hg]])</f>
        <v>5873.9377162599876</v>
      </c>
    </row>
    <row r="753" spans="1:20" ht="14.5" x14ac:dyDescent="0.35">
      <c r="A753" t="e">
        <f t="shared" si="121"/>
        <v>#VALUE!</v>
      </c>
      <c r="B753" s="21">
        <f t="shared" ca="1" si="122"/>
        <v>46140</v>
      </c>
      <c r="C753" s="21">
        <f t="shared" ca="1" si="123"/>
        <v>46157</v>
      </c>
      <c r="D753">
        <f t="shared" ca="1" si="124"/>
        <v>10</v>
      </c>
      <c r="E753">
        <f t="shared" ca="1" si="125"/>
        <v>0.913368581149686</v>
      </c>
      <c r="F753" s="47">
        <f t="shared" ca="1" si="126"/>
        <v>855.68</v>
      </c>
      <c r="G753" s="32" t="str">
        <f t="shared" ca="1" si="127"/>
        <v>personal</v>
      </c>
      <c r="H75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53" t="str">
        <f t="shared" ca="1" si="128"/>
        <v>No</v>
      </c>
      <c r="J75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12000.349189599687</v>
      </c>
      <c r="K753" s="32" t="str">
        <f ca="1">IF(Tabla2[[#This Row],[¿cliente deuda abierta?]]="Sí", Tabla2[[#This Row],[Deuda actual]]*Tabla2[[#This Row],[diferencia de días]], "0")</f>
        <v>0</v>
      </c>
      <c r="L75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5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75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753">
        <f t="shared" ca="1" si="129"/>
        <v>1392.97</v>
      </c>
      <c r="P753">
        <f t="shared" ca="1" si="130"/>
        <v>45436.82</v>
      </c>
      <c r="Q753">
        <f t="shared" ca="1" si="131"/>
        <v>0</v>
      </c>
      <c r="R753">
        <f ca="1">((Tabla2[[#This Row],[Fantasma Comunicación]]+1)/(Tabla2[[#This Row],[Fantasma Comunicación]]+RANDBETWEEN(0,5)+2))-0.5</f>
        <v>-0.25</v>
      </c>
      <c r="S753" s="51">
        <f ca="1">1+MAX(0,Tabla2[[#This Row],[Deuda actual]]/Tabla2[[#This Row],[Liquidez]]+Tabla2[[#This Row],[Liquidez]]/(Tabla2[[#This Row],[Activos]]+Tabla2[[#This Row],[Liquidez]])+Tabla2[[#This Row],[Comunicación]])</f>
        <v>1.3940299683315107</v>
      </c>
      <c r="T753">
        <f ca="1">Tabla2[[#This Row],[Deuda actual]]*EXP(Tabla2[[#This Row],[Ki]]*Tabla2[[#This Row],[diferencia de días]])*(1+Tabla2[[#This Row],[Hg]])</f>
        <v>771.65376525132967</v>
      </c>
    </row>
    <row r="754" spans="1:20" ht="14.5" x14ac:dyDescent="0.35">
      <c r="A754" t="e">
        <f t="shared" si="121"/>
        <v>#VALUE!</v>
      </c>
      <c r="B754" s="21">
        <f t="shared" ca="1" si="122"/>
        <v>46091</v>
      </c>
      <c r="C754" s="21">
        <f t="shared" ca="1" si="123"/>
        <v>46157</v>
      </c>
      <c r="D754">
        <f t="shared" ca="1" si="124"/>
        <v>33</v>
      </c>
      <c r="E754">
        <f t="shared" ca="1" si="125"/>
        <v>0.7804282143023159</v>
      </c>
      <c r="F754" s="47">
        <f t="shared" ca="1" si="126"/>
        <v>196.91</v>
      </c>
      <c r="G754" s="32" t="str">
        <f t="shared" ca="1" si="127"/>
        <v>personal</v>
      </c>
      <c r="H75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754" t="str">
        <f t="shared" ca="1" si="128"/>
        <v>Sí</v>
      </c>
      <c r="J75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54" s="32">
        <f ca="1">IF(Tabla2[[#This Row],[¿cliente deuda abierta?]]="Sí", Tabla2[[#This Row],[Deuda actual]]*Tabla2[[#This Row],[diferencia de días]], "0")</f>
        <v>6498.03</v>
      </c>
      <c r="L75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5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5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54">
        <f t="shared" ca="1" si="129"/>
        <v>1309.4100000000001</v>
      </c>
      <c r="P754">
        <f t="shared" ca="1" si="130"/>
        <v>373459.39</v>
      </c>
      <c r="Q754">
        <f t="shared" ca="1" si="131"/>
        <v>1</v>
      </c>
      <c r="R754">
        <f ca="1">((Tabla2[[#This Row],[Fantasma Comunicación]]+1)/(Tabla2[[#This Row],[Fantasma Comunicación]]+RANDBETWEEN(0,5)+2))-0.5</f>
        <v>-0.25</v>
      </c>
      <c r="S754" s="51">
        <f ca="1">1+MAX(0,Tabla2[[#This Row],[Deuda actual]]/Tabla2[[#This Row],[Liquidez]]+Tabla2[[#This Row],[Liquidez]]/(Tabla2[[#This Row],[Activos]]+Tabla2[[#This Row],[Liquidez]])+Tabla2[[#This Row],[Comunicación]])</f>
        <v>1</v>
      </c>
      <c r="T754">
        <f ca="1">Tabla2[[#This Row],[Deuda actual]]*EXP(Tabla2[[#This Row],[Ki]]*Tabla2[[#This Row],[diferencia de días]])*(1+Tabla2[[#This Row],[Hg]])</f>
        <v>213.69225851610577</v>
      </c>
    </row>
    <row r="755" spans="1:20" ht="14.5" x14ac:dyDescent="0.35">
      <c r="A755" t="e">
        <f t="shared" si="121"/>
        <v>#VALUE!</v>
      </c>
      <c r="B755" s="21">
        <f t="shared" ca="1" si="122"/>
        <v>46121</v>
      </c>
      <c r="C755" s="21">
        <f t="shared" ca="1" si="123"/>
        <v>46157</v>
      </c>
      <c r="D755">
        <f t="shared" ca="1" si="124"/>
        <v>1</v>
      </c>
      <c r="E755">
        <f t="shared" ca="1" si="125"/>
        <v>8.3682095710436721E-2</v>
      </c>
      <c r="F755" s="47">
        <f t="shared" ca="1" si="126"/>
        <v>193.2</v>
      </c>
      <c r="G755" s="32" t="str">
        <f t="shared" ca="1" si="127"/>
        <v>personal</v>
      </c>
      <c r="H75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55" t="str">
        <f t="shared" ca="1" si="128"/>
        <v>No</v>
      </c>
      <c r="J75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11999.40263008958</v>
      </c>
      <c r="K755" s="32" t="str">
        <f ca="1">IF(Tabla2[[#This Row],[¿cliente deuda abierta?]]="Sí", Tabla2[[#This Row],[Deuda actual]]*Tabla2[[#This Row],[diferencia de días]], "0")</f>
        <v>0</v>
      </c>
      <c r="L75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5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75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755">
        <f t="shared" ca="1" si="129"/>
        <v>1819.02</v>
      </c>
      <c r="P755">
        <f t="shared" ca="1" si="130"/>
        <v>119867.78</v>
      </c>
      <c r="Q755">
        <f t="shared" ca="1" si="131"/>
        <v>3</v>
      </c>
      <c r="R755">
        <f ca="1">((Tabla2[[#This Row],[Fantasma Comunicación]]+1)/(Tabla2[[#This Row],[Fantasma Comunicación]]+RANDBETWEEN(0,5)+2))-0.5</f>
        <v>-9.9999999999999978E-2</v>
      </c>
      <c r="S755" s="51">
        <f ca="1">1+MAX(0,Tabla2[[#This Row],[Deuda actual]]/Tabla2[[#This Row],[Liquidez]]+Tabla2[[#This Row],[Liquidez]]/(Tabla2[[#This Row],[Activos]]+Tabla2[[#This Row],[Liquidez]])+Tabla2[[#This Row],[Comunicación]])</f>
        <v>1.02115941237813</v>
      </c>
      <c r="T755">
        <f ca="1">Tabla2[[#This Row],[Deuda actual]]*EXP(Tabla2[[#This Row],[Ki]]*Tabla2[[#This Row],[diferencia de días]])*(1+Tabla2[[#This Row],[Hg]])</f>
        <v>173.91477947783187</v>
      </c>
    </row>
    <row r="756" spans="1:20" ht="14.5" x14ac:dyDescent="0.35">
      <c r="A756" t="e">
        <f t="shared" si="121"/>
        <v>#VALUE!</v>
      </c>
      <c r="B756" s="21">
        <f t="shared" ca="1" si="122"/>
        <v>46137</v>
      </c>
      <c r="C756" s="21">
        <f t="shared" ca="1" si="123"/>
        <v>46157</v>
      </c>
      <c r="D756">
        <f t="shared" ca="1" si="124"/>
        <v>28</v>
      </c>
      <c r="E756">
        <f t="shared" ca="1" si="125"/>
        <v>0.91514801536681811</v>
      </c>
      <c r="F756" s="47">
        <f t="shared" ca="1" si="126"/>
        <v>239.95</v>
      </c>
      <c r="G756" s="32" t="str">
        <f t="shared" ca="1" si="127"/>
        <v>hipotecario</v>
      </c>
      <c r="H75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756" t="str">
        <f t="shared" ca="1" si="128"/>
        <v>No</v>
      </c>
      <c r="J75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164999.49492311775</v>
      </c>
      <c r="K756" s="32" t="str">
        <f ca="1">IF(Tabla2[[#This Row],[¿cliente deuda abierta?]]="Sí", Tabla2[[#This Row],[Deuda actual]]*Tabla2[[#This Row],[diferencia de días]], "0")</f>
        <v>0</v>
      </c>
      <c r="L75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5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75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756">
        <f t="shared" ca="1" si="129"/>
        <v>1413.53</v>
      </c>
      <c r="P756">
        <f t="shared" ca="1" si="130"/>
        <v>155704.75</v>
      </c>
      <c r="Q756">
        <f t="shared" ca="1" si="131"/>
        <v>2</v>
      </c>
      <c r="R756">
        <f ca="1">((Tabla2[[#This Row],[Fantasma Comunicación]]+1)/(Tabla2[[#This Row],[Fantasma Comunicación]]+RANDBETWEEN(0,5)+2))-0.5</f>
        <v>0</v>
      </c>
      <c r="S756" s="51">
        <f ca="1">1+MAX(0,Tabla2[[#This Row],[Deuda actual]]/Tabla2[[#This Row],[Liquidez]]+Tabla2[[#This Row],[Liquidez]]/(Tabla2[[#This Row],[Activos]]+Tabla2[[#This Row],[Liquidez]])+Tabla2[[#This Row],[Comunicación]])</f>
        <v>1.178748920177463</v>
      </c>
      <c r="T756">
        <f ca="1">Tabla2[[#This Row],[Deuda actual]]*EXP(Tabla2[[#This Row],[Ki]]*Tabla2[[#This Row],[diferencia de días]])*(1+Tabla2[[#This Row],[Hg]])</f>
        <v>194.12203680566756</v>
      </c>
    </row>
    <row r="757" spans="1:20" ht="14.5" x14ac:dyDescent="0.35">
      <c r="A757" t="e">
        <f t="shared" si="121"/>
        <v>#VALUE!</v>
      </c>
      <c r="B757" s="21">
        <f t="shared" ca="1" si="122"/>
        <v>46137</v>
      </c>
      <c r="C757" s="21">
        <f t="shared" ca="1" si="123"/>
        <v>46157</v>
      </c>
      <c r="D757">
        <f t="shared" ca="1" si="124"/>
        <v>1</v>
      </c>
      <c r="E757">
        <f t="shared" ca="1" si="125"/>
        <v>0.3638642590472011</v>
      </c>
      <c r="F757" s="47">
        <f t="shared" ca="1" si="126"/>
        <v>6754.21</v>
      </c>
      <c r="G757" s="32" t="str">
        <f t="shared" ca="1" si="127"/>
        <v>hipotecario</v>
      </c>
      <c r="H75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57" t="str">
        <f t="shared" ca="1" si="128"/>
        <v>Sí</v>
      </c>
      <c r="J75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57" s="32">
        <f ca="1">IF(Tabla2[[#This Row],[¿cliente deuda abierta?]]="Sí", Tabla2[[#This Row],[Deuda actual]]*Tabla2[[#This Row],[diferencia de días]], "0")</f>
        <v>6754.21</v>
      </c>
      <c r="L75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5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5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57">
        <f t="shared" ca="1" si="129"/>
        <v>1809.56</v>
      </c>
      <c r="P757">
        <f t="shared" ca="1" si="130"/>
        <v>157671.76</v>
      </c>
      <c r="Q757">
        <f t="shared" ca="1" si="131"/>
        <v>5</v>
      </c>
      <c r="R757">
        <f ca="1">((Tabla2[[#This Row],[Fantasma Comunicación]]+1)/(Tabla2[[#This Row],[Fantasma Comunicación]]+RANDBETWEEN(0,5)+2))-0.5</f>
        <v>9.9999999999999978E-2</v>
      </c>
      <c r="S757" s="51">
        <f ca="1">1+MAX(0,Tabla2[[#This Row],[Deuda actual]]/Tabla2[[#This Row],[Liquidez]]+Tabla2[[#This Row],[Liquidez]]/(Tabla2[[#This Row],[Activos]]+Tabla2[[#This Row],[Liquidez]])+Tabla2[[#This Row],[Comunicación]])</f>
        <v>4.843861619162503</v>
      </c>
      <c r="T757">
        <f ca="1">Tabla2[[#This Row],[Deuda actual]]*EXP(Tabla2[[#This Row],[Ki]]*Tabla2[[#This Row],[diferencia de días]])*(1+Tabla2[[#This Row],[Hg]])</f>
        <v>7093.3390259478674</v>
      </c>
    </row>
    <row r="758" spans="1:20" ht="14.5" x14ac:dyDescent="0.35">
      <c r="A758" t="e">
        <f t="shared" si="121"/>
        <v>#VALUE!</v>
      </c>
      <c r="B758" s="21">
        <f t="shared" ca="1" si="122"/>
        <v>46090</v>
      </c>
      <c r="C758" s="21">
        <f t="shared" ca="1" si="123"/>
        <v>46157</v>
      </c>
      <c r="D758">
        <f t="shared" ca="1" si="124"/>
        <v>5</v>
      </c>
      <c r="E758">
        <f t="shared" ca="1" si="125"/>
        <v>0.9406116663035643</v>
      </c>
      <c r="F758" s="47">
        <f t="shared" ca="1" si="126"/>
        <v>10000</v>
      </c>
      <c r="G758" s="32" t="str">
        <f t="shared" ca="1" si="127"/>
        <v>personal</v>
      </c>
      <c r="H75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58" t="str">
        <f t="shared" ca="1" si="128"/>
        <v>Sí</v>
      </c>
      <c r="J75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58" s="32">
        <f ca="1">IF(Tabla2[[#This Row],[¿cliente deuda abierta?]]="Sí", Tabla2[[#This Row],[Deuda actual]]*Tabla2[[#This Row],[diferencia de días]], "0")</f>
        <v>50000</v>
      </c>
      <c r="L75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75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58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758">
        <f t="shared" ca="1" si="129"/>
        <v>1877.22</v>
      </c>
      <c r="P758">
        <f t="shared" ca="1" si="130"/>
        <v>144935.82</v>
      </c>
      <c r="Q758">
        <f t="shared" ca="1" si="131"/>
        <v>2</v>
      </c>
      <c r="R758">
        <f ca="1">((Tabla2[[#This Row],[Fantasma Comunicación]]+1)/(Tabla2[[#This Row],[Fantasma Comunicación]]+RANDBETWEEN(0,5)+2))-0.5</f>
        <v>0</v>
      </c>
      <c r="S758" s="51">
        <f ca="1">1+MAX(0,Tabla2[[#This Row],[Deuda actual]]/Tabla2[[#This Row],[Liquidez]]+Tabla2[[#This Row],[Liquidez]]/(Tabla2[[#This Row],[Activos]]+Tabla2[[#This Row],[Liquidez]])+Tabla2[[#This Row],[Comunicación]])</f>
        <v>6.3398126007694966</v>
      </c>
      <c r="T758">
        <f ca="1">Tabla2[[#This Row],[Deuda actual]]*EXP(Tabla2[[#This Row],[Ki]]*Tabla2[[#This Row],[diferencia de días]])*(1+Tabla2[[#This Row],[Hg]])</f>
        <v>11011.005501833792</v>
      </c>
    </row>
    <row r="759" spans="1:20" ht="14.5" x14ac:dyDescent="0.35">
      <c r="A759" t="e">
        <f t="shared" si="121"/>
        <v>#VALUE!</v>
      </c>
      <c r="B759" s="21">
        <f t="shared" ca="1" si="122"/>
        <v>46092</v>
      </c>
      <c r="C759" s="21">
        <f t="shared" ca="1" si="123"/>
        <v>46157</v>
      </c>
      <c r="D759">
        <f t="shared" ca="1" si="124"/>
        <v>5</v>
      </c>
      <c r="E759">
        <f t="shared" ca="1" si="125"/>
        <v>0.73724510483660566</v>
      </c>
      <c r="F759" s="47">
        <f t="shared" ca="1" si="126"/>
        <v>2459.4299999999998</v>
      </c>
      <c r="G759" s="32" t="str">
        <f t="shared" ca="1" si="127"/>
        <v>hipotecario</v>
      </c>
      <c r="H75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59" t="str">
        <f t="shared" ca="1" si="128"/>
        <v>Sí</v>
      </c>
      <c r="J75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59" s="32">
        <f ca="1">IF(Tabla2[[#This Row],[¿cliente deuda abierta?]]="Sí", Tabla2[[#This Row],[Deuda actual]]*Tabla2[[#This Row],[diferencia de días]], "0")</f>
        <v>12297.15</v>
      </c>
      <c r="L75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5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5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59">
        <f t="shared" ca="1" si="129"/>
        <v>1983.61</v>
      </c>
      <c r="P759">
        <f t="shared" ca="1" si="130"/>
        <v>84882.25</v>
      </c>
      <c r="Q759">
        <f t="shared" ca="1" si="131"/>
        <v>2</v>
      </c>
      <c r="R759">
        <f ca="1">((Tabla2[[#This Row],[Fantasma Comunicación]]+1)/(Tabla2[[#This Row],[Fantasma Comunicación]]+RANDBETWEEN(0,5)+2))-0.5</f>
        <v>-7.1428571428571452E-2</v>
      </c>
      <c r="S759" s="51">
        <f ca="1">1+MAX(0,Tabla2[[#This Row],[Deuda actual]]/Tabla2[[#This Row],[Liquidez]]+Tabla2[[#This Row],[Liquidez]]/(Tabla2[[#This Row],[Activos]]+Tabla2[[#This Row],[Liquidez]])+Tabla2[[#This Row],[Comunicación]])</f>
        <v>2.1912825339416591</v>
      </c>
      <c r="T759">
        <f ca="1">Tabla2[[#This Row],[Deuda actual]]*EXP(Tabla2[[#This Row],[Ki]]*Tabla2[[#This Row],[diferencia de días]])*(1+Tabla2[[#This Row],[Hg]])</f>
        <v>2584.9851931312578</v>
      </c>
    </row>
    <row r="760" spans="1:20" ht="14.5" x14ac:dyDescent="0.35">
      <c r="A760" t="e">
        <f t="shared" si="121"/>
        <v>#VALUE!</v>
      </c>
      <c r="B760" s="21">
        <f t="shared" ca="1" si="122"/>
        <v>46136</v>
      </c>
      <c r="C760" s="21">
        <f t="shared" ca="1" si="123"/>
        <v>46157</v>
      </c>
      <c r="D760">
        <f t="shared" ca="1" si="124"/>
        <v>34</v>
      </c>
      <c r="E760">
        <f t="shared" ca="1" si="125"/>
        <v>0.6192489294998198</v>
      </c>
      <c r="F760" s="47">
        <f t="shared" ca="1" si="126"/>
        <v>2230.52</v>
      </c>
      <c r="G760" s="32" t="str">
        <f t="shared" ca="1" si="127"/>
        <v>personal</v>
      </c>
      <c r="H76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760" t="str">
        <f t="shared" ca="1" si="128"/>
        <v>Sí</v>
      </c>
      <c r="J76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60" s="32">
        <f ca="1">IF(Tabla2[[#This Row],[¿cliente deuda abierta?]]="Sí", Tabla2[[#This Row],[Deuda actual]]*Tabla2[[#This Row],[diferencia de días]], "0")</f>
        <v>75837.679999999993</v>
      </c>
      <c r="L76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76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60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760">
        <f t="shared" ca="1" si="129"/>
        <v>1652</v>
      </c>
      <c r="P760">
        <f t="shared" ca="1" si="130"/>
        <v>195779.08</v>
      </c>
      <c r="Q760">
        <f t="shared" ca="1" si="131"/>
        <v>4</v>
      </c>
      <c r="R760">
        <f ca="1">((Tabla2[[#This Row],[Fantasma Comunicación]]+1)/(Tabla2[[#This Row],[Fantasma Comunicación]]+RANDBETWEEN(0,5)+2))-0.5</f>
        <v>0.2142857142857143</v>
      </c>
      <c r="S760" s="51">
        <f ca="1">1+MAX(0,Tabla2[[#This Row],[Deuda actual]]/Tabla2[[#This Row],[Liquidez]]+Tabla2[[#This Row],[Liquidez]]/(Tabla2[[#This Row],[Activos]]+Tabla2[[#This Row],[Liquidez]])+Tabla2[[#This Row],[Comunicación]])</f>
        <v>2.5728468957799073</v>
      </c>
      <c r="T760">
        <f ca="1">Tabla2[[#This Row],[Deuda actual]]*EXP(Tabla2[[#This Row],[Ki]]*Tabla2[[#This Row],[diferencia de días]])*(1+Tabla2[[#This Row],[Hg]])</f>
        <v>2653.8109055490818</v>
      </c>
    </row>
    <row r="761" spans="1:20" ht="14.5" x14ac:dyDescent="0.35">
      <c r="A761" t="e">
        <f t="shared" si="121"/>
        <v>#VALUE!</v>
      </c>
      <c r="B761" s="21">
        <f t="shared" ca="1" si="122"/>
        <v>46100</v>
      </c>
      <c r="C761" s="21">
        <f t="shared" ca="1" si="123"/>
        <v>46157</v>
      </c>
      <c r="D761">
        <f t="shared" ca="1" si="124"/>
        <v>5</v>
      </c>
      <c r="E761">
        <f t="shared" ca="1" si="125"/>
        <v>0.46004805866572185</v>
      </c>
      <c r="F761" s="47">
        <f t="shared" ca="1" si="126"/>
        <v>561.91999999999996</v>
      </c>
      <c r="G761" s="32" t="str">
        <f t="shared" ca="1" si="127"/>
        <v>personal</v>
      </c>
      <c r="H76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61" t="str">
        <f t="shared" ca="1" si="128"/>
        <v>Sí</v>
      </c>
      <c r="J76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61" s="32">
        <f ca="1">IF(Tabla2[[#This Row],[¿cliente deuda abierta?]]="Sí", Tabla2[[#This Row],[Deuda actual]]*Tabla2[[#This Row],[diferencia de días]], "0")</f>
        <v>2809.6</v>
      </c>
      <c r="L76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6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6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61">
        <f t="shared" ca="1" si="129"/>
        <v>1427.77</v>
      </c>
      <c r="P761">
        <f t="shared" ca="1" si="130"/>
        <v>70263.44</v>
      </c>
      <c r="Q761">
        <f t="shared" ca="1" si="131"/>
        <v>0</v>
      </c>
      <c r="R761">
        <f ca="1">((Tabla2[[#This Row],[Fantasma Comunicación]]+1)/(Tabla2[[#This Row],[Fantasma Comunicación]]+RANDBETWEEN(0,5)+2))-0.5</f>
        <v>-0.25</v>
      </c>
      <c r="S761" s="51">
        <f ca="1">1+MAX(0,Tabla2[[#This Row],[Deuda actual]]/Tabla2[[#This Row],[Liquidez]]+Tabla2[[#This Row],[Liquidez]]/(Tabla2[[#This Row],[Activos]]+Tabla2[[#This Row],[Liquidez]])+Tabla2[[#This Row],[Comunicación]])</f>
        <v>1.1634803415583947</v>
      </c>
      <c r="T761">
        <f ca="1">Tabla2[[#This Row],[Deuda actual]]*EXP(Tabla2[[#This Row],[Ki]]*Tabla2[[#This Row],[diferencia de días]])*(1+Tabla2[[#This Row],[Hg]])</f>
        <v>590.60631110636052</v>
      </c>
    </row>
    <row r="762" spans="1:20" ht="14.5" x14ac:dyDescent="0.35">
      <c r="A762" t="e">
        <f t="shared" si="121"/>
        <v>#VALUE!</v>
      </c>
      <c r="B762" s="21">
        <f t="shared" ca="1" si="122"/>
        <v>46097</v>
      </c>
      <c r="C762" s="21">
        <f t="shared" ca="1" si="123"/>
        <v>46157</v>
      </c>
      <c r="D762">
        <f t="shared" ca="1" si="124"/>
        <v>2</v>
      </c>
      <c r="E762">
        <f t="shared" ca="1" si="125"/>
        <v>0.87298178493176004</v>
      </c>
      <c r="F762" s="47">
        <f t="shared" ca="1" si="126"/>
        <v>594.35</v>
      </c>
      <c r="G762" s="32" t="str">
        <f t="shared" ca="1" si="127"/>
        <v>personal</v>
      </c>
      <c r="H76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62" t="str">
        <f t="shared" ca="1" si="128"/>
        <v>No</v>
      </c>
      <c r="J76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12000.400827178382</v>
      </c>
      <c r="K762" s="32" t="str">
        <f ca="1">IF(Tabla2[[#This Row],[¿cliente deuda abierta?]]="Sí", Tabla2[[#This Row],[Deuda actual]]*Tabla2[[#This Row],[diferencia de días]], "0")</f>
        <v>0</v>
      </c>
      <c r="L76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6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76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762">
        <f t="shared" ca="1" si="129"/>
        <v>1720.81</v>
      </c>
      <c r="P762">
        <f t="shared" ca="1" si="130"/>
        <v>208746.3</v>
      </c>
      <c r="Q762">
        <f t="shared" ca="1" si="131"/>
        <v>1</v>
      </c>
      <c r="R762">
        <f ca="1">((Tabla2[[#This Row],[Fantasma Comunicación]]+1)/(Tabla2[[#This Row],[Fantasma Comunicación]]+RANDBETWEEN(0,5)+2))-0.5</f>
        <v>0.16666666666666663</v>
      </c>
      <c r="S762" s="51">
        <f ca="1">1+MAX(0,Tabla2[[#This Row],[Deuda actual]]/Tabla2[[#This Row],[Liquidez]]+Tabla2[[#This Row],[Liquidez]]/(Tabla2[[#This Row],[Activos]]+Tabla2[[#This Row],[Liquidez]])+Tabla2[[#This Row],[Comunicación]])</f>
        <v>1.5202324846672477</v>
      </c>
      <c r="T762">
        <f ca="1">Tabla2[[#This Row],[Deuda actual]]*EXP(Tabla2[[#This Row],[Ki]]*Tabla2[[#This Row],[diferencia de días]])*(1+Tabla2[[#This Row],[Hg]])</f>
        <v>535.1290087989064</v>
      </c>
    </row>
    <row r="763" spans="1:20" ht="14.5" x14ac:dyDescent="0.35">
      <c r="A763" t="e">
        <f t="shared" si="121"/>
        <v>#VALUE!</v>
      </c>
      <c r="B763" s="21">
        <f t="shared" ca="1" si="122"/>
        <v>46123</v>
      </c>
      <c r="C763" s="21">
        <f t="shared" ca="1" si="123"/>
        <v>46157</v>
      </c>
      <c r="D763">
        <f t="shared" ca="1" si="124"/>
        <v>6</v>
      </c>
      <c r="E763">
        <f t="shared" ca="1" si="125"/>
        <v>0.60572794953830411</v>
      </c>
      <c r="F763" s="47">
        <f t="shared" ca="1" si="126"/>
        <v>1273.92</v>
      </c>
      <c r="G763" s="32" t="str">
        <f t="shared" ca="1" si="127"/>
        <v>personal</v>
      </c>
      <c r="H76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63" t="str">
        <f t="shared" ca="1" si="128"/>
        <v>Sí</v>
      </c>
      <c r="J76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63" s="32">
        <f ca="1">IF(Tabla2[[#This Row],[¿cliente deuda abierta?]]="Sí", Tabla2[[#This Row],[Deuda actual]]*Tabla2[[#This Row],[diferencia de días]], "0")</f>
        <v>7643.52</v>
      </c>
      <c r="L76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6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6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63">
        <f t="shared" ca="1" si="129"/>
        <v>1700.88</v>
      </c>
      <c r="P763">
        <f t="shared" ca="1" si="130"/>
        <v>121827.02</v>
      </c>
      <c r="Q763">
        <f t="shared" ca="1" si="131"/>
        <v>0</v>
      </c>
      <c r="R763">
        <f ca="1">((Tabla2[[#This Row],[Fantasma Comunicación]]+1)/(Tabla2[[#This Row],[Fantasma Comunicación]]+RANDBETWEEN(0,5)+2))-0.5</f>
        <v>-0.35714285714285715</v>
      </c>
      <c r="S763" s="51">
        <f ca="1">1+MAX(0,Tabla2[[#This Row],[Deuda actual]]/Tabla2[[#This Row],[Liquidez]]+Tabla2[[#This Row],[Liquidez]]/(Tabla2[[#This Row],[Activos]]+Tabla2[[#This Row],[Liquidez]])+Tabla2[[#This Row],[Comunicación]])</f>
        <v>1.40560334007842</v>
      </c>
      <c r="T763">
        <f ca="1">Tabla2[[#This Row],[Deuda actual]]*EXP(Tabla2[[#This Row],[Ki]]*Tabla2[[#This Row],[diferencia de días]])*(1+Tabla2[[#This Row],[Hg]])</f>
        <v>1339.2221026688692</v>
      </c>
    </row>
    <row r="764" spans="1:20" ht="14.5" x14ac:dyDescent="0.35">
      <c r="A764" t="e">
        <f t="shared" si="121"/>
        <v>#VALUE!</v>
      </c>
      <c r="B764" s="21">
        <f t="shared" ca="1" si="122"/>
        <v>46142</v>
      </c>
      <c r="C764" s="21">
        <f t="shared" ca="1" si="123"/>
        <v>46157</v>
      </c>
      <c r="D764">
        <f t="shared" ca="1" si="124"/>
        <v>9</v>
      </c>
      <c r="E764">
        <f t="shared" ca="1" si="125"/>
        <v>0.51203654993353376</v>
      </c>
      <c r="F764" s="47">
        <f t="shared" ca="1" si="126"/>
        <v>680.13</v>
      </c>
      <c r="G764" s="32" t="str">
        <f t="shared" ca="1" si="127"/>
        <v>hipotecario</v>
      </c>
      <c r="H76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64" t="str">
        <f t="shared" ca="1" si="128"/>
        <v>Sí</v>
      </c>
      <c r="J76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64" s="32">
        <f ca="1">IF(Tabla2[[#This Row],[¿cliente deuda abierta?]]="Sí", Tabla2[[#This Row],[Deuda actual]]*Tabla2[[#This Row],[diferencia de días]], "0")</f>
        <v>6121.17</v>
      </c>
      <c r="L76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6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6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64">
        <f t="shared" ca="1" si="129"/>
        <v>1571.99</v>
      </c>
      <c r="P764">
        <f t="shared" ca="1" si="130"/>
        <v>47631.22</v>
      </c>
      <c r="Q764">
        <f t="shared" ca="1" si="131"/>
        <v>4</v>
      </c>
      <c r="R764">
        <f ca="1">((Tabla2[[#This Row],[Fantasma Comunicación]]+1)/(Tabla2[[#This Row],[Fantasma Comunicación]]+RANDBETWEEN(0,5)+2))-0.5</f>
        <v>0.2142857142857143</v>
      </c>
      <c r="S764" s="51">
        <f ca="1">1+MAX(0,Tabla2[[#This Row],[Deuda actual]]/Tabla2[[#This Row],[Liquidez]]+Tabla2[[#This Row],[Liquidez]]/(Tabla2[[#This Row],[Activos]]+Tabla2[[#This Row],[Liquidez]])+Tabla2[[#This Row],[Comunicación]])</f>
        <v>1.6788900700895806</v>
      </c>
      <c r="T764">
        <f ca="1">Tabla2[[#This Row],[Deuda actual]]*EXP(Tabla2[[#This Row],[Ki]]*Tabla2[[#This Row],[diferencia de días]])*(1+Tabla2[[#This Row],[Hg]])</f>
        <v>715.42310329558325</v>
      </c>
    </row>
    <row r="765" spans="1:20" ht="14.5" x14ac:dyDescent="0.35">
      <c r="A765" t="e">
        <f t="shared" si="121"/>
        <v>#VALUE!</v>
      </c>
      <c r="B765" s="21">
        <f t="shared" ca="1" si="122"/>
        <v>46082</v>
      </c>
      <c r="C765" s="21">
        <f t="shared" ca="1" si="123"/>
        <v>46157</v>
      </c>
      <c r="D765">
        <f t="shared" ca="1" si="124"/>
        <v>5</v>
      </c>
      <c r="E765">
        <f t="shared" ca="1" si="125"/>
        <v>0.30946955128362053</v>
      </c>
      <c r="F765" s="47">
        <f t="shared" ca="1" si="126"/>
        <v>578.61</v>
      </c>
      <c r="G765" s="32" t="str">
        <f t="shared" ca="1" si="127"/>
        <v>personal</v>
      </c>
      <c r="H76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65" t="str">
        <f t="shared" ca="1" si="128"/>
        <v>Sí</v>
      </c>
      <c r="J76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65" s="32">
        <f ca="1">IF(Tabla2[[#This Row],[¿cliente deuda abierta?]]="Sí", Tabla2[[#This Row],[Deuda actual]]*Tabla2[[#This Row],[diferencia de días]], "0")</f>
        <v>2893.05</v>
      </c>
      <c r="L76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6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6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65">
        <f t="shared" ca="1" si="129"/>
        <v>1924.25</v>
      </c>
      <c r="P765">
        <f t="shared" ca="1" si="130"/>
        <v>259648.98</v>
      </c>
      <c r="Q765">
        <f t="shared" ca="1" si="131"/>
        <v>4</v>
      </c>
      <c r="R765">
        <f ca="1">((Tabla2[[#This Row],[Fantasma Comunicación]]+1)/(Tabla2[[#This Row],[Fantasma Comunicación]]+RANDBETWEEN(0,5)+2))-0.5</f>
        <v>5.555555555555558E-2</v>
      </c>
      <c r="S765" s="51">
        <f ca="1">1+MAX(0,Tabla2[[#This Row],[Deuda actual]]/Tabla2[[#This Row],[Liquidez]]+Tabla2[[#This Row],[Liquidez]]/(Tabla2[[#This Row],[Activos]]+Tabla2[[#This Row],[Liquidez]])+Tabla2[[#This Row],[Comunicación]])</f>
        <v>1.3636057808690143</v>
      </c>
      <c r="T765">
        <f ca="1">Tabla2[[#This Row],[Deuda actual]]*EXP(Tabla2[[#This Row],[Ki]]*Tabla2[[#This Row],[diferencia de días]])*(1+Tabla2[[#This Row],[Hg]])</f>
        <v>608.14834437153218</v>
      </c>
    </row>
    <row r="766" spans="1:20" ht="14.5" x14ac:dyDescent="0.35">
      <c r="A766" t="e">
        <f t="shared" si="121"/>
        <v>#VALUE!</v>
      </c>
      <c r="B766" s="21">
        <f t="shared" ca="1" si="122"/>
        <v>46088</v>
      </c>
      <c r="C766" s="21">
        <f t="shared" ca="1" si="123"/>
        <v>46157</v>
      </c>
      <c r="D766">
        <f t="shared" ca="1" si="124"/>
        <v>25</v>
      </c>
      <c r="E766">
        <f t="shared" ca="1" si="125"/>
        <v>0.15306293622907052</v>
      </c>
      <c r="F766" s="47">
        <f t="shared" ca="1" si="126"/>
        <v>10000</v>
      </c>
      <c r="G766" s="32" t="str">
        <f t="shared" ca="1" si="127"/>
        <v>personal</v>
      </c>
      <c r="H76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766" t="str">
        <f t="shared" ca="1" si="128"/>
        <v>Sí</v>
      </c>
      <c r="J76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66" s="32">
        <f ca="1">IF(Tabla2[[#This Row],[¿cliente deuda abierta?]]="Sí", Tabla2[[#This Row],[Deuda actual]]*Tabla2[[#This Row],[diferencia de días]], "0")</f>
        <v>250000</v>
      </c>
      <c r="L76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0.2</v>
      </c>
      <c r="M76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66" s="32">
        <f ca="1">MAX(Tabla2[[#This Row],[VALORES DE Hg para actuales deudores]:[Valores de HG para deudores cerrados]])*IF(Tabla2[[#This Row],[VALORES DE Hg para actuales deudores]]&gt;Tabla2[[#This Row],[Valores de HG para deudores cerrados]],-1,1)</f>
        <v>0.2</v>
      </c>
      <c r="O766">
        <f t="shared" ca="1" si="129"/>
        <v>1409.36</v>
      </c>
      <c r="P766">
        <f t="shared" ca="1" si="130"/>
        <v>335909.42</v>
      </c>
      <c r="Q766">
        <f t="shared" ca="1" si="131"/>
        <v>5</v>
      </c>
      <c r="R766">
        <f ca="1">((Tabla2[[#This Row],[Fantasma Comunicación]]+1)/(Tabla2[[#This Row],[Fantasma Comunicación]]+RANDBETWEEN(0,5)+2))-0.5</f>
        <v>0.25</v>
      </c>
      <c r="S766" s="51">
        <f ca="1">1+MAX(0,Tabla2[[#This Row],[Deuda actual]]/Tabla2[[#This Row],[Liquidez]]+Tabla2[[#This Row],[Liquidez]]/(Tabla2[[#This Row],[Activos]]+Tabla2[[#This Row],[Liquidez]])+Tabla2[[#This Row],[Comunicación]])</f>
        <v>8.3495973222841009</v>
      </c>
      <c r="T766">
        <f ca="1">Tabla2[[#This Row],[Deuda actual]]*EXP(Tabla2[[#This Row],[Ki]]*Tabla2[[#This Row],[diferencia de días]])*(1+Tabla2[[#This Row],[Hg]])</f>
        <v>12120.602005010014</v>
      </c>
    </row>
    <row r="767" spans="1:20" ht="14.5" x14ac:dyDescent="0.35">
      <c r="A767" t="e">
        <f t="shared" si="121"/>
        <v>#VALUE!</v>
      </c>
      <c r="B767" s="21">
        <f t="shared" ca="1" si="122"/>
        <v>46132</v>
      </c>
      <c r="C767" s="21">
        <f t="shared" ca="1" si="123"/>
        <v>46157</v>
      </c>
      <c r="D767">
        <f t="shared" ca="1" si="124"/>
        <v>18</v>
      </c>
      <c r="E767">
        <f t="shared" ca="1" si="125"/>
        <v>0.40527169291057685</v>
      </c>
      <c r="F767" s="47">
        <f t="shared" ca="1" si="126"/>
        <v>291.01</v>
      </c>
      <c r="G767" s="32" t="str">
        <f t="shared" ca="1" si="127"/>
        <v>hipotecario</v>
      </c>
      <c r="H76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767" t="str">
        <f t="shared" ca="1" si="128"/>
        <v>No</v>
      </c>
      <c r="J76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165000.72822328593</v>
      </c>
      <c r="K767" s="32" t="str">
        <f ca="1">IF(Tabla2[[#This Row],[¿cliente deuda abierta?]]="Sí", Tabla2[[#This Row],[Deuda actual]]*Tabla2[[#This Row],[diferencia de días]], "0")</f>
        <v>0</v>
      </c>
      <c r="L76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6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76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767">
        <f t="shared" ca="1" si="129"/>
        <v>1254.8699999999999</v>
      </c>
      <c r="P767">
        <f t="shared" ca="1" si="130"/>
        <v>285808.34000000003</v>
      </c>
      <c r="Q767">
        <f t="shared" ca="1" si="131"/>
        <v>1</v>
      </c>
      <c r="R767">
        <f ca="1">((Tabla2[[#This Row],[Fantasma Comunicación]]+1)/(Tabla2[[#This Row],[Fantasma Comunicación]]+RANDBETWEEN(0,5)+2))-0.5</f>
        <v>-0.16666666666666669</v>
      </c>
      <c r="S767" s="51">
        <f ca="1">1+MAX(0,Tabla2[[#This Row],[Deuda actual]]/Tabla2[[#This Row],[Liquidez]]+Tabla2[[#This Row],[Liquidez]]/(Tabla2[[#This Row],[Activos]]+Tabla2[[#This Row],[Liquidez]])+Tabla2[[#This Row],[Comunicación]])</f>
        <v>1.0696092399634081</v>
      </c>
      <c r="T767">
        <f ca="1">Tabla2[[#This Row],[Deuda actual]]*EXP(Tabla2[[#This Row],[Ki]]*Tabla2[[#This Row],[diferencia de días]])*(1+Tabla2[[#This Row],[Hg]])</f>
        <v>234.49026649198623</v>
      </c>
    </row>
    <row r="768" spans="1:20" ht="14.5" x14ac:dyDescent="0.35">
      <c r="A768" t="e">
        <f t="shared" si="121"/>
        <v>#VALUE!</v>
      </c>
      <c r="B768" s="21">
        <f t="shared" ca="1" si="122"/>
        <v>46142</v>
      </c>
      <c r="C768" s="21">
        <f t="shared" ca="1" si="123"/>
        <v>46157</v>
      </c>
      <c r="D768">
        <f t="shared" ca="1" si="124"/>
        <v>5</v>
      </c>
      <c r="E768">
        <f t="shared" ca="1" si="125"/>
        <v>0.42086641292185001</v>
      </c>
      <c r="F768" s="47">
        <f t="shared" ca="1" si="126"/>
        <v>303.32</v>
      </c>
      <c r="G768" s="32" t="str">
        <f t="shared" ca="1" si="127"/>
        <v>hipotecario</v>
      </c>
      <c r="H76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68" t="str">
        <f t="shared" ca="1" si="128"/>
        <v>Sí</v>
      </c>
      <c r="J76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68" s="32">
        <f ca="1">IF(Tabla2[[#This Row],[¿cliente deuda abierta?]]="Sí", Tabla2[[#This Row],[Deuda actual]]*Tabla2[[#This Row],[diferencia de días]], "0")</f>
        <v>1516.6</v>
      </c>
      <c r="L76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6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6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68">
        <f t="shared" ca="1" si="129"/>
        <v>2570.8200000000002</v>
      </c>
      <c r="P768">
        <f t="shared" ca="1" si="130"/>
        <v>68658.350000000006</v>
      </c>
      <c r="Q768">
        <f t="shared" ca="1" si="131"/>
        <v>0</v>
      </c>
      <c r="R768">
        <f ca="1">((Tabla2[[#This Row],[Fantasma Comunicación]]+1)/(Tabla2[[#This Row],[Fantasma Comunicación]]+RANDBETWEEN(0,5)+2))-0.5</f>
        <v>0</v>
      </c>
      <c r="S768" s="51">
        <f ca="1">1+MAX(0,Tabla2[[#This Row],[Deuda actual]]/Tabla2[[#This Row],[Liquidez]]+Tabla2[[#This Row],[Liquidez]]/(Tabla2[[#This Row],[Activos]]+Tabla2[[#This Row],[Liquidez]])+Tabla2[[#This Row],[Comunicación]])</f>
        <v>1.1540779368676866</v>
      </c>
      <c r="T768">
        <f ca="1">Tabla2[[#This Row],[Deuda actual]]*EXP(Tabla2[[#This Row],[Ki]]*Tabla2[[#This Row],[diferencia de días]])*(1+Tabla2[[#This Row],[Hg]])</f>
        <v>318.80464529609429</v>
      </c>
    </row>
    <row r="769" spans="1:20" ht="14.5" x14ac:dyDescent="0.35">
      <c r="A769" t="e">
        <f t="shared" si="121"/>
        <v>#VALUE!</v>
      </c>
      <c r="B769" s="21">
        <f t="shared" ca="1" si="122"/>
        <v>46093</v>
      </c>
      <c r="C769" s="21">
        <f t="shared" ca="1" si="123"/>
        <v>46157</v>
      </c>
      <c r="D769">
        <f t="shared" ca="1" si="124"/>
        <v>19</v>
      </c>
      <c r="E769">
        <f t="shared" ca="1" si="125"/>
        <v>0.45199794697498175</v>
      </c>
      <c r="F769" s="47">
        <f t="shared" ca="1" si="126"/>
        <v>7600.44</v>
      </c>
      <c r="G769" s="32" t="str">
        <f t="shared" ca="1" si="127"/>
        <v>hipotecario</v>
      </c>
      <c r="H76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769" t="str">
        <f t="shared" ca="1" si="128"/>
        <v>Sí</v>
      </c>
      <c r="J76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69" s="32">
        <f ca="1">IF(Tabla2[[#This Row],[¿cliente deuda abierta?]]="Sí", Tabla2[[#This Row],[Deuda actual]]*Tabla2[[#This Row],[diferencia de días]], "0")</f>
        <v>144408.35999999999</v>
      </c>
      <c r="L76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76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69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769">
        <f t="shared" ca="1" si="129"/>
        <v>1522.78</v>
      </c>
      <c r="P769">
        <f t="shared" ca="1" si="130"/>
        <v>138284.04999999999</v>
      </c>
      <c r="Q769">
        <f t="shared" ca="1" si="131"/>
        <v>4</v>
      </c>
      <c r="R769">
        <f ca="1">((Tabla2[[#This Row],[Fantasma Comunicación]]+1)/(Tabla2[[#This Row],[Fantasma Comunicación]]+RANDBETWEEN(0,5)+2))-0.5</f>
        <v>0.125</v>
      </c>
      <c r="S769" s="51">
        <f ca="1">1+MAX(0,Tabla2[[#This Row],[Deuda actual]]/Tabla2[[#This Row],[Liquidez]]+Tabla2[[#This Row],[Liquidez]]/(Tabla2[[#This Row],[Activos]]+Tabla2[[#This Row],[Liquidez]])+Tabla2[[#This Row],[Comunicación]])</f>
        <v>6.1270529317506996</v>
      </c>
      <c r="T769">
        <f ca="1">Tabla2[[#This Row],[Deuda actual]]*EXP(Tabla2[[#This Row],[Ki]]*Tabla2[[#This Row],[diferencia de días]])*(1+Tabla2[[#This Row],[Hg]])</f>
        <v>8807.1869121088657</v>
      </c>
    </row>
    <row r="770" spans="1:20" ht="14.5" x14ac:dyDescent="0.35">
      <c r="A770" t="e">
        <f t="shared" ref="A770:A833" si="132">A769+1</f>
        <v>#VALUE!</v>
      </c>
      <c r="B770" s="21">
        <f t="shared" ref="B770:B833" ca="1" si="133">RANDBETWEEN(DATE(2026,3,1), DATE(2026,5,1))</f>
        <v>46087</v>
      </c>
      <c r="C770" s="21">
        <f t="shared" ref="C770:C833" ca="1" si="134">TODAY()</f>
        <v>46157</v>
      </c>
      <c r="D770">
        <f t="shared" ref="D770:D833" ca="1" si="135">ROUND((-(15) * LN(RAND())),0)</f>
        <v>6</v>
      </c>
      <c r="E770">
        <f t="shared" ref="E770:E833" ca="1" si="136">RAND()</f>
        <v>0.58760380568628212</v>
      </c>
      <c r="F770" s="47">
        <f t="shared" ref="F770:F833" ca="1" si="137">ROUND(MIN(10000, _xlfn.LOGNORM.INV(RAND(), 69/10, 13/10)),2)</f>
        <v>1340.31</v>
      </c>
      <c r="G770" s="32" t="str">
        <f t="shared" ref="G770:G833" ca="1" si="138">IF(RAND()&lt;=0.5,"personal","hipotecario")</f>
        <v>personal</v>
      </c>
      <c r="H77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70" t="str">
        <f t="shared" ref="I770:I833" ca="1" si="139">IF(RAND()&lt;=0.65, "Sí", "No")</f>
        <v>Sí</v>
      </c>
      <c r="J77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70" s="32">
        <f ca="1">IF(Tabla2[[#This Row],[¿cliente deuda abierta?]]="Sí", Tabla2[[#This Row],[Deuda actual]]*Tabla2[[#This Row],[diferencia de días]], "0")</f>
        <v>8041.86</v>
      </c>
      <c r="L77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7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7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70">
        <f t="shared" ref="O770:O833" ca="1" si="140">ROUND(1000*(_xlfn.LOGNORM.INV(RAND(), 0.5, 0.2)),2)</f>
        <v>1553.69</v>
      </c>
      <c r="P770">
        <f t="shared" ref="P770:P833" ca="1" si="141">ROUND(50000*(_xlfn.LOGNORM.INV(RAND(), 1, 0.75)),2)</f>
        <v>171330.89</v>
      </c>
      <c r="Q770">
        <f t="shared" ref="Q770:Q833" ca="1" si="142">RANDBETWEEN(0,5)</f>
        <v>0</v>
      </c>
      <c r="R770">
        <f ca="1">((Tabla2[[#This Row],[Fantasma Comunicación]]+1)/(Tabla2[[#This Row],[Fantasma Comunicación]]+RANDBETWEEN(0,5)+2))-0.5</f>
        <v>-0.16666666666666669</v>
      </c>
      <c r="S770" s="51">
        <f ca="1">1+MAX(0,Tabla2[[#This Row],[Deuda actual]]/Tabla2[[#This Row],[Liquidez]]+Tabla2[[#This Row],[Liquidez]]/(Tabla2[[#This Row],[Activos]]+Tabla2[[#This Row],[Liquidez]])+Tabla2[[#This Row],[Comunicación]])</f>
        <v>1.7049826320077668</v>
      </c>
      <c r="T770">
        <f ca="1">Tabla2[[#This Row],[Deuda actual]]*EXP(Tabla2[[#This Row],[Ki]]*Tabla2[[#This Row],[diferencia de días]])*(1+Tabla2[[#This Row],[Hg]])</f>
        <v>1409.0153042797913</v>
      </c>
    </row>
    <row r="771" spans="1:20" ht="14.5" x14ac:dyDescent="0.35">
      <c r="A771" t="e">
        <f t="shared" si="132"/>
        <v>#VALUE!</v>
      </c>
      <c r="B771" s="21">
        <f t="shared" ca="1" si="133"/>
        <v>46097</v>
      </c>
      <c r="C771" s="21">
        <f t="shared" ca="1" si="134"/>
        <v>46157</v>
      </c>
      <c r="D771">
        <f t="shared" ca="1" si="135"/>
        <v>10</v>
      </c>
      <c r="E771">
        <f t="shared" ca="1" si="136"/>
        <v>0.24094500158704513</v>
      </c>
      <c r="F771" s="47">
        <f t="shared" ca="1" si="137"/>
        <v>231.81</v>
      </c>
      <c r="G771" s="32" t="str">
        <f t="shared" ca="1" si="138"/>
        <v>hipotecario</v>
      </c>
      <c r="H77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71" t="str">
        <f t="shared" ca="1" si="139"/>
        <v>Sí</v>
      </c>
      <c r="J77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71" s="32">
        <f ca="1">IF(Tabla2[[#This Row],[¿cliente deuda abierta?]]="Sí", Tabla2[[#This Row],[Deuda actual]]*Tabla2[[#This Row],[diferencia de días]], "0")</f>
        <v>2318.1</v>
      </c>
      <c r="L77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7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7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71">
        <f t="shared" ca="1" si="140"/>
        <v>1415.55</v>
      </c>
      <c r="P771">
        <f t="shared" ca="1" si="141"/>
        <v>171190.6</v>
      </c>
      <c r="Q771">
        <f t="shared" ca="1" si="142"/>
        <v>1</v>
      </c>
      <c r="R771">
        <f ca="1">((Tabla2[[#This Row],[Fantasma Comunicación]]+1)/(Tabla2[[#This Row],[Fantasma Comunicación]]+RANDBETWEEN(0,5)+2))-0.5</f>
        <v>0.16666666666666663</v>
      </c>
      <c r="S771" s="51">
        <f ca="1">1+MAX(0,Tabla2[[#This Row],[Deuda actual]]/Tabla2[[#This Row],[Liquidez]]+Tabla2[[#This Row],[Liquidez]]/(Tabla2[[#This Row],[Activos]]+Tabla2[[#This Row],[Liquidez]])+Tabla2[[#This Row],[Comunicación]])</f>
        <v>1.338627376398442</v>
      </c>
      <c r="T771">
        <f ca="1">Tabla2[[#This Row],[Deuda actual]]*EXP(Tabla2[[#This Row],[Ki]]*Tabla2[[#This Row],[diferencia de días]])*(1+Tabla2[[#This Row],[Hg]])</f>
        <v>243.88778812569637</v>
      </c>
    </row>
    <row r="772" spans="1:20" ht="14.5" x14ac:dyDescent="0.35">
      <c r="A772" t="e">
        <f t="shared" si="132"/>
        <v>#VALUE!</v>
      </c>
      <c r="B772" s="21">
        <f t="shared" ca="1" si="133"/>
        <v>46091</v>
      </c>
      <c r="C772" s="21">
        <f t="shared" ca="1" si="134"/>
        <v>46157</v>
      </c>
      <c r="D772">
        <f t="shared" ca="1" si="135"/>
        <v>11</v>
      </c>
      <c r="E772">
        <f t="shared" ca="1" si="136"/>
        <v>7.3334253158850449E-2</v>
      </c>
      <c r="F772" s="47">
        <f t="shared" ca="1" si="137"/>
        <v>586.16</v>
      </c>
      <c r="G772" s="32" t="str">
        <f t="shared" ca="1" si="138"/>
        <v>hipotecario</v>
      </c>
      <c r="H77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72" t="str">
        <f t="shared" ca="1" si="139"/>
        <v>Sí</v>
      </c>
      <c r="J77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72" s="32">
        <f ca="1">IF(Tabla2[[#This Row],[¿cliente deuda abierta?]]="Sí", Tabla2[[#This Row],[Deuda actual]]*Tabla2[[#This Row],[diferencia de días]], "0")</f>
        <v>6447.7599999999993</v>
      </c>
      <c r="L77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7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7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72">
        <f t="shared" ca="1" si="140"/>
        <v>1859.75</v>
      </c>
      <c r="P772">
        <f t="shared" ca="1" si="141"/>
        <v>83355.83</v>
      </c>
      <c r="Q772">
        <f t="shared" ca="1" si="142"/>
        <v>4</v>
      </c>
      <c r="R772">
        <f ca="1">((Tabla2[[#This Row],[Fantasma Comunicación]]+1)/(Tabla2[[#This Row],[Fantasma Comunicación]]+RANDBETWEEN(0,5)+2))-0.5</f>
        <v>0</v>
      </c>
      <c r="S772" s="51">
        <f ca="1">1+MAX(0,Tabla2[[#This Row],[Deuda actual]]/Tabla2[[#This Row],[Liquidez]]+Tabla2[[#This Row],[Liquidez]]/(Tabla2[[#This Row],[Activos]]+Tabla2[[#This Row],[Liquidez]])+Tabla2[[#This Row],[Comunicación]])</f>
        <v>1.3370062089496058</v>
      </c>
      <c r="T772">
        <f ca="1">Tabla2[[#This Row],[Deuda actual]]*EXP(Tabla2[[#This Row],[Ki]]*Tabla2[[#This Row],[diferencia de días]])*(1+Tabla2[[#This Row],[Hg]])</f>
        <v>616.82352012541151</v>
      </c>
    </row>
    <row r="773" spans="1:20" ht="14.5" x14ac:dyDescent="0.35">
      <c r="A773" t="e">
        <f t="shared" si="132"/>
        <v>#VALUE!</v>
      </c>
      <c r="B773" s="21">
        <f t="shared" ca="1" si="133"/>
        <v>46091</v>
      </c>
      <c r="C773" s="21">
        <f t="shared" ca="1" si="134"/>
        <v>46157</v>
      </c>
      <c r="D773">
        <f t="shared" ca="1" si="135"/>
        <v>43</v>
      </c>
      <c r="E773">
        <f t="shared" ca="1" si="136"/>
        <v>0.79568232097879377</v>
      </c>
      <c r="F773" s="47">
        <f t="shared" ca="1" si="137"/>
        <v>264.44</v>
      </c>
      <c r="G773" s="32" t="str">
        <f t="shared" ca="1" si="138"/>
        <v>hipotecario</v>
      </c>
      <c r="H77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773" t="str">
        <f t="shared" ca="1" si="139"/>
        <v>No</v>
      </c>
      <c r="J77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164999.75408210914</v>
      </c>
      <c r="K773" s="32" t="str">
        <f ca="1">IF(Tabla2[[#This Row],[¿cliente deuda abierta?]]="Sí", Tabla2[[#This Row],[Deuda actual]]*Tabla2[[#This Row],[diferencia de días]], "0")</f>
        <v>0</v>
      </c>
      <c r="L77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7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77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773">
        <f t="shared" ca="1" si="140"/>
        <v>1505.11</v>
      </c>
      <c r="P773">
        <f t="shared" ca="1" si="141"/>
        <v>35307.64</v>
      </c>
      <c r="Q773">
        <f t="shared" ca="1" si="142"/>
        <v>0</v>
      </c>
      <c r="R773">
        <f ca="1">((Tabla2[[#This Row],[Fantasma Comunicación]]+1)/(Tabla2[[#This Row],[Fantasma Comunicación]]+RANDBETWEEN(0,5)+2))-0.5</f>
        <v>-0.35714285714285715</v>
      </c>
      <c r="S773" s="51">
        <f ca="1">1+MAX(0,Tabla2[[#This Row],[Deuda actual]]/Tabla2[[#This Row],[Liquidez]]+Tabla2[[#This Row],[Liquidez]]/(Tabla2[[#This Row],[Activos]]+Tabla2[[#This Row],[Liquidez]])+Tabla2[[#This Row],[Comunicación]])</f>
        <v>1</v>
      </c>
      <c r="T773">
        <f ca="1">Tabla2[[#This Row],[Deuda actual]]*EXP(Tabla2[[#This Row],[Ki]]*Tabla2[[#This Row],[diferencia de días]])*(1+Tabla2[[#This Row],[Hg]])</f>
        <v>220.8471495314368</v>
      </c>
    </row>
    <row r="774" spans="1:20" ht="14.5" x14ac:dyDescent="0.35">
      <c r="A774" t="e">
        <f t="shared" si="132"/>
        <v>#VALUE!</v>
      </c>
      <c r="B774" s="21">
        <f t="shared" ca="1" si="133"/>
        <v>46111</v>
      </c>
      <c r="C774" s="21">
        <f t="shared" ca="1" si="134"/>
        <v>46157</v>
      </c>
      <c r="D774">
        <f t="shared" ca="1" si="135"/>
        <v>32</v>
      </c>
      <c r="E774">
        <f t="shared" ca="1" si="136"/>
        <v>0.59286734446735112</v>
      </c>
      <c r="F774" s="47">
        <f t="shared" ca="1" si="137"/>
        <v>3206.62</v>
      </c>
      <c r="G774" s="32" t="str">
        <f t="shared" ca="1" si="138"/>
        <v>hipotecario</v>
      </c>
      <c r="H77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774" t="str">
        <f t="shared" ca="1" si="139"/>
        <v>No</v>
      </c>
      <c r="J77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165000.60169030333</v>
      </c>
      <c r="K774" s="32" t="str">
        <f ca="1">IF(Tabla2[[#This Row],[¿cliente deuda abierta?]]="Sí", Tabla2[[#This Row],[Deuda actual]]*Tabla2[[#This Row],[diferencia de días]], "0")</f>
        <v>0</v>
      </c>
      <c r="L77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7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77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774">
        <f t="shared" ca="1" si="140"/>
        <v>1915.2</v>
      </c>
      <c r="P774">
        <f t="shared" ca="1" si="141"/>
        <v>46728.89</v>
      </c>
      <c r="Q774">
        <f t="shared" ca="1" si="142"/>
        <v>0</v>
      </c>
      <c r="R774">
        <f ca="1">((Tabla2[[#This Row],[Fantasma Comunicación]]+1)/(Tabla2[[#This Row],[Fantasma Comunicación]]+RANDBETWEEN(0,5)+2))-0.5</f>
        <v>-0.25</v>
      </c>
      <c r="S774" s="51">
        <f ca="1">1+MAX(0,Tabla2[[#This Row],[Deuda actual]]/Tabla2[[#This Row],[Liquidez]]+Tabla2[[#This Row],[Liquidez]]/(Tabla2[[#This Row],[Activos]]+Tabla2[[#This Row],[Liquidez]])+Tabla2[[#This Row],[Comunicación]])</f>
        <v>2.4636720235147784</v>
      </c>
      <c r="T774">
        <f ca="1">Tabla2[[#This Row],[Deuda actual]]*EXP(Tabla2[[#This Row],[Ki]]*Tabla2[[#This Row],[diferencia de días]])*(1+Tabla2[[#This Row],[Hg]])</f>
        <v>2648.7130262891988</v>
      </c>
    </row>
    <row r="775" spans="1:20" ht="14.5" x14ac:dyDescent="0.35">
      <c r="A775" t="e">
        <f t="shared" si="132"/>
        <v>#VALUE!</v>
      </c>
      <c r="B775" s="21">
        <f t="shared" ca="1" si="133"/>
        <v>46090</v>
      </c>
      <c r="C775" s="21">
        <f t="shared" ca="1" si="134"/>
        <v>46157</v>
      </c>
      <c r="D775">
        <f t="shared" ca="1" si="135"/>
        <v>4</v>
      </c>
      <c r="E775">
        <f t="shared" ca="1" si="136"/>
        <v>0.8425139947319864</v>
      </c>
      <c r="F775" s="47">
        <f t="shared" ca="1" si="137"/>
        <v>4109.5200000000004</v>
      </c>
      <c r="G775" s="32" t="str">
        <f t="shared" ca="1" si="138"/>
        <v>hipotecario</v>
      </c>
      <c r="H77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75" t="str">
        <f t="shared" ca="1" si="139"/>
        <v>Sí</v>
      </c>
      <c r="J77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75" s="32">
        <f ca="1">IF(Tabla2[[#This Row],[¿cliente deuda abierta?]]="Sí", Tabla2[[#This Row],[Deuda actual]]*Tabla2[[#This Row],[diferencia de días]], "0")</f>
        <v>16438.080000000002</v>
      </c>
      <c r="L77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7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7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75">
        <f t="shared" ca="1" si="140"/>
        <v>2161.36</v>
      </c>
      <c r="P775">
        <f t="shared" ca="1" si="141"/>
        <v>132523.62</v>
      </c>
      <c r="Q775">
        <f t="shared" ca="1" si="142"/>
        <v>0</v>
      </c>
      <c r="R775">
        <f ca="1">((Tabla2[[#This Row],[Fantasma Comunicación]]+1)/(Tabla2[[#This Row],[Fantasma Comunicación]]+RANDBETWEEN(0,5)+2))-0.5</f>
        <v>-0.25</v>
      </c>
      <c r="S775" s="51">
        <f ca="1">1+MAX(0,Tabla2[[#This Row],[Deuda actual]]/Tabla2[[#This Row],[Liquidez]]+Tabla2[[#This Row],[Liquidez]]/(Tabla2[[#This Row],[Activos]]+Tabla2[[#This Row],[Liquidez]])+Tabla2[[#This Row],[Comunicación]])</f>
        <v>2.6674059246342452</v>
      </c>
      <c r="T775">
        <f ca="1">Tabla2[[#This Row],[Deuda actual]]*EXP(Tabla2[[#This Row],[Ki]]*Tabla2[[#This Row],[diferencia de días]])*(1+Tabla2[[#This Row],[Hg]])</f>
        <v>4318.4493779670074</v>
      </c>
    </row>
    <row r="776" spans="1:20" ht="14.5" x14ac:dyDescent="0.35">
      <c r="A776" t="e">
        <f t="shared" si="132"/>
        <v>#VALUE!</v>
      </c>
      <c r="B776" s="21">
        <f t="shared" ca="1" si="133"/>
        <v>46142</v>
      </c>
      <c r="C776" s="21">
        <f t="shared" ca="1" si="134"/>
        <v>46157</v>
      </c>
      <c r="D776">
        <f t="shared" ca="1" si="135"/>
        <v>4</v>
      </c>
      <c r="E776">
        <f t="shared" ca="1" si="136"/>
        <v>0.45059650610529145</v>
      </c>
      <c r="F776" s="47">
        <f t="shared" ca="1" si="137"/>
        <v>628.76</v>
      </c>
      <c r="G776" s="32" t="str">
        <f t="shared" ca="1" si="138"/>
        <v>personal</v>
      </c>
      <c r="H77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76" t="str">
        <f t="shared" ca="1" si="139"/>
        <v>No</v>
      </c>
      <c r="J77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12000.666857222928</v>
      </c>
      <c r="K776" s="32" t="str">
        <f ca="1">IF(Tabla2[[#This Row],[¿cliente deuda abierta?]]="Sí", Tabla2[[#This Row],[Deuda actual]]*Tabla2[[#This Row],[diferencia de días]], "0")</f>
        <v>0</v>
      </c>
      <c r="L77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7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77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776">
        <f t="shared" ca="1" si="140"/>
        <v>1352.61</v>
      </c>
      <c r="P776">
        <f t="shared" ca="1" si="141"/>
        <v>80355.460000000006</v>
      </c>
      <c r="Q776">
        <f t="shared" ca="1" si="142"/>
        <v>0</v>
      </c>
      <c r="R776">
        <f ca="1">((Tabla2[[#This Row],[Fantasma Comunicación]]+1)/(Tabla2[[#This Row],[Fantasma Comunicación]]+RANDBETWEEN(0,5)+2))-0.5</f>
        <v>-0.35714285714285715</v>
      </c>
      <c r="S776" s="51">
        <f ca="1">1+MAX(0,Tabla2[[#This Row],[Deuda actual]]/Tabla2[[#This Row],[Liquidez]]+Tabla2[[#This Row],[Liquidez]]/(Tabla2[[#This Row],[Activos]]+Tabla2[[#This Row],[Liquidez]])+Tabla2[[#This Row],[Comunicación]])</f>
        <v>1.1242607608872033</v>
      </c>
      <c r="T776">
        <f ca="1">Tabla2[[#This Row],[Deuda actual]]*EXP(Tabla2[[#This Row],[Ki]]*Tabla2[[#This Row],[diferencia de días]])*(1+Tabla2[[#This Row],[Hg]])</f>
        <v>566.33688833117844</v>
      </c>
    </row>
    <row r="777" spans="1:20" ht="14.5" x14ac:dyDescent="0.35">
      <c r="A777" t="e">
        <f t="shared" si="132"/>
        <v>#VALUE!</v>
      </c>
      <c r="B777" s="21">
        <f t="shared" ca="1" si="133"/>
        <v>46138</v>
      </c>
      <c r="C777" s="21">
        <f t="shared" ca="1" si="134"/>
        <v>46157</v>
      </c>
      <c r="D777">
        <f t="shared" ca="1" si="135"/>
        <v>4</v>
      </c>
      <c r="E777">
        <f t="shared" ca="1" si="136"/>
        <v>0.67927712769268178</v>
      </c>
      <c r="F777" s="47">
        <f t="shared" ca="1" si="137"/>
        <v>5667.28</v>
      </c>
      <c r="G777" s="32" t="str">
        <f t="shared" ca="1" si="138"/>
        <v>hipotecario</v>
      </c>
      <c r="H77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77" t="str">
        <f t="shared" ca="1" si="139"/>
        <v>Sí</v>
      </c>
      <c r="J77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77" s="32">
        <f ca="1">IF(Tabla2[[#This Row],[¿cliente deuda abierta?]]="Sí", Tabla2[[#This Row],[Deuda actual]]*Tabla2[[#This Row],[diferencia de días]], "0")</f>
        <v>22669.119999999999</v>
      </c>
      <c r="L77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7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7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77">
        <f t="shared" ca="1" si="140"/>
        <v>2572.14</v>
      </c>
      <c r="P777">
        <f t="shared" ca="1" si="141"/>
        <v>153366.15</v>
      </c>
      <c r="Q777">
        <f t="shared" ca="1" si="142"/>
        <v>4</v>
      </c>
      <c r="R777">
        <f ca="1">((Tabla2[[#This Row],[Fantasma Comunicación]]+1)/(Tabla2[[#This Row],[Fantasma Comunicación]]+RANDBETWEEN(0,5)+2))-0.5</f>
        <v>-4.545454545454547E-2</v>
      </c>
      <c r="S777" s="51">
        <f ca="1">1+MAX(0,Tabla2[[#This Row],[Deuda actual]]/Tabla2[[#This Row],[Liquidez]]+Tabla2[[#This Row],[Liquidez]]/(Tabla2[[#This Row],[Activos]]+Tabla2[[#This Row],[Liquidez]])+Tabla2[[#This Row],[Comunicación]])</f>
        <v>3.1743726898793083</v>
      </c>
      <c r="T777">
        <f ca="1">Tabla2[[#This Row],[Deuda actual]]*EXP(Tabla2[[#This Row],[Ki]]*Tabla2[[#This Row],[diferencia de días]])*(1+Tabla2[[#This Row],[Hg]])</f>
        <v>5955.4064199139693</v>
      </c>
    </row>
    <row r="778" spans="1:20" ht="14.5" x14ac:dyDescent="0.35">
      <c r="A778" t="e">
        <f t="shared" si="132"/>
        <v>#VALUE!</v>
      </c>
      <c r="B778" s="21">
        <f t="shared" ca="1" si="133"/>
        <v>46119</v>
      </c>
      <c r="C778" s="21">
        <f t="shared" ca="1" si="134"/>
        <v>46157</v>
      </c>
      <c r="D778">
        <f t="shared" ca="1" si="135"/>
        <v>30</v>
      </c>
      <c r="E778">
        <f t="shared" ca="1" si="136"/>
        <v>8.9696325010322986E-2</v>
      </c>
      <c r="F778" s="47">
        <f t="shared" ca="1" si="137"/>
        <v>577.99</v>
      </c>
      <c r="G778" s="32" t="str">
        <f t="shared" ca="1" si="138"/>
        <v>personal</v>
      </c>
      <c r="H77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778" t="str">
        <f t="shared" ca="1" si="139"/>
        <v>No</v>
      </c>
      <c r="J77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12000.273321780234</v>
      </c>
      <c r="K778" s="32" t="str">
        <f ca="1">IF(Tabla2[[#This Row],[¿cliente deuda abierta?]]="Sí", Tabla2[[#This Row],[Deuda actual]]*Tabla2[[#This Row],[diferencia de días]], "0")</f>
        <v>0</v>
      </c>
      <c r="L77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7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77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778">
        <f t="shared" ca="1" si="140"/>
        <v>2028.42</v>
      </c>
      <c r="P778">
        <f t="shared" ca="1" si="141"/>
        <v>64922.68</v>
      </c>
      <c r="Q778">
        <f t="shared" ca="1" si="142"/>
        <v>4</v>
      </c>
      <c r="R778">
        <f ca="1">((Tabla2[[#This Row],[Fantasma Comunicación]]+1)/(Tabla2[[#This Row],[Fantasma Comunicación]]+RANDBETWEEN(0,5)+2))-0.5</f>
        <v>0.2142857142857143</v>
      </c>
      <c r="S778" s="51">
        <f ca="1">1+MAX(0,Tabla2[[#This Row],[Deuda actual]]/Tabla2[[#This Row],[Liquidez]]+Tabla2[[#This Row],[Liquidez]]/(Tabla2[[#This Row],[Activos]]+Tabla2[[#This Row],[Liquidez]])+Tabla2[[#This Row],[Comunicación]])</f>
        <v>1.5295286704725568</v>
      </c>
      <c r="T778">
        <f ca="1">Tabla2[[#This Row],[Deuda actual]]*EXP(Tabla2[[#This Row],[Ki]]*Tabla2[[#This Row],[diferencia de días]])*(1+Tabla2[[#This Row],[Hg]])</f>
        <v>536.03317447181394</v>
      </c>
    </row>
    <row r="779" spans="1:20" ht="14.5" x14ac:dyDescent="0.35">
      <c r="A779" t="e">
        <f t="shared" si="132"/>
        <v>#VALUE!</v>
      </c>
      <c r="B779" s="21">
        <f t="shared" ca="1" si="133"/>
        <v>46094</v>
      </c>
      <c r="C779" s="21">
        <f t="shared" ca="1" si="134"/>
        <v>46157</v>
      </c>
      <c r="D779">
        <f t="shared" ca="1" si="135"/>
        <v>35</v>
      </c>
      <c r="E779">
        <f t="shared" ca="1" si="136"/>
        <v>0.2534176520775121</v>
      </c>
      <c r="F779" s="47">
        <f t="shared" ca="1" si="137"/>
        <v>7959.15</v>
      </c>
      <c r="G779" s="32" t="str">
        <f t="shared" ca="1" si="138"/>
        <v>personal</v>
      </c>
      <c r="H77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779" t="str">
        <f t="shared" ca="1" si="139"/>
        <v>No</v>
      </c>
      <c r="J77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12000.269564254393</v>
      </c>
      <c r="K779" s="32" t="str">
        <f ca="1">IF(Tabla2[[#This Row],[¿cliente deuda abierta?]]="Sí", Tabla2[[#This Row],[Deuda actual]]*Tabla2[[#This Row],[diferencia de días]], "0")</f>
        <v>0</v>
      </c>
      <c r="L77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7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77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779">
        <f t="shared" ca="1" si="140"/>
        <v>1799.6</v>
      </c>
      <c r="P779">
        <f t="shared" ca="1" si="141"/>
        <v>247142.09</v>
      </c>
      <c r="Q779">
        <f t="shared" ca="1" si="142"/>
        <v>3</v>
      </c>
      <c r="R779">
        <f ca="1">((Tabla2[[#This Row],[Fantasma Comunicación]]+1)/(Tabla2[[#This Row],[Fantasma Comunicación]]+RANDBETWEEN(0,5)+2))-0.5</f>
        <v>-5.555555555555558E-2</v>
      </c>
      <c r="S779" s="51">
        <f ca="1">1+MAX(0,Tabla2[[#This Row],[Deuda actual]]/Tabla2[[#This Row],[Liquidez]]+Tabla2[[#This Row],[Liquidez]]/(Tabla2[[#This Row],[Activos]]+Tabla2[[#This Row],[Liquidez]])+Tabla2[[#This Row],[Comunicación]])</f>
        <v>5.3744062760629685</v>
      </c>
      <c r="T779">
        <f ca="1">Tabla2[[#This Row],[Deuda actual]]*EXP(Tabla2[[#This Row],[Ki]]*Tabla2[[#This Row],[diferencia de días]])*(1+Tabla2[[#This Row],[Hg]])</f>
        <v>7418.3873447632695</v>
      </c>
    </row>
    <row r="780" spans="1:20" ht="14.5" x14ac:dyDescent="0.35">
      <c r="A780" t="e">
        <f t="shared" si="132"/>
        <v>#VALUE!</v>
      </c>
      <c r="B780" s="21">
        <f t="shared" ca="1" si="133"/>
        <v>46108</v>
      </c>
      <c r="C780" s="21">
        <f t="shared" ca="1" si="134"/>
        <v>46157</v>
      </c>
      <c r="D780">
        <f t="shared" ca="1" si="135"/>
        <v>26</v>
      </c>
      <c r="E780">
        <f t="shared" ca="1" si="136"/>
        <v>0.93417656294109119</v>
      </c>
      <c r="F780" s="47">
        <f t="shared" ca="1" si="137"/>
        <v>614.38</v>
      </c>
      <c r="G780" s="32" t="str">
        <f t="shared" ca="1" si="138"/>
        <v>personal</v>
      </c>
      <c r="H78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780" t="str">
        <f t="shared" ca="1" si="139"/>
        <v>Sí</v>
      </c>
      <c r="J78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80" s="32">
        <f ca="1">IF(Tabla2[[#This Row],[¿cliente deuda abierta?]]="Sí", Tabla2[[#This Row],[Deuda actual]]*Tabla2[[#This Row],[diferencia de días]], "0")</f>
        <v>15973.88</v>
      </c>
      <c r="L78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8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8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80">
        <f t="shared" ca="1" si="140"/>
        <v>1718.33</v>
      </c>
      <c r="P780">
        <f t="shared" ca="1" si="141"/>
        <v>137285.79999999999</v>
      </c>
      <c r="Q780">
        <f t="shared" ca="1" si="142"/>
        <v>4</v>
      </c>
      <c r="R780">
        <f ca="1">((Tabla2[[#This Row],[Fantasma Comunicación]]+1)/(Tabla2[[#This Row],[Fantasma Comunicación]]+RANDBETWEEN(0,5)+2))-0.5</f>
        <v>-4.545454545454547E-2</v>
      </c>
      <c r="S780" s="51">
        <f ca="1">1+MAX(0,Tabla2[[#This Row],[Deuda actual]]/Tabla2[[#This Row],[Liquidez]]+Tabla2[[#This Row],[Liquidez]]/(Tabla2[[#This Row],[Activos]]+Tabla2[[#This Row],[Liquidez]])+Tabla2[[#This Row],[Comunicación]])</f>
        <v>1.3244519990813244</v>
      </c>
      <c r="T780">
        <f ca="1">Tabla2[[#This Row],[Deuda actual]]*EXP(Tabla2[[#This Row],[Ki]]*Tabla2[[#This Row],[diferencia de días]])*(1+Tabla2[[#This Row],[Hg]])</f>
        <v>651.8430378104631</v>
      </c>
    </row>
    <row r="781" spans="1:20" ht="14.5" x14ac:dyDescent="0.35">
      <c r="A781" t="e">
        <f t="shared" si="132"/>
        <v>#VALUE!</v>
      </c>
      <c r="B781" s="21">
        <f t="shared" ca="1" si="133"/>
        <v>46118</v>
      </c>
      <c r="C781" s="21">
        <f t="shared" ca="1" si="134"/>
        <v>46157</v>
      </c>
      <c r="D781">
        <f t="shared" ca="1" si="135"/>
        <v>3</v>
      </c>
      <c r="E781">
        <f t="shared" ca="1" si="136"/>
        <v>0.48464699033095582</v>
      </c>
      <c r="F781" s="47">
        <f t="shared" ca="1" si="137"/>
        <v>1124.8599999999999</v>
      </c>
      <c r="G781" s="32" t="str">
        <f t="shared" ca="1" si="138"/>
        <v>personal</v>
      </c>
      <c r="H78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81" t="str">
        <f t="shared" ca="1" si="139"/>
        <v>No</v>
      </c>
      <c r="J78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11999.887899439394</v>
      </c>
      <c r="K781" s="32" t="str">
        <f ca="1">IF(Tabla2[[#This Row],[¿cliente deuda abierta?]]="Sí", Tabla2[[#This Row],[Deuda actual]]*Tabla2[[#This Row],[diferencia de días]], "0")</f>
        <v>0</v>
      </c>
      <c r="L78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8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78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781">
        <f t="shared" ca="1" si="140"/>
        <v>1438.53</v>
      </c>
      <c r="P781">
        <f t="shared" ca="1" si="141"/>
        <v>241139</v>
      </c>
      <c r="Q781">
        <f t="shared" ca="1" si="142"/>
        <v>0</v>
      </c>
      <c r="R781">
        <f ca="1">((Tabla2[[#This Row],[Fantasma Comunicación]]+1)/(Tabla2[[#This Row],[Fantasma Comunicación]]+RANDBETWEEN(0,5)+2))-0.5</f>
        <v>-0.3</v>
      </c>
      <c r="S781" s="51">
        <f ca="1">1+MAX(0,Tabla2[[#This Row],[Deuda actual]]/Tabla2[[#This Row],[Liquidez]]+Tabla2[[#This Row],[Liquidez]]/(Tabla2[[#This Row],[Activos]]+Tabla2[[#This Row],[Liquidez]])+Tabla2[[#This Row],[Comunicación]])</f>
        <v>1.4878812059698043</v>
      </c>
      <c r="T781">
        <f ca="1">Tabla2[[#This Row],[Deuda actual]]*EXP(Tabla2[[#This Row],[Ki]]*Tabla2[[#This Row],[diferencia de días]])*(1+Tabla2[[#This Row],[Hg]])</f>
        <v>1012.9816066637708</v>
      </c>
    </row>
    <row r="782" spans="1:20" ht="14.5" x14ac:dyDescent="0.35">
      <c r="A782" t="e">
        <f t="shared" si="132"/>
        <v>#VALUE!</v>
      </c>
      <c r="B782" s="21">
        <f t="shared" ca="1" si="133"/>
        <v>46112</v>
      </c>
      <c r="C782" s="21">
        <f t="shared" ca="1" si="134"/>
        <v>46157</v>
      </c>
      <c r="D782">
        <f t="shared" ca="1" si="135"/>
        <v>13</v>
      </c>
      <c r="E782">
        <f t="shared" ca="1" si="136"/>
        <v>0.38377635923358711</v>
      </c>
      <c r="F782" s="47">
        <f t="shared" ca="1" si="137"/>
        <v>149.61000000000001</v>
      </c>
      <c r="G782" s="32" t="str">
        <f t="shared" ca="1" si="138"/>
        <v>hipotecario</v>
      </c>
      <c r="H78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82" t="str">
        <f t="shared" ca="1" si="139"/>
        <v>Sí</v>
      </c>
      <c r="J78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82" s="32">
        <f ca="1">IF(Tabla2[[#This Row],[¿cliente deuda abierta?]]="Sí", Tabla2[[#This Row],[Deuda actual]]*Tabla2[[#This Row],[diferencia de días]], "0")</f>
        <v>1944.9300000000003</v>
      </c>
      <c r="L78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8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8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82">
        <f t="shared" ca="1" si="140"/>
        <v>1716.72</v>
      </c>
      <c r="P782">
        <f t="shared" ca="1" si="141"/>
        <v>100926.15</v>
      </c>
      <c r="Q782">
        <f t="shared" ca="1" si="142"/>
        <v>4</v>
      </c>
      <c r="R782">
        <f ca="1">((Tabla2[[#This Row],[Fantasma Comunicación]]+1)/(Tabla2[[#This Row],[Fantasma Comunicación]]+RANDBETWEEN(0,5)+2))-0.5</f>
        <v>0.125</v>
      </c>
      <c r="S782" s="51">
        <f ca="1">1+MAX(0,Tabla2[[#This Row],[Deuda actual]]/Tabla2[[#This Row],[Liquidez]]+Tabla2[[#This Row],[Liquidez]]/(Tabla2[[#This Row],[Activos]]+Tabla2[[#This Row],[Liquidez]])+Tabla2[[#This Row],[Comunicación]])</f>
        <v>1.2288739241347526</v>
      </c>
      <c r="T782">
        <f ca="1">Tabla2[[#This Row],[Deuda actual]]*EXP(Tabla2[[#This Row],[Ki]]*Tabla2[[#This Row],[diferencia de días]])*(1+Tabla2[[#This Row],[Hg]])</f>
        <v>157.49946672635971</v>
      </c>
    </row>
    <row r="783" spans="1:20" ht="14.5" x14ac:dyDescent="0.35">
      <c r="A783" t="e">
        <f t="shared" si="132"/>
        <v>#VALUE!</v>
      </c>
      <c r="B783" s="21">
        <f t="shared" ca="1" si="133"/>
        <v>46107</v>
      </c>
      <c r="C783" s="21">
        <f t="shared" ca="1" si="134"/>
        <v>46157</v>
      </c>
      <c r="D783">
        <f t="shared" ca="1" si="135"/>
        <v>3</v>
      </c>
      <c r="E783">
        <f t="shared" ca="1" si="136"/>
        <v>0.1734706081505224</v>
      </c>
      <c r="F783" s="47">
        <f t="shared" ca="1" si="137"/>
        <v>154</v>
      </c>
      <c r="G783" s="32" t="str">
        <f t="shared" ca="1" si="138"/>
        <v>personal</v>
      </c>
      <c r="H78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83" t="str">
        <f t="shared" ca="1" si="139"/>
        <v>Sí</v>
      </c>
      <c r="J78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83" s="32">
        <f ca="1">IF(Tabla2[[#This Row],[¿cliente deuda abierta?]]="Sí", Tabla2[[#This Row],[Deuda actual]]*Tabla2[[#This Row],[diferencia de días]], "0")</f>
        <v>462</v>
      </c>
      <c r="L78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8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8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83">
        <f t="shared" ca="1" si="140"/>
        <v>1838.42</v>
      </c>
      <c r="P783">
        <f t="shared" ca="1" si="141"/>
        <v>41642.67</v>
      </c>
      <c r="Q783">
        <f t="shared" ca="1" si="142"/>
        <v>0</v>
      </c>
      <c r="R783">
        <f ca="1">((Tabla2[[#This Row],[Fantasma Comunicación]]+1)/(Tabla2[[#This Row],[Fantasma Comunicación]]+RANDBETWEEN(0,5)+2))-0.5</f>
        <v>-0.33333333333333337</v>
      </c>
      <c r="S783" s="51">
        <f ca="1">1+MAX(0,Tabla2[[#This Row],[Deuda actual]]/Tabla2[[#This Row],[Liquidez]]+Tabla2[[#This Row],[Liquidez]]/(Tabla2[[#This Row],[Activos]]+Tabla2[[#This Row],[Liquidez]])+Tabla2[[#This Row],[Comunicación]])</f>
        <v>1</v>
      </c>
      <c r="T783">
        <f ca="1">Tabla2[[#This Row],[Deuda actual]]*EXP(Tabla2[[#This Row],[Ki]]*Tabla2[[#This Row],[diferencia de días]])*(1+Tabla2[[#This Row],[Hg]])</f>
        <v>161.79704911182208</v>
      </c>
    </row>
    <row r="784" spans="1:20" ht="14.5" x14ac:dyDescent="0.35">
      <c r="A784" t="e">
        <f t="shared" si="132"/>
        <v>#VALUE!</v>
      </c>
      <c r="B784" s="21">
        <f t="shared" ca="1" si="133"/>
        <v>46132</v>
      </c>
      <c r="C784" s="21">
        <f t="shared" ca="1" si="134"/>
        <v>46157</v>
      </c>
      <c r="D784">
        <f t="shared" ca="1" si="135"/>
        <v>2</v>
      </c>
      <c r="E784">
        <f t="shared" ca="1" si="136"/>
        <v>0.44444679924424091</v>
      </c>
      <c r="F784" s="47">
        <f t="shared" ca="1" si="137"/>
        <v>295.44</v>
      </c>
      <c r="G784" s="32" t="str">
        <f t="shared" ca="1" si="138"/>
        <v>personal</v>
      </c>
      <c r="H78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84" t="str">
        <f t="shared" ca="1" si="139"/>
        <v>Sí</v>
      </c>
      <c r="J78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84" s="32">
        <f ca="1">IF(Tabla2[[#This Row],[¿cliente deuda abierta?]]="Sí", Tabla2[[#This Row],[Deuda actual]]*Tabla2[[#This Row],[diferencia de días]], "0")</f>
        <v>590.88</v>
      </c>
      <c r="L78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8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8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84">
        <f t="shared" ca="1" si="140"/>
        <v>1248.1099999999999</v>
      </c>
      <c r="P784">
        <f t="shared" ca="1" si="141"/>
        <v>115271.08</v>
      </c>
      <c r="Q784">
        <f t="shared" ca="1" si="142"/>
        <v>5</v>
      </c>
      <c r="R784">
        <f ca="1">((Tabla2[[#This Row],[Fantasma Comunicación]]+1)/(Tabla2[[#This Row],[Fantasma Comunicación]]+RANDBETWEEN(0,5)+2))-0.5</f>
        <v>0.25</v>
      </c>
      <c r="S784" s="51">
        <f ca="1">1+MAX(0,Tabla2[[#This Row],[Deuda actual]]/Tabla2[[#This Row],[Liquidez]]+Tabla2[[#This Row],[Liquidez]]/(Tabla2[[#This Row],[Activos]]+Tabla2[[#This Row],[Liquidez]])+Tabla2[[#This Row],[Comunicación]])</f>
        <v>1.4974215315047807</v>
      </c>
      <c r="T784">
        <f ca="1">Tabla2[[#This Row],[Deuda actual]]*EXP(Tabla2[[#This Row],[Ki]]*Tabla2[[#This Row],[diferencia de días]])*(1+Tabla2[[#This Row],[Hg]])</f>
        <v>310.33610962026933</v>
      </c>
    </row>
    <row r="785" spans="1:20" ht="14.5" x14ac:dyDescent="0.35">
      <c r="A785" t="e">
        <f t="shared" si="132"/>
        <v>#VALUE!</v>
      </c>
      <c r="B785" s="21">
        <f t="shared" ca="1" si="133"/>
        <v>46138</v>
      </c>
      <c r="C785" s="21">
        <f t="shared" ca="1" si="134"/>
        <v>46157</v>
      </c>
      <c r="D785">
        <f t="shared" ca="1" si="135"/>
        <v>10</v>
      </c>
      <c r="E785">
        <f t="shared" ca="1" si="136"/>
        <v>0.16944021960742417</v>
      </c>
      <c r="F785" s="47">
        <f t="shared" ca="1" si="137"/>
        <v>1852.74</v>
      </c>
      <c r="G785" s="32" t="str">
        <f t="shared" ca="1" si="138"/>
        <v>hipotecario</v>
      </c>
      <c r="H78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85" t="str">
        <f t="shared" ca="1" si="139"/>
        <v>Sí</v>
      </c>
      <c r="J78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85" s="32">
        <f ca="1">IF(Tabla2[[#This Row],[¿cliente deuda abierta?]]="Sí", Tabla2[[#This Row],[Deuda actual]]*Tabla2[[#This Row],[diferencia de días]], "0")</f>
        <v>18527.400000000001</v>
      </c>
      <c r="L78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8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8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85">
        <f t="shared" ca="1" si="140"/>
        <v>1662.1</v>
      </c>
      <c r="P785">
        <f t="shared" ca="1" si="141"/>
        <v>222025.15</v>
      </c>
      <c r="Q785">
        <f t="shared" ca="1" si="142"/>
        <v>1</v>
      </c>
      <c r="R785">
        <f ca="1">((Tabla2[[#This Row],[Fantasma Comunicación]]+1)/(Tabla2[[#This Row],[Fantasma Comunicación]]+RANDBETWEEN(0,5)+2))-0.5</f>
        <v>0.16666666666666663</v>
      </c>
      <c r="S785" s="51">
        <f ca="1">1+MAX(0,Tabla2[[#This Row],[Deuda actual]]/Tabla2[[#This Row],[Liquidez]]+Tabla2[[#This Row],[Liquidez]]/(Tabla2[[#This Row],[Activos]]+Tabla2[[#This Row],[Liquidez]])+Tabla2[[#This Row],[Comunicación]])</f>
        <v>2.288795403674416</v>
      </c>
      <c r="T785">
        <f ca="1">Tabla2[[#This Row],[Deuda actual]]*EXP(Tabla2[[#This Row],[Ki]]*Tabla2[[#This Row],[diferencia de días]])*(1+Tabla2[[#This Row],[Hg]])</f>
        <v>1949.2716473491337</v>
      </c>
    </row>
    <row r="786" spans="1:20" ht="14.5" x14ac:dyDescent="0.35">
      <c r="A786" t="e">
        <f t="shared" si="132"/>
        <v>#VALUE!</v>
      </c>
      <c r="B786" s="21">
        <f t="shared" ca="1" si="133"/>
        <v>46135</v>
      </c>
      <c r="C786" s="21">
        <f t="shared" ca="1" si="134"/>
        <v>46157</v>
      </c>
      <c r="D786">
        <f t="shared" ca="1" si="135"/>
        <v>12</v>
      </c>
      <c r="E786">
        <f t="shared" ca="1" si="136"/>
        <v>0.1432179565824776</v>
      </c>
      <c r="F786" s="47">
        <f t="shared" ca="1" si="137"/>
        <v>809.96</v>
      </c>
      <c r="G786" s="32" t="str">
        <f t="shared" ca="1" si="138"/>
        <v>hipotecario</v>
      </c>
      <c r="H78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86" t="str">
        <f t="shared" ca="1" si="139"/>
        <v>Sí</v>
      </c>
      <c r="J78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86" s="32">
        <f ca="1">IF(Tabla2[[#This Row],[¿cliente deuda abierta?]]="Sí", Tabla2[[#This Row],[Deuda actual]]*Tabla2[[#This Row],[diferencia de días]], "0")</f>
        <v>9719.52</v>
      </c>
      <c r="L78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8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8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86">
        <f t="shared" ca="1" si="140"/>
        <v>1521.11</v>
      </c>
      <c r="P786">
        <f t="shared" ca="1" si="141"/>
        <v>71579.240000000005</v>
      </c>
      <c r="Q786">
        <f t="shared" ca="1" si="142"/>
        <v>4</v>
      </c>
      <c r="R786">
        <f ca="1">((Tabla2[[#This Row],[Fantasma Comunicación]]+1)/(Tabla2[[#This Row],[Fantasma Comunicación]]+RANDBETWEEN(0,5)+2))-0.5</f>
        <v>5.555555555555558E-2</v>
      </c>
      <c r="S786" s="51">
        <f ca="1">1+MAX(0,Tabla2[[#This Row],[Deuda actual]]/Tabla2[[#This Row],[Liquidez]]+Tabla2[[#This Row],[Liquidez]]/(Tabla2[[#This Row],[Activos]]+Tabla2[[#This Row],[Liquidez]])+Tabla2[[#This Row],[Comunicación]])</f>
        <v>1.6088436450959342</v>
      </c>
      <c r="T786">
        <f ca="1">Tabla2[[#This Row],[Deuda actual]]*EXP(Tabla2[[#This Row],[Ki]]*Tabla2[[#This Row],[diferencia de días]])*(1+Tabla2[[#This Row],[Hg]])</f>
        <v>852.50155047967155</v>
      </c>
    </row>
    <row r="787" spans="1:20" ht="14.5" x14ac:dyDescent="0.35">
      <c r="A787" t="e">
        <f t="shared" si="132"/>
        <v>#VALUE!</v>
      </c>
      <c r="B787" s="21">
        <f t="shared" ca="1" si="133"/>
        <v>46088</v>
      </c>
      <c r="C787" s="21">
        <f t="shared" ca="1" si="134"/>
        <v>46157</v>
      </c>
      <c r="D787">
        <f t="shared" ca="1" si="135"/>
        <v>6</v>
      </c>
      <c r="E787">
        <f t="shared" ca="1" si="136"/>
        <v>0.40571342845194391</v>
      </c>
      <c r="F787" s="47">
        <f t="shared" ca="1" si="137"/>
        <v>1432.23</v>
      </c>
      <c r="G787" s="32" t="str">
        <f t="shared" ca="1" si="138"/>
        <v>hipotecario</v>
      </c>
      <c r="H78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87" t="str">
        <f t="shared" ca="1" si="139"/>
        <v>Sí</v>
      </c>
      <c r="J78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87" s="32">
        <f ca="1">IF(Tabla2[[#This Row],[¿cliente deuda abierta?]]="Sí", Tabla2[[#This Row],[Deuda actual]]*Tabla2[[#This Row],[diferencia de días]], "0")</f>
        <v>8593.380000000001</v>
      </c>
      <c r="L78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8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8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87">
        <f t="shared" ca="1" si="140"/>
        <v>2986.72</v>
      </c>
      <c r="P787">
        <f t="shared" ca="1" si="141"/>
        <v>353089.95</v>
      </c>
      <c r="Q787">
        <f t="shared" ca="1" si="142"/>
        <v>4</v>
      </c>
      <c r="R787">
        <f ca="1">((Tabla2[[#This Row],[Fantasma Comunicación]]+1)/(Tabla2[[#This Row],[Fantasma Comunicación]]+RANDBETWEEN(0,5)+2))-0.5</f>
        <v>5.555555555555558E-2</v>
      </c>
      <c r="S787" s="51">
        <f ca="1">1+MAX(0,Tabla2[[#This Row],[Deuda actual]]/Tabla2[[#This Row],[Liquidez]]+Tabla2[[#This Row],[Liquidez]]/(Tabla2[[#This Row],[Activos]]+Tabla2[[#This Row],[Liquidez]])+Tabla2[[#This Row],[Comunicación]])</f>
        <v>1.5434761435831468</v>
      </c>
      <c r="T787">
        <f ca="1">Tabla2[[#This Row],[Deuda actual]]*EXP(Tabla2[[#This Row],[Ki]]*Tabla2[[#This Row],[diferencia de días]])*(1+Tabla2[[#This Row],[Hg]])</f>
        <v>1505.6471929991164</v>
      </c>
    </row>
    <row r="788" spans="1:20" ht="14.5" x14ac:dyDescent="0.35">
      <c r="A788" t="e">
        <f t="shared" si="132"/>
        <v>#VALUE!</v>
      </c>
      <c r="B788" s="21">
        <f t="shared" ca="1" si="133"/>
        <v>46106</v>
      </c>
      <c r="C788" s="21">
        <f t="shared" ca="1" si="134"/>
        <v>46157</v>
      </c>
      <c r="D788">
        <f t="shared" ca="1" si="135"/>
        <v>70</v>
      </c>
      <c r="E788">
        <f t="shared" ca="1" si="136"/>
        <v>0.53803477219442486</v>
      </c>
      <c r="F788" s="47">
        <f t="shared" ca="1" si="137"/>
        <v>465.55</v>
      </c>
      <c r="G788" s="32" t="str">
        <f t="shared" ca="1" si="138"/>
        <v>hipotecario</v>
      </c>
      <c r="H78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788" t="str">
        <f t="shared" ca="1" si="139"/>
        <v>Sí</v>
      </c>
      <c r="J78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88" s="32">
        <f ca="1">IF(Tabla2[[#This Row],[¿cliente deuda abierta?]]="Sí", Tabla2[[#This Row],[Deuda actual]]*Tabla2[[#This Row],[diferencia de días]], "0")</f>
        <v>32588.5</v>
      </c>
      <c r="L78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78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88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788">
        <f t="shared" ca="1" si="140"/>
        <v>1457.04</v>
      </c>
      <c r="P788">
        <f t="shared" ca="1" si="141"/>
        <v>473611.56</v>
      </c>
      <c r="Q788">
        <f t="shared" ca="1" si="142"/>
        <v>5</v>
      </c>
      <c r="R788">
        <f ca="1">((Tabla2[[#This Row],[Fantasma Comunicación]]+1)/(Tabla2[[#This Row],[Fantasma Comunicación]]+RANDBETWEEN(0,5)+2))-0.5</f>
        <v>0.25</v>
      </c>
      <c r="S788" s="51">
        <f ca="1">1+MAX(0,Tabla2[[#This Row],[Deuda actual]]/Tabla2[[#This Row],[Liquidez]]+Tabla2[[#This Row],[Liquidez]]/(Tabla2[[#This Row],[Activos]]+Tabla2[[#This Row],[Liquidez]])+Tabla2[[#This Row],[Comunicación]])</f>
        <v>1.5725846619172428</v>
      </c>
      <c r="T788">
        <f ca="1">Tabla2[[#This Row],[Deuda actual]]*EXP(Tabla2[[#This Row],[Ki]]*Tabla2[[#This Row],[diferencia de días]])*(1+Tabla2[[#This Row],[Hg]])</f>
        <v>549.23680216119067</v>
      </c>
    </row>
    <row r="789" spans="1:20" ht="14.5" x14ac:dyDescent="0.35">
      <c r="A789" t="e">
        <f t="shared" si="132"/>
        <v>#VALUE!</v>
      </c>
      <c r="B789" s="21">
        <f t="shared" ca="1" si="133"/>
        <v>46096</v>
      </c>
      <c r="C789" s="21">
        <f t="shared" ca="1" si="134"/>
        <v>46157</v>
      </c>
      <c r="D789">
        <f t="shared" ca="1" si="135"/>
        <v>18</v>
      </c>
      <c r="E789">
        <f t="shared" ca="1" si="136"/>
        <v>0.75542305810866617</v>
      </c>
      <c r="F789" s="47">
        <f t="shared" ca="1" si="137"/>
        <v>851.64</v>
      </c>
      <c r="G789" s="32" t="str">
        <f t="shared" ca="1" si="138"/>
        <v>hipotecario</v>
      </c>
      <c r="H78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789" t="str">
        <f t="shared" ca="1" si="139"/>
        <v>No</v>
      </c>
      <c r="J78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164998.64973552953</v>
      </c>
      <c r="K789" s="32" t="str">
        <f ca="1">IF(Tabla2[[#This Row],[¿cliente deuda abierta?]]="Sí", Tabla2[[#This Row],[Deuda actual]]*Tabla2[[#This Row],[diferencia de días]], "0")</f>
        <v>0</v>
      </c>
      <c r="L78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8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78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789">
        <f t="shared" ca="1" si="140"/>
        <v>1723.27</v>
      </c>
      <c r="P789">
        <f t="shared" ca="1" si="141"/>
        <v>157380.44</v>
      </c>
      <c r="Q789">
        <f t="shared" ca="1" si="142"/>
        <v>1</v>
      </c>
      <c r="R789">
        <f ca="1">((Tabla2[[#This Row],[Fantasma Comunicación]]+1)/(Tabla2[[#This Row],[Fantasma Comunicación]]+RANDBETWEEN(0,5)+2))-0.5</f>
        <v>-9.9999999999999978E-2</v>
      </c>
      <c r="S789" s="51">
        <f ca="1">1+MAX(0,Tabla2[[#This Row],[Deuda actual]]/Tabla2[[#This Row],[Liquidez]]+Tabla2[[#This Row],[Liquidez]]/(Tabla2[[#This Row],[Activos]]+Tabla2[[#This Row],[Liquidez]])+Tabla2[[#This Row],[Comunicación]])</f>
        <v>1.405031091625045</v>
      </c>
      <c r="T789">
        <f ca="1">Tabla2[[#This Row],[Deuda actual]]*EXP(Tabla2[[#This Row],[Ki]]*Tabla2[[#This Row],[diferencia de días]])*(1+Tabla2[[#This Row],[Hg]])</f>
        <v>686.23514846649641</v>
      </c>
    </row>
    <row r="790" spans="1:20" ht="14.5" x14ac:dyDescent="0.35">
      <c r="A790" t="e">
        <f t="shared" si="132"/>
        <v>#VALUE!</v>
      </c>
      <c r="B790" s="21">
        <f t="shared" ca="1" si="133"/>
        <v>46106</v>
      </c>
      <c r="C790" s="21">
        <f t="shared" ca="1" si="134"/>
        <v>46157</v>
      </c>
      <c r="D790">
        <f t="shared" ca="1" si="135"/>
        <v>12</v>
      </c>
      <c r="E790">
        <f t="shared" ca="1" si="136"/>
        <v>0.69739757840032091</v>
      </c>
      <c r="F790" s="47">
        <f t="shared" ca="1" si="137"/>
        <v>6707.94</v>
      </c>
      <c r="G790" s="32" t="str">
        <f t="shared" ca="1" si="138"/>
        <v>personal</v>
      </c>
      <c r="H79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90" t="str">
        <f t="shared" ca="1" si="139"/>
        <v>No</v>
      </c>
      <c r="J79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12000.368113162513</v>
      </c>
      <c r="K790" s="32" t="str">
        <f ca="1">IF(Tabla2[[#This Row],[¿cliente deuda abierta?]]="Sí", Tabla2[[#This Row],[Deuda actual]]*Tabla2[[#This Row],[diferencia de días]], "0")</f>
        <v>0</v>
      </c>
      <c r="L79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9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79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790">
        <f t="shared" ca="1" si="140"/>
        <v>1638.95</v>
      </c>
      <c r="P790">
        <f t="shared" ca="1" si="141"/>
        <v>69312.759999999995</v>
      </c>
      <c r="Q790">
        <f t="shared" ca="1" si="142"/>
        <v>1</v>
      </c>
      <c r="R790">
        <f ca="1">((Tabla2[[#This Row],[Fantasma Comunicación]]+1)/(Tabla2[[#This Row],[Fantasma Comunicación]]+RANDBETWEEN(0,5)+2))-0.5</f>
        <v>0</v>
      </c>
      <c r="S790" s="51">
        <f ca="1">1+MAX(0,Tabla2[[#This Row],[Deuda actual]]/Tabla2[[#This Row],[Liquidez]]+Tabla2[[#This Row],[Liquidez]]/(Tabla2[[#This Row],[Activos]]+Tabla2[[#This Row],[Liquidez]])+Tabla2[[#This Row],[Comunicación]])</f>
        <v>5.1159272388075756</v>
      </c>
      <c r="T790">
        <f ca="1">Tabla2[[#This Row],[Deuda actual]]*EXP(Tabla2[[#This Row],[Ki]]*Tabla2[[#This Row],[diferencia de días]])*(1+Tabla2[[#This Row],[Hg]])</f>
        <v>6051.6525512984135</v>
      </c>
    </row>
    <row r="791" spans="1:20" ht="14.5" x14ac:dyDescent="0.35">
      <c r="A791" t="e">
        <f t="shared" si="132"/>
        <v>#VALUE!</v>
      </c>
      <c r="B791" s="21">
        <f t="shared" ca="1" si="133"/>
        <v>46115</v>
      </c>
      <c r="C791" s="21">
        <f t="shared" ca="1" si="134"/>
        <v>46157</v>
      </c>
      <c r="D791">
        <f t="shared" ca="1" si="135"/>
        <v>3</v>
      </c>
      <c r="E791">
        <f t="shared" ca="1" si="136"/>
        <v>0.16918496195123056</v>
      </c>
      <c r="F791" s="47">
        <f t="shared" ca="1" si="137"/>
        <v>8542.8799999999992</v>
      </c>
      <c r="G791" s="32" t="str">
        <f t="shared" ca="1" si="138"/>
        <v>hipotecario</v>
      </c>
      <c r="H79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91" t="str">
        <f t="shared" ca="1" si="139"/>
        <v>No</v>
      </c>
      <c r="J79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165000.1038715787</v>
      </c>
      <c r="K791" s="32" t="str">
        <f ca="1">IF(Tabla2[[#This Row],[¿cliente deuda abierta?]]="Sí", Tabla2[[#This Row],[Deuda actual]]*Tabla2[[#This Row],[diferencia de días]], "0")</f>
        <v>0</v>
      </c>
      <c r="L79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9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79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791">
        <f t="shared" ca="1" si="140"/>
        <v>1588.39</v>
      </c>
      <c r="P791">
        <f t="shared" ca="1" si="141"/>
        <v>76017.119999999995</v>
      </c>
      <c r="Q791">
        <f t="shared" ca="1" si="142"/>
        <v>4</v>
      </c>
      <c r="R791">
        <f ca="1">((Tabla2[[#This Row],[Fantasma Comunicación]]+1)/(Tabla2[[#This Row],[Fantasma Comunicación]]+RANDBETWEEN(0,5)+2))-0.5</f>
        <v>5.555555555555558E-2</v>
      </c>
      <c r="S791" s="51">
        <f ca="1">1+MAX(0,Tabla2[[#This Row],[Deuda actual]]/Tabla2[[#This Row],[Liquidez]]+Tabla2[[#This Row],[Liquidez]]/(Tabla2[[#This Row],[Activos]]+Tabla2[[#This Row],[Liquidez]])+Tabla2[[#This Row],[Comunicación]])</f>
        <v>6.4543495270888451</v>
      </c>
      <c r="T791">
        <f ca="1">Tabla2[[#This Row],[Deuda actual]]*EXP(Tabla2[[#This Row],[Ki]]*Tabla2[[#This Row],[diferencia de días]])*(1+Tabla2[[#This Row],[Hg]])</f>
        <v>6838.4058128207907</v>
      </c>
    </row>
    <row r="792" spans="1:20" ht="14.5" x14ac:dyDescent="0.35">
      <c r="A792" t="e">
        <f t="shared" si="132"/>
        <v>#VALUE!</v>
      </c>
      <c r="B792" s="21">
        <f t="shared" ca="1" si="133"/>
        <v>46098</v>
      </c>
      <c r="C792" s="21">
        <f t="shared" ca="1" si="134"/>
        <v>46157</v>
      </c>
      <c r="D792">
        <f t="shared" ca="1" si="135"/>
        <v>15</v>
      </c>
      <c r="E792">
        <f t="shared" ca="1" si="136"/>
        <v>6.9308088354783526E-2</v>
      </c>
      <c r="F792" s="47">
        <f t="shared" ca="1" si="137"/>
        <v>548.85</v>
      </c>
      <c r="G792" s="32" t="str">
        <f t="shared" ca="1" si="138"/>
        <v>hipotecario</v>
      </c>
      <c r="H79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792" t="str">
        <f t="shared" ca="1" si="139"/>
        <v>Sí</v>
      </c>
      <c r="J79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92" s="32">
        <f ca="1">IF(Tabla2[[#This Row],[¿cliente deuda abierta?]]="Sí", Tabla2[[#This Row],[Deuda actual]]*Tabla2[[#This Row],[diferencia de días]], "0")</f>
        <v>8232.75</v>
      </c>
      <c r="L79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9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9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92">
        <f t="shared" ca="1" si="140"/>
        <v>1673.11</v>
      </c>
      <c r="P792">
        <f t="shared" ca="1" si="141"/>
        <v>301842.86</v>
      </c>
      <c r="Q792">
        <f t="shared" ca="1" si="142"/>
        <v>2</v>
      </c>
      <c r="R792">
        <f ca="1">((Tabla2[[#This Row],[Fantasma Comunicación]]+1)/(Tabla2[[#This Row],[Fantasma Comunicación]]+RANDBETWEEN(0,5)+2))-0.5</f>
        <v>9.9999999999999978E-2</v>
      </c>
      <c r="S792" s="51">
        <f ca="1">1+MAX(0,Tabla2[[#This Row],[Deuda actual]]/Tabla2[[#This Row],[Liquidez]]+Tabla2[[#This Row],[Liquidez]]/(Tabla2[[#This Row],[Activos]]+Tabla2[[#This Row],[Liquidez]])+Tabla2[[#This Row],[Comunicación]])</f>
        <v>1.4335542186639363</v>
      </c>
      <c r="T792">
        <f ca="1">Tabla2[[#This Row],[Deuda actual]]*EXP(Tabla2[[#This Row],[Ki]]*Tabla2[[#This Row],[diferencia de días]])*(1+Tabla2[[#This Row],[Hg]])</f>
        <v>579.76064904268719</v>
      </c>
    </row>
    <row r="793" spans="1:20" ht="14.5" x14ac:dyDescent="0.35">
      <c r="A793" t="e">
        <f t="shared" si="132"/>
        <v>#VALUE!</v>
      </c>
      <c r="B793" s="21">
        <f t="shared" ca="1" si="133"/>
        <v>46141</v>
      </c>
      <c r="C793" s="21">
        <f t="shared" ca="1" si="134"/>
        <v>46157</v>
      </c>
      <c r="D793">
        <f t="shared" ca="1" si="135"/>
        <v>6</v>
      </c>
      <c r="E793">
        <f t="shared" ca="1" si="136"/>
        <v>0.85327590612072457</v>
      </c>
      <c r="F793" s="47">
        <f t="shared" ca="1" si="137"/>
        <v>1195.6500000000001</v>
      </c>
      <c r="G793" s="32" t="str">
        <f t="shared" ca="1" si="138"/>
        <v>personal</v>
      </c>
      <c r="H79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93" t="str">
        <f t="shared" ca="1" si="139"/>
        <v>No</v>
      </c>
      <c r="J79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11998.638876893319</v>
      </c>
      <c r="K793" s="32" t="str">
        <f ca="1">IF(Tabla2[[#This Row],[¿cliente deuda abierta?]]="Sí", Tabla2[[#This Row],[Deuda actual]]*Tabla2[[#This Row],[diferencia de días]], "0")</f>
        <v>0</v>
      </c>
      <c r="L79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9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79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793">
        <f t="shared" ca="1" si="140"/>
        <v>1556.43</v>
      </c>
      <c r="P793">
        <f t="shared" ca="1" si="141"/>
        <v>282022.8</v>
      </c>
      <c r="Q793">
        <f t="shared" ca="1" si="142"/>
        <v>1</v>
      </c>
      <c r="R793">
        <f ca="1">((Tabla2[[#This Row],[Fantasma Comunicación]]+1)/(Tabla2[[#This Row],[Fantasma Comunicación]]+RANDBETWEEN(0,5)+2))-0.5</f>
        <v>0.16666666666666663</v>
      </c>
      <c r="S793" s="51">
        <f ca="1">1+MAX(0,Tabla2[[#This Row],[Deuda actual]]/Tabla2[[#This Row],[Liquidez]]+Tabla2[[#This Row],[Liquidez]]/(Tabla2[[#This Row],[Activos]]+Tabla2[[#This Row],[Liquidez]])+Tabla2[[#This Row],[Comunicación]])</f>
        <v>1.940355490238459</v>
      </c>
      <c r="T793">
        <f ca="1">Tabla2[[#This Row],[Deuda actual]]*EXP(Tabla2[[#This Row],[Ki]]*Tabla2[[#This Row],[diferencia de días]])*(1+Tabla2[[#This Row],[Hg]])</f>
        <v>1077.3770770912056</v>
      </c>
    </row>
    <row r="794" spans="1:20" ht="14.5" x14ac:dyDescent="0.35">
      <c r="A794" t="e">
        <f t="shared" si="132"/>
        <v>#VALUE!</v>
      </c>
      <c r="B794" s="21">
        <f t="shared" ca="1" si="133"/>
        <v>46119</v>
      </c>
      <c r="C794" s="21">
        <f t="shared" ca="1" si="134"/>
        <v>46157</v>
      </c>
      <c r="D794">
        <f t="shared" ca="1" si="135"/>
        <v>6</v>
      </c>
      <c r="E794">
        <f t="shared" ca="1" si="136"/>
        <v>0.36907519799067723</v>
      </c>
      <c r="F794" s="47">
        <f t="shared" ca="1" si="137"/>
        <v>857.32</v>
      </c>
      <c r="G794" s="32" t="str">
        <f t="shared" ca="1" si="138"/>
        <v>hipotecario</v>
      </c>
      <c r="H79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94" t="str">
        <f t="shared" ca="1" si="139"/>
        <v>Sí</v>
      </c>
      <c r="J79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94" s="32">
        <f ca="1">IF(Tabla2[[#This Row],[¿cliente deuda abierta?]]="Sí", Tabla2[[#This Row],[Deuda actual]]*Tabla2[[#This Row],[diferencia de días]], "0")</f>
        <v>5143.92</v>
      </c>
      <c r="L79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9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9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94">
        <f t="shared" ca="1" si="140"/>
        <v>1977.32</v>
      </c>
      <c r="P794">
        <f t="shared" ca="1" si="141"/>
        <v>161705.39000000001</v>
      </c>
      <c r="Q794">
        <f t="shared" ca="1" si="142"/>
        <v>4</v>
      </c>
      <c r="R794">
        <f ca="1">((Tabla2[[#This Row],[Fantasma Comunicación]]+1)/(Tabla2[[#This Row],[Fantasma Comunicación]]+RANDBETWEEN(0,5)+2))-0.5</f>
        <v>0.2142857142857143</v>
      </c>
      <c r="S794" s="51">
        <f ca="1">1+MAX(0,Tabla2[[#This Row],[Deuda actual]]/Tabla2[[#This Row],[Liquidez]]+Tabla2[[#This Row],[Liquidez]]/(Tabla2[[#This Row],[Activos]]+Tabla2[[#This Row],[Liquidez]])+Tabla2[[#This Row],[Comunicación]])</f>
        <v>1.6599426755231741</v>
      </c>
      <c r="T794">
        <f ca="1">Tabla2[[#This Row],[Deuda actual]]*EXP(Tabla2[[#This Row],[Ki]]*Tabla2[[#This Row],[diferencia de días]])*(1+Tabla2[[#This Row],[Hg]])</f>
        <v>901.26687159325138</v>
      </c>
    </row>
    <row r="795" spans="1:20" ht="14.5" x14ac:dyDescent="0.35">
      <c r="A795" t="e">
        <f t="shared" si="132"/>
        <v>#VALUE!</v>
      </c>
      <c r="B795" s="21">
        <f t="shared" ca="1" si="133"/>
        <v>46112</v>
      </c>
      <c r="C795" s="21">
        <f t="shared" ca="1" si="134"/>
        <v>46157</v>
      </c>
      <c r="D795">
        <f t="shared" ca="1" si="135"/>
        <v>1</v>
      </c>
      <c r="E795">
        <f t="shared" ca="1" si="136"/>
        <v>4.5525919260799186E-2</v>
      </c>
      <c r="F795" s="47">
        <f t="shared" ca="1" si="137"/>
        <v>364.2</v>
      </c>
      <c r="G795" s="32" t="str">
        <f t="shared" ca="1" si="138"/>
        <v>personal</v>
      </c>
      <c r="H79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95" t="str">
        <f t="shared" ca="1" si="139"/>
        <v>Sí</v>
      </c>
      <c r="J79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95" s="32">
        <f ca="1">IF(Tabla2[[#This Row],[¿cliente deuda abierta?]]="Sí", Tabla2[[#This Row],[Deuda actual]]*Tabla2[[#This Row],[diferencia de días]], "0")</f>
        <v>364.2</v>
      </c>
      <c r="L79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9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9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95">
        <f t="shared" ca="1" si="140"/>
        <v>1388.26</v>
      </c>
      <c r="P795">
        <f t="shared" ca="1" si="141"/>
        <v>529865.52</v>
      </c>
      <c r="Q795">
        <f t="shared" ca="1" si="142"/>
        <v>4</v>
      </c>
      <c r="R795">
        <f ca="1">((Tabla2[[#This Row],[Fantasma Comunicación]]+1)/(Tabla2[[#This Row],[Fantasma Comunicación]]+RANDBETWEEN(0,5)+2))-0.5</f>
        <v>-4.545454545454547E-2</v>
      </c>
      <c r="S795" s="51">
        <f ca="1">1+MAX(0,Tabla2[[#This Row],[Deuda actual]]/Tabla2[[#This Row],[Liquidez]]+Tabla2[[#This Row],[Liquidez]]/(Tabla2[[#This Row],[Activos]]+Tabla2[[#This Row],[Liquidez]])+Tabla2[[#This Row],[Comunicación]])</f>
        <v>1.2195014200608267</v>
      </c>
      <c r="T795">
        <f ca="1">Tabla2[[#This Row],[Deuda actual]]*EXP(Tabla2[[#This Row],[Ki]]*Tabla2[[#This Row],[diferencia de días]])*(1+Tabla2[[#This Row],[Hg]])</f>
        <v>382.48648964870995</v>
      </c>
    </row>
    <row r="796" spans="1:20" ht="14.5" x14ac:dyDescent="0.35">
      <c r="A796" t="e">
        <f t="shared" si="132"/>
        <v>#VALUE!</v>
      </c>
      <c r="B796" s="21">
        <f t="shared" ca="1" si="133"/>
        <v>46130</v>
      </c>
      <c r="C796" s="21">
        <f t="shared" ca="1" si="134"/>
        <v>46157</v>
      </c>
      <c r="D796">
        <f t="shared" ca="1" si="135"/>
        <v>1</v>
      </c>
      <c r="E796">
        <f t="shared" ca="1" si="136"/>
        <v>0.75922276215119988</v>
      </c>
      <c r="F796" s="47">
        <f t="shared" ca="1" si="137"/>
        <v>161.13999999999999</v>
      </c>
      <c r="G796" s="32" t="str">
        <f t="shared" ca="1" si="138"/>
        <v>personal</v>
      </c>
      <c r="H79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96" t="str">
        <f t="shared" ca="1" si="139"/>
        <v>Sí</v>
      </c>
      <c r="J79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96" s="32">
        <f ca="1">IF(Tabla2[[#This Row],[¿cliente deuda abierta?]]="Sí", Tabla2[[#This Row],[Deuda actual]]*Tabla2[[#This Row],[diferencia de días]], "0")</f>
        <v>161.13999999999999</v>
      </c>
      <c r="L79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79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9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796">
        <f t="shared" ca="1" si="140"/>
        <v>1672.6</v>
      </c>
      <c r="P796">
        <f t="shared" ca="1" si="141"/>
        <v>225783.89</v>
      </c>
      <c r="Q796">
        <f t="shared" ca="1" si="142"/>
        <v>5</v>
      </c>
      <c r="R796">
        <f ca="1">((Tabla2[[#This Row],[Fantasma Comunicación]]+1)/(Tabla2[[#This Row],[Fantasma Comunicación]]+RANDBETWEEN(0,5)+2))-0.5</f>
        <v>0.3571428571428571</v>
      </c>
      <c r="S796" s="51">
        <f ca="1">1+MAX(0,Tabla2[[#This Row],[Deuda actual]]/Tabla2[[#This Row],[Liquidez]]+Tabla2[[#This Row],[Liquidez]]/(Tabla2[[#This Row],[Activos]]+Tabla2[[#This Row],[Liquidez]])+Tabla2[[#This Row],[Comunicación]])</f>
        <v>1.4608373773785559</v>
      </c>
      <c r="T796">
        <f ca="1">Tabla2[[#This Row],[Deuda actual]]*EXP(Tabla2[[#This Row],[Ki]]*Tabla2[[#This Row],[diferencia de días]])*(1+Tabla2[[#This Row],[Hg]])</f>
        <v>169.23084278416559</v>
      </c>
    </row>
    <row r="797" spans="1:20" ht="14.5" x14ac:dyDescent="0.35">
      <c r="A797" t="e">
        <f t="shared" si="132"/>
        <v>#VALUE!</v>
      </c>
      <c r="B797" s="21">
        <f t="shared" ca="1" si="133"/>
        <v>46098</v>
      </c>
      <c r="C797" s="21">
        <f t="shared" ca="1" si="134"/>
        <v>46157</v>
      </c>
      <c r="D797">
        <f t="shared" ca="1" si="135"/>
        <v>49</v>
      </c>
      <c r="E797">
        <f t="shared" ca="1" si="136"/>
        <v>0.65116405953227596</v>
      </c>
      <c r="F797" s="47">
        <f t="shared" ca="1" si="137"/>
        <v>826.72</v>
      </c>
      <c r="G797" s="32" t="str">
        <f t="shared" ca="1" si="138"/>
        <v>hipotecario</v>
      </c>
      <c r="H79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797" t="str">
        <f t="shared" ca="1" si="139"/>
        <v>No</v>
      </c>
      <c r="J79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164999.93267252503</v>
      </c>
      <c r="K797" s="32" t="str">
        <f ca="1">IF(Tabla2[[#This Row],[¿cliente deuda abierta?]]="Sí", Tabla2[[#This Row],[Deuda actual]]*Tabla2[[#This Row],[diferencia de días]], "0")</f>
        <v>0</v>
      </c>
      <c r="L79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9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79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797">
        <f t="shared" ca="1" si="140"/>
        <v>1790.73</v>
      </c>
      <c r="P797">
        <f t="shared" ca="1" si="141"/>
        <v>340308.58</v>
      </c>
      <c r="Q797">
        <f t="shared" ca="1" si="142"/>
        <v>2</v>
      </c>
      <c r="R797">
        <f ca="1">((Tabla2[[#This Row],[Fantasma Comunicación]]+1)/(Tabla2[[#This Row],[Fantasma Comunicación]]+RANDBETWEEN(0,5)+2))-0.5</f>
        <v>0.25</v>
      </c>
      <c r="S797" s="51">
        <f ca="1">1+MAX(0,Tabla2[[#This Row],[Deuda actual]]/Tabla2[[#This Row],[Liquidez]]+Tabla2[[#This Row],[Liquidez]]/(Tabla2[[#This Row],[Activos]]+Tabla2[[#This Row],[Liquidez]])+Tabla2[[#This Row],[Comunicación]])</f>
        <v>1.7169010038430319</v>
      </c>
      <c r="T797">
        <f ca="1">Tabla2[[#This Row],[Deuda actual]]*EXP(Tabla2[[#This Row],[Ki]]*Tabla2[[#This Row],[diferencia de días]])*(1+Tabla2[[#This Row],[Hg]])</f>
        <v>694.59053469103685</v>
      </c>
    </row>
    <row r="798" spans="1:20" ht="14.5" x14ac:dyDescent="0.35">
      <c r="A798" t="e">
        <f t="shared" si="132"/>
        <v>#VALUE!</v>
      </c>
      <c r="B798" s="21">
        <f t="shared" ca="1" si="133"/>
        <v>46119</v>
      </c>
      <c r="C798" s="21">
        <f t="shared" ca="1" si="134"/>
        <v>46157</v>
      </c>
      <c r="D798">
        <f t="shared" ca="1" si="135"/>
        <v>2</v>
      </c>
      <c r="E798">
        <f t="shared" ca="1" si="136"/>
        <v>0.77468922944893215</v>
      </c>
      <c r="F798" s="47">
        <f t="shared" ca="1" si="137"/>
        <v>1501.95</v>
      </c>
      <c r="G798" s="32" t="str">
        <f t="shared" ca="1" si="138"/>
        <v>hipotecario</v>
      </c>
      <c r="H79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798" t="str">
        <f t="shared" ca="1" si="139"/>
        <v>No</v>
      </c>
      <c r="J79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164999.7697946413</v>
      </c>
      <c r="K798" s="32" t="str">
        <f ca="1">IF(Tabla2[[#This Row],[¿cliente deuda abierta?]]="Sí", Tabla2[[#This Row],[Deuda actual]]*Tabla2[[#This Row],[diferencia de días]], "0")</f>
        <v>0</v>
      </c>
      <c r="L79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79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79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798">
        <f t="shared" ca="1" si="140"/>
        <v>1596.56</v>
      </c>
      <c r="P798">
        <f t="shared" ca="1" si="141"/>
        <v>40935.99</v>
      </c>
      <c r="Q798">
        <f t="shared" ca="1" si="142"/>
        <v>5</v>
      </c>
      <c r="R798">
        <f ca="1">((Tabla2[[#This Row],[Fantasma Comunicación]]+1)/(Tabla2[[#This Row],[Fantasma Comunicación]]+RANDBETWEEN(0,5)+2))-0.5</f>
        <v>0</v>
      </c>
      <c r="S798" s="51">
        <f ca="1">1+MAX(0,Tabla2[[#This Row],[Deuda actual]]/Tabla2[[#This Row],[Liquidez]]+Tabla2[[#This Row],[Liquidez]]/(Tabla2[[#This Row],[Activos]]+Tabla2[[#This Row],[Liquidez]])+Tabla2[[#This Row],[Comunicación]])</f>
        <v>1.9782787123283576</v>
      </c>
      <c r="T798">
        <f ca="1">Tabla2[[#This Row],[Deuda actual]]*EXP(Tabla2[[#This Row],[Ki]]*Tabla2[[#This Row],[diferencia de días]])*(1+Tabla2[[#This Row],[Hg]])</f>
        <v>1202.0407201376181</v>
      </c>
    </row>
    <row r="799" spans="1:20" ht="14.5" x14ac:dyDescent="0.35">
      <c r="A799" t="e">
        <f t="shared" si="132"/>
        <v>#VALUE!</v>
      </c>
      <c r="B799" s="21">
        <f t="shared" ca="1" si="133"/>
        <v>46088</v>
      </c>
      <c r="C799" s="21">
        <f t="shared" ca="1" si="134"/>
        <v>46157</v>
      </c>
      <c r="D799">
        <f t="shared" ca="1" si="135"/>
        <v>45</v>
      </c>
      <c r="E799">
        <f t="shared" ca="1" si="136"/>
        <v>0.8904864740272036</v>
      </c>
      <c r="F799" s="47">
        <f t="shared" ca="1" si="137"/>
        <v>2146.38</v>
      </c>
      <c r="G799" s="32" t="str">
        <f t="shared" ca="1" si="138"/>
        <v>personal</v>
      </c>
      <c r="H79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799" t="str">
        <f t="shared" ca="1" si="139"/>
        <v>Sí</v>
      </c>
      <c r="J79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799" s="32">
        <f ca="1">IF(Tabla2[[#This Row],[¿cliente deuda abierta?]]="Sí", Tabla2[[#This Row],[Deuda actual]]*Tabla2[[#This Row],[diferencia de días]], "0")</f>
        <v>96587.1</v>
      </c>
      <c r="L79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79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799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799">
        <f t="shared" ca="1" si="140"/>
        <v>1448.65</v>
      </c>
      <c r="P799">
        <f t="shared" ca="1" si="141"/>
        <v>159252.28</v>
      </c>
      <c r="Q799">
        <f t="shared" ca="1" si="142"/>
        <v>2</v>
      </c>
      <c r="R799">
        <f ca="1">((Tabla2[[#This Row],[Fantasma Comunicación]]+1)/(Tabla2[[#This Row],[Fantasma Comunicación]]+RANDBETWEEN(0,5)+2))-0.5</f>
        <v>-0.16666666666666669</v>
      </c>
      <c r="S799" s="51">
        <f ca="1">1+MAX(0,Tabla2[[#This Row],[Deuda actual]]/Tabla2[[#This Row],[Liquidez]]+Tabla2[[#This Row],[Liquidez]]/(Tabla2[[#This Row],[Activos]]+Tabla2[[#This Row],[Liquidez]])+Tabla2[[#This Row],[Comunicación]])</f>
        <v>2.323989433005937</v>
      </c>
      <c r="T799">
        <f ca="1">Tabla2[[#This Row],[Deuda actual]]*EXP(Tabla2[[#This Row],[Ki]]*Tabla2[[#This Row],[diferencia de días]])*(1+Tabla2[[#This Row],[Hg]])</f>
        <v>2581.9492696435027</v>
      </c>
    </row>
    <row r="800" spans="1:20" ht="14.5" x14ac:dyDescent="0.35">
      <c r="A800" t="e">
        <f t="shared" si="132"/>
        <v>#VALUE!</v>
      </c>
      <c r="B800" s="21">
        <f t="shared" ca="1" si="133"/>
        <v>46125</v>
      </c>
      <c r="C800" s="21">
        <f t="shared" ca="1" si="134"/>
        <v>46157</v>
      </c>
      <c r="D800">
        <f t="shared" ca="1" si="135"/>
        <v>1</v>
      </c>
      <c r="E800">
        <f t="shared" ca="1" si="136"/>
        <v>8.3436174684615283E-2</v>
      </c>
      <c r="F800" s="47">
        <f t="shared" ca="1" si="137"/>
        <v>2207.4499999999998</v>
      </c>
      <c r="G800" s="32" t="str">
        <f t="shared" ca="1" si="138"/>
        <v>personal</v>
      </c>
      <c r="H80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00" t="str">
        <f t="shared" ca="1" si="139"/>
        <v>No</v>
      </c>
      <c r="J80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12000.328277672519</v>
      </c>
      <c r="K800" s="32" t="str">
        <f ca="1">IF(Tabla2[[#This Row],[¿cliente deuda abierta?]]="Sí", Tabla2[[#This Row],[Deuda actual]]*Tabla2[[#This Row],[diferencia de días]], "0")</f>
        <v>0</v>
      </c>
      <c r="L80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0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80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800">
        <f t="shared" ca="1" si="140"/>
        <v>1627.04</v>
      </c>
      <c r="P800">
        <f t="shared" ca="1" si="141"/>
        <v>75845.820000000007</v>
      </c>
      <c r="Q800">
        <f t="shared" ca="1" si="142"/>
        <v>3</v>
      </c>
      <c r="R800">
        <f ca="1">((Tabla2[[#This Row],[Fantasma Comunicación]]+1)/(Tabla2[[#This Row],[Fantasma Comunicación]]+RANDBETWEEN(0,5)+2))-0.5</f>
        <v>0.30000000000000004</v>
      </c>
      <c r="S800" s="51">
        <f ca="1">1+MAX(0,Tabla2[[#This Row],[Deuda actual]]/Tabla2[[#This Row],[Liquidez]]+Tabla2[[#This Row],[Liquidez]]/(Tabla2[[#This Row],[Activos]]+Tabla2[[#This Row],[Liquidez]])+Tabla2[[#This Row],[Comunicación]])</f>
        <v>2.6777289734093896</v>
      </c>
      <c r="T800">
        <f ca="1">Tabla2[[#This Row],[Deuda actual]]*EXP(Tabla2[[#This Row],[Ki]]*Tabla2[[#This Row],[diferencia de días]])*(1+Tabla2[[#This Row],[Hg]])</f>
        <v>1987.102380736749</v>
      </c>
    </row>
    <row r="801" spans="1:20" ht="14.5" x14ac:dyDescent="0.35">
      <c r="A801" t="e">
        <f t="shared" si="132"/>
        <v>#VALUE!</v>
      </c>
      <c r="B801" s="21">
        <f t="shared" ca="1" si="133"/>
        <v>46136</v>
      </c>
      <c r="C801" s="21">
        <f t="shared" ca="1" si="134"/>
        <v>46157</v>
      </c>
      <c r="D801">
        <f t="shared" ca="1" si="135"/>
        <v>15</v>
      </c>
      <c r="E801">
        <f t="shared" ca="1" si="136"/>
        <v>0.43037487176207689</v>
      </c>
      <c r="F801" s="47">
        <f t="shared" ca="1" si="137"/>
        <v>178.39</v>
      </c>
      <c r="G801" s="32" t="str">
        <f t="shared" ca="1" si="138"/>
        <v>personal</v>
      </c>
      <c r="H80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01" t="str">
        <f t="shared" ca="1" si="139"/>
        <v>Sí</v>
      </c>
      <c r="J80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01" s="32">
        <f ca="1">IF(Tabla2[[#This Row],[¿cliente deuda abierta?]]="Sí", Tabla2[[#This Row],[Deuda actual]]*Tabla2[[#This Row],[diferencia de días]], "0")</f>
        <v>2675.85</v>
      </c>
      <c r="L80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0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0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01">
        <f t="shared" ca="1" si="140"/>
        <v>2492.04</v>
      </c>
      <c r="P801">
        <f t="shared" ca="1" si="141"/>
        <v>23187.56</v>
      </c>
      <c r="Q801">
        <f t="shared" ca="1" si="142"/>
        <v>3</v>
      </c>
      <c r="R801">
        <f ca="1">((Tabla2[[#This Row],[Fantasma Comunicación]]+1)/(Tabla2[[#This Row],[Fantasma Comunicación]]+RANDBETWEEN(0,5)+2))-0.5</f>
        <v>0.30000000000000004</v>
      </c>
      <c r="S801" s="51">
        <f ca="1">1+MAX(0,Tabla2[[#This Row],[Deuda actual]]/Tabla2[[#This Row],[Liquidez]]+Tabla2[[#This Row],[Liquidez]]/(Tabla2[[#This Row],[Activos]]+Tabla2[[#This Row],[Liquidez]])+Tabla2[[#This Row],[Comunicación]])</f>
        <v>1.4686274908683226</v>
      </c>
      <c r="T801">
        <f ca="1">Tabla2[[#This Row],[Deuda actual]]*EXP(Tabla2[[#This Row],[Ki]]*Tabla2[[#This Row],[diferencia de días]])*(1+Tabla2[[#This Row],[Hg]])</f>
        <v>188.43673532426888</v>
      </c>
    </row>
    <row r="802" spans="1:20" ht="14.5" x14ac:dyDescent="0.35">
      <c r="A802" t="e">
        <f t="shared" si="132"/>
        <v>#VALUE!</v>
      </c>
      <c r="B802" s="21">
        <f t="shared" ca="1" si="133"/>
        <v>46092</v>
      </c>
      <c r="C802" s="21">
        <f t="shared" ca="1" si="134"/>
        <v>46157</v>
      </c>
      <c r="D802">
        <f t="shared" ca="1" si="135"/>
        <v>6</v>
      </c>
      <c r="E802">
        <f t="shared" ca="1" si="136"/>
        <v>0.1241774454862582</v>
      </c>
      <c r="F802" s="47">
        <f t="shared" ca="1" si="137"/>
        <v>245.76</v>
      </c>
      <c r="G802" s="32" t="str">
        <f t="shared" ca="1" si="138"/>
        <v>hipotecario</v>
      </c>
      <c r="H80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02" t="str">
        <f t="shared" ca="1" si="139"/>
        <v>Sí</v>
      </c>
      <c r="J80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02" s="32">
        <f ca="1">IF(Tabla2[[#This Row],[¿cliente deuda abierta?]]="Sí", Tabla2[[#This Row],[Deuda actual]]*Tabla2[[#This Row],[diferencia de días]], "0")</f>
        <v>1474.56</v>
      </c>
      <c r="L80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0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0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02">
        <f t="shared" ca="1" si="140"/>
        <v>1513.06</v>
      </c>
      <c r="P802">
        <f t="shared" ca="1" si="141"/>
        <v>242279.99</v>
      </c>
      <c r="Q802">
        <f t="shared" ca="1" si="142"/>
        <v>3</v>
      </c>
      <c r="R802">
        <f ca="1">((Tabla2[[#This Row],[Fantasma Comunicación]]+1)/(Tabla2[[#This Row],[Fantasma Comunicación]]+RANDBETWEEN(0,5)+2))-0.5</f>
        <v>0.30000000000000004</v>
      </c>
      <c r="S802" s="51">
        <f ca="1">1+MAX(0,Tabla2[[#This Row],[Deuda actual]]/Tabla2[[#This Row],[Liquidez]]+Tabla2[[#This Row],[Liquidez]]/(Tabla2[[#This Row],[Activos]]+Tabla2[[#This Row],[Liquidez]])+Tabla2[[#This Row],[Comunicación]])</f>
        <v>1.4686321420994541</v>
      </c>
      <c r="T802">
        <f ca="1">Tabla2[[#This Row],[Deuda actual]]*EXP(Tabla2[[#This Row],[Ki]]*Tabla2[[#This Row],[diferencia de días]])*(1+Tabla2[[#This Row],[Hg]])</f>
        <v>258.35784346890011</v>
      </c>
    </row>
    <row r="803" spans="1:20" ht="14.5" x14ac:dyDescent="0.35">
      <c r="A803" t="e">
        <f t="shared" si="132"/>
        <v>#VALUE!</v>
      </c>
      <c r="B803" s="21">
        <f t="shared" ca="1" si="133"/>
        <v>46105</v>
      </c>
      <c r="C803" s="21">
        <f t="shared" ca="1" si="134"/>
        <v>46157</v>
      </c>
      <c r="D803">
        <f t="shared" ca="1" si="135"/>
        <v>8</v>
      </c>
      <c r="E803">
        <f t="shared" ca="1" si="136"/>
        <v>0.65115137955202107</v>
      </c>
      <c r="F803" s="47">
        <f t="shared" ca="1" si="137"/>
        <v>322.3</v>
      </c>
      <c r="G803" s="32" t="str">
        <f t="shared" ca="1" si="138"/>
        <v>personal</v>
      </c>
      <c r="H80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03" t="str">
        <f t="shared" ca="1" si="139"/>
        <v>Sí</v>
      </c>
      <c r="J80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03" s="32">
        <f ca="1">IF(Tabla2[[#This Row],[¿cliente deuda abierta?]]="Sí", Tabla2[[#This Row],[Deuda actual]]*Tabla2[[#This Row],[diferencia de días]], "0")</f>
        <v>2578.4</v>
      </c>
      <c r="L80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0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0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03">
        <f t="shared" ca="1" si="140"/>
        <v>1701.85</v>
      </c>
      <c r="P803">
        <f t="shared" ca="1" si="141"/>
        <v>161447.79</v>
      </c>
      <c r="Q803">
        <f t="shared" ca="1" si="142"/>
        <v>4</v>
      </c>
      <c r="R803">
        <f ca="1">((Tabla2[[#This Row],[Fantasma Comunicación]]+1)/(Tabla2[[#This Row],[Fantasma Comunicación]]+RANDBETWEEN(0,5)+2))-0.5</f>
        <v>0.2142857142857143</v>
      </c>
      <c r="S803" s="51">
        <f ca="1">1+MAX(0,Tabla2[[#This Row],[Deuda actual]]/Tabla2[[#This Row],[Liquidez]]+Tabla2[[#This Row],[Liquidez]]/(Tabla2[[#This Row],[Activos]]+Tabla2[[#This Row],[Liquidez]])+Tabla2[[#This Row],[Comunicación]])</f>
        <v>1.4140990785486718</v>
      </c>
      <c r="T803">
        <f ca="1">Tabla2[[#This Row],[Deuda actual]]*EXP(Tabla2[[#This Row],[Ki]]*Tabla2[[#This Row],[diferencia de días]])*(1+Tabla2[[#This Row],[Hg]])</f>
        <v>338.95689740231705</v>
      </c>
    </row>
    <row r="804" spans="1:20" ht="14.5" x14ac:dyDescent="0.35">
      <c r="A804" t="e">
        <f t="shared" si="132"/>
        <v>#VALUE!</v>
      </c>
      <c r="B804" s="21">
        <f t="shared" ca="1" si="133"/>
        <v>46131</v>
      </c>
      <c r="C804" s="21">
        <f t="shared" ca="1" si="134"/>
        <v>46157</v>
      </c>
      <c r="D804">
        <f t="shared" ca="1" si="135"/>
        <v>13</v>
      </c>
      <c r="E804">
        <f t="shared" ca="1" si="136"/>
        <v>0.60241238115025197</v>
      </c>
      <c r="F804" s="47">
        <f t="shared" ca="1" si="137"/>
        <v>641.01</v>
      </c>
      <c r="G804" s="32" t="str">
        <f t="shared" ca="1" si="138"/>
        <v>personal</v>
      </c>
      <c r="H80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04" t="str">
        <f t="shared" ca="1" si="139"/>
        <v>No</v>
      </c>
      <c r="J80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12000.031056550542</v>
      </c>
      <c r="K804" s="32" t="str">
        <f ca="1">IF(Tabla2[[#This Row],[¿cliente deuda abierta?]]="Sí", Tabla2[[#This Row],[Deuda actual]]*Tabla2[[#This Row],[diferencia de días]], "0")</f>
        <v>0</v>
      </c>
      <c r="L80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0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80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804">
        <f t="shared" ca="1" si="140"/>
        <v>1343.87</v>
      </c>
      <c r="P804">
        <f t="shared" ca="1" si="141"/>
        <v>1231499.73</v>
      </c>
      <c r="Q804">
        <f t="shared" ca="1" si="142"/>
        <v>1</v>
      </c>
      <c r="R804">
        <f ca="1">((Tabla2[[#This Row],[Fantasma Comunicación]]+1)/(Tabla2[[#This Row],[Fantasma Comunicación]]+RANDBETWEEN(0,5)+2))-0.5</f>
        <v>-0.25</v>
      </c>
      <c r="S804" s="51">
        <f ca="1">1+MAX(0,Tabla2[[#This Row],[Deuda actual]]/Tabla2[[#This Row],[Liquidez]]+Tabla2[[#This Row],[Liquidez]]/(Tabla2[[#This Row],[Activos]]+Tabla2[[#This Row],[Liquidez]])+Tabla2[[#This Row],[Comunicación]])</f>
        <v>1.2280781586930796</v>
      </c>
      <c r="T804">
        <f ca="1">Tabla2[[#This Row],[Deuda actual]]*EXP(Tabla2[[#This Row],[Ki]]*Tabla2[[#This Row],[diferencia de días]])*(1+Tabla2[[#This Row],[Hg]])</f>
        <v>578.41091504347787</v>
      </c>
    </row>
    <row r="805" spans="1:20" ht="14.5" x14ac:dyDescent="0.35">
      <c r="A805" t="e">
        <f t="shared" si="132"/>
        <v>#VALUE!</v>
      </c>
      <c r="B805" s="21">
        <f t="shared" ca="1" si="133"/>
        <v>46087</v>
      </c>
      <c r="C805" s="21">
        <f t="shared" ca="1" si="134"/>
        <v>46157</v>
      </c>
      <c r="D805">
        <f t="shared" ca="1" si="135"/>
        <v>12</v>
      </c>
      <c r="E805">
        <f t="shared" ca="1" si="136"/>
        <v>0.52949037315399028</v>
      </c>
      <c r="F805" s="47">
        <f t="shared" ca="1" si="137"/>
        <v>3136.26</v>
      </c>
      <c r="G805" s="32" t="str">
        <f t="shared" ca="1" si="138"/>
        <v>hipotecario</v>
      </c>
      <c r="H80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05" t="str">
        <f t="shared" ca="1" si="139"/>
        <v>Sí</v>
      </c>
      <c r="J80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05" s="32">
        <f ca="1">IF(Tabla2[[#This Row],[¿cliente deuda abierta?]]="Sí", Tabla2[[#This Row],[Deuda actual]]*Tabla2[[#This Row],[diferencia de días]], "0")</f>
        <v>37635.120000000003</v>
      </c>
      <c r="L80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80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05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805">
        <f t="shared" ca="1" si="140"/>
        <v>1399.48</v>
      </c>
      <c r="P805">
        <f t="shared" ca="1" si="141"/>
        <v>132576.92000000001</v>
      </c>
      <c r="Q805">
        <f t="shared" ca="1" si="142"/>
        <v>0</v>
      </c>
      <c r="R805">
        <f ca="1">((Tabla2[[#This Row],[Fantasma Comunicación]]+1)/(Tabla2[[#This Row],[Fantasma Comunicación]]+RANDBETWEEN(0,5)+2))-0.5</f>
        <v>-0.3</v>
      </c>
      <c r="S805" s="51">
        <f ca="1">1+MAX(0,Tabla2[[#This Row],[Deuda actual]]/Tabla2[[#This Row],[Liquidez]]+Tabla2[[#This Row],[Liquidez]]/(Tabla2[[#This Row],[Activos]]+Tabla2[[#This Row],[Liquidez]])+Tabla2[[#This Row],[Comunicación]])</f>
        <v>2.9514638127253692</v>
      </c>
      <c r="T805">
        <f ca="1">Tabla2[[#This Row],[Deuda actual]]*EXP(Tabla2[[#This Row],[Ki]]*Tabla2[[#This Row],[diferencia de días]])*(1+Tabla2[[#This Row],[Hg]])</f>
        <v>3458.1756700249889</v>
      </c>
    </row>
    <row r="806" spans="1:20" ht="14.5" x14ac:dyDescent="0.35">
      <c r="A806" t="e">
        <f t="shared" si="132"/>
        <v>#VALUE!</v>
      </c>
      <c r="B806" s="21">
        <f t="shared" ca="1" si="133"/>
        <v>46086</v>
      </c>
      <c r="C806" s="21">
        <f t="shared" ca="1" si="134"/>
        <v>46157</v>
      </c>
      <c r="D806">
        <f t="shared" ca="1" si="135"/>
        <v>0</v>
      </c>
      <c r="E806">
        <f t="shared" ca="1" si="136"/>
        <v>0.75841865468425063</v>
      </c>
      <c r="F806" s="47">
        <f t="shared" ca="1" si="137"/>
        <v>1588.31</v>
      </c>
      <c r="G806" s="32" t="str">
        <f t="shared" ca="1" si="138"/>
        <v>hipotecario</v>
      </c>
      <c r="H80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06" t="str">
        <f t="shared" ca="1" si="139"/>
        <v>Sí</v>
      </c>
      <c r="J80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06" s="32">
        <f ca="1">IF(Tabla2[[#This Row],[¿cliente deuda abierta?]]="Sí", Tabla2[[#This Row],[Deuda actual]]*Tabla2[[#This Row],[diferencia de días]], "0")</f>
        <v>0</v>
      </c>
      <c r="L80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0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06" s="32">
        <f ca="1">MAX(Tabla2[[#This Row],[VALORES DE Hg para actuales deudores]:[Valores de HG para deudores cerrados]])*IF(Tabla2[[#This Row],[VALORES DE Hg para actuales deudores]]&gt;Tabla2[[#This Row],[Valores de HG para deudores cerrados]],-1,1)</f>
        <v>0</v>
      </c>
      <c r="O806">
        <f t="shared" ca="1" si="140"/>
        <v>1603.84</v>
      </c>
      <c r="P806">
        <f t="shared" ca="1" si="141"/>
        <v>236856.04</v>
      </c>
      <c r="Q806">
        <f t="shared" ca="1" si="142"/>
        <v>2</v>
      </c>
      <c r="R806">
        <f ca="1">((Tabla2[[#This Row],[Fantasma Comunicación]]+1)/(Tabla2[[#This Row],[Fantasma Comunicación]]+RANDBETWEEN(0,5)+2))-0.5</f>
        <v>-0.16666666666666669</v>
      </c>
      <c r="S806" s="51">
        <f ca="1">1+MAX(0,Tabla2[[#This Row],[Deuda actual]]/Tabla2[[#This Row],[Liquidez]]+Tabla2[[#This Row],[Liquidez]]/(Tabla2[[#This Row],[Activos]]+Tabla2[[#This Row],[Liquidez]])+Tabla2[[#This Row],[Comunicación]])</f>
        <v>1.8303761499813975</v>
      </c>
      <c r="T806">
        <f ca="1">Tabla2[[#This Row],[Deuda actual]]*EXP(Tabla2[[#This Row],[Ki]]*Tabla2[[#This Row],[diferencia de días]])*(1+Tabla2[[#This Row],[Hg]])</f>
        <v>1588.31</v>
      </c>
    </row>
    <row r="807" spans="1:20" ht="14.5" x14ac:dyDescent="0.35">
      <c r="A807" t="e">
        <f t="shared" si="132"/>
        <v>#VALUE!</v>
      </c>
      <c r="B807" s="21">
        <f t="shared" ca="1" si="133"/>
        <v>46116</v>
      </c>
      <c r="C807" s="21">
        <f t="shared" ca="1" si="134"/>
        <v>46157</v>
      </c>
      <c r="D807">
        <f t="shared" ca="1" si="135"/>
        <v>32</v>
      </c>
      <c r="E807">
        <f t="shared" ca="1" si="136"/>
        <v>0.59010346591839258</v>
      </c>
      <c r="F807" s="47">
        <f t="shared" ca="1" si="137"/>
        <v>1840.09</v>
      </c>
      <c r="G807" s="32" t="str">
        <f t="shared" ca="1" si="138"/>
        <v>hipotecario</v>
      </c>
      <c r="H80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807" t="str">
        <f t="shared" ca="1" si="139"/>
        <v>Sí</v>
      </c>
      <c r="J80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07" s="32">
        <f ca="1">IF(Tabla2[[#This Row],[¿cliente deuda abierta?]]="Sí", Tabla2[[#This Row],[Deuda actual]]*Tabla2[[#This Row],[diferencia de días]], "0")</f>
        <v>58882.879999999997</v>
      </c>
      <c r="L80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80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07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807">
        <f t="shared" ca="1" si="140"/>
        <v>1358.54</v>
      </c>
      <c r="P807">
        <f t="shared" ca="1" si="141"/>
        <v>184650.05</v>
      </c>
      <c r="Q807">
        <f t="shared" ca="1" si="142"/>
        <v>4</v>
      </c>
      <c r="R807">
        <f ca="1">((Tabla2[[#This Row],[Fantasma Comunicación]]+1)/(Tabla2[[#This Row],[Fantasma Comunicación]]+RANDBETWEEN(0,5)+2))-0.5</f>
        <v>0</v>
      </c>
      <c r="S807" s="51">
        <f ca="1">1+MAX(0,Tabla2[[#This Row],[Deuda actual]]/Tabla2[[#This Row],[Liquidez]]+Tabla2[[#This Row],[Liquidez]]/(Tabla2[[#This Row],[Activos]]+Tabla2[[#This Row],[Liquidez]])+Tabla2[[#This Row],[Comunicación]])</f>
        <v>2.3617650482908519</v>
      </c>
      <c r="T807">
        <f ca="1">Tabla2[[#This Row],[Deuda actual]]*EXP(Tabla2[[#This Row],[Ki]]*Tabla2[[#This Row],[diferencia de días]])*(1+Tabla2[[#This Row],[Hg]])</f>
        <v>2089.917649970585</v>
      </c>
    </row>
    <row r="808" spans="1:20" ht="14.5" x14ac:dyDescent="0.35">
      <c r="A808" t="e">
        <f t="shared" si="132"/>
        <v>#VALUE!</v>
      </c>
      <c r="B808" s="21">
        <f t="shared" ca="1" si="133"/>
        <v>46089</v>
      </c>
      <c r="C808" s="21">
        <f t="shared" ca="1" si="134"/>
        <v>46157</v>
      </c>
      <c r="D808">
        <f t="shared" ca="1" si="135"/>
        <v>2</v>
      </c>
      <c r="E808">
        <f t="shared" ca="1" si="136"/>
        <v>0.18129953132531706</v>
      </c>
      <c r="F808" s="47">
        <f t="shared" ca="1" si="137"/>
        <v>865</v>
      </c>
      <c r="G808" s="32" t="str">
        <f t="shared" ca="1" si="138"/>
        <v>personal</v>
      </c>
      <c r="H80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08" t="str">
        <f t="shared" ca="1" si="139"/>
        <v>Sí</v>
      </c>
      <c r="J80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08" s="32">
        <f ca="1">IF(Tabla2[[#This Row],[¿cliente deuda abierta?]]="Sí", Tabla2[[#This Row],[Deuda actual]]*Tabla2[[#This Row],[diferencia de días]], "0")</f>
        <v>1730</v>
      </c>
      <c r="L80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0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0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08">
        <f t="shared" ca="1" si="140"/>
        <v>2282.9</v>
      </c>
      <c r="P808">
        <f t="shared" ca="1" si="141"/>
        <v>215233.84</v>
      </c>
      <c r="Q808">
        <f t="shared" ca="1" si="142"/>
        <v>1</v>
      </c>
      <c r="R808">
        <f ca="1">((Tabla2[[#This Row],[Fantasma Comunicación]]+1)/(Tabla2[[#This Row],[Fantasma Comunicación]]+RANDBETWEEN(0,5)+2))-0.5</f>
        <v>0</v>
      </c>
      <c r="S808" s="51">
        <f ca="1">1+MAX(0,Tabla2[[#This Row],[Deuda actual]]/Tabla2[[#This Row],[Liquidez]]+Tabla2[[#This Row],[Liquidez]]/(Tabla2[[#This Row],[Activos]]+Tabla2[[#This Row],[Liquidez]])+Tabla2[[#This Row],[Comunicación]])</f>
        <v>1.3893993097605448</v>
      </c>
      <c r="T808">
        <f ca="1">Tabla2[[#This Row],[Deuda actual]]*EXP(Tabla2[[#This Row],[Ki]]*Tabla2[[#This Row],[diferencia de días]])*(1+Tabla2[[#This Row],[Hg]])</f>
        <v>908.61337266968917</v>
      </c>
    </row>
    <row r="809" spans="1:20" ht="14.5" x14ac:dyDescent="0.35">
      <c r="A809" t="e">
        <f t="shared" si="132"/>
        <v>#VALUE!</v>
      </c>
      <c r="B809" s="21">
        <f t="shared" ca="1" si="133"/>
        <v>46100</v>
      </c>
      <c r="C809" s="21">
        <f t="shared" ca="1" si="134"/>
        <v>46157</v>
      </c>
      <c r="D809">
        <f t="shared" ca="1" si="135"/>
        <v>15</v>
      </c>
      <c r="E809">
        <f t="shared" ca="1" si="136"/>
        <v>0.65219134520974076</v>
      </c>
      <c r="F809" s="47">
        <f t="shared" ca="1" si="137"/>
        <v>101.75</v>
      </c>
      <c r="G809" s="32" t="str">
        <f t="shared" ca="1" si="138"/>
        <v>hipotecario</v>
      </c>
      <c r="H80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09" t="str">
        <f t="shared" ca="1" si="139"/>
        <v>No</v>
      </c>
      <c r="J80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164999.74806640763</v>
      </c>
      <c r="K809" s="32" t="str">
        <f ca="1">IF(Tabla2[[#This Row],[¿cliente deuda abierta?]]="Sí", Tabla2[[#This Row],[Deuda actual]]*Tabla2[[#This Row],[diferencia de días]], "0")</f>
        <v>0</v>
      </c>
      <c r="L80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0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80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809">
        <f t="shared" ca="1" si="140"/>
        <v>2502.7399999999998</v>
      </c>
      <c r="P809">
        <f t="shared" ca="1" si="141"/>
        <v>48359.7</v>
      </c>
      <c r="Q809">
        <f t="shared" ca="1" si="142"/>
        <v>2</v>
      </c>
      <c r="R809">
        <f ca="1">((Tabla2[[#This Row],[Fantasma Comunicación]]+1)/(Tabla2[[#This Row],[Fantasma Comunicación]]+RANDBETWEEN(0,5)+2))-0.5</f>
        <v>-7.1428571428571452E-2</v>
      </c>
      <c r="S809" s="51">
        <f ca="1">1+MAX(0,Tabla2[[#This Row],[Deuda actual]]/Tabla2[[#This Row],[Liquidez]]+Tabla2[[#This Row],[Liquidez]]/(Tabla2[[#This Row],[Activos]]+Tabla2[[#This Row],[Liquidez]])+Tabla2[[#This Row],[Comunicación]])</f>
        <v>1.0184329248127193</v>
      </c>
      <c r="T809">
        <f ca="1">Tabla2[[#This Row],[Deuda actual]]*EXP(Tabla2[[#This Row],[Ki]]*Tabla2[[#This Row],[diferencia de días]])*(1+Tabla2[[#This Row],[Hg]])</f>
        <v>81.889868134800892</v>
      </c>
    </row>
    <row r="810" spans="1:20" ht="14.5" x14ac:dyDescent="0.35">
      <c r="A810" t="e">
        <f t="shared" si="132"/>
        <v>#VALUE!</v>
      </c>
      <c r="B810" s="21">
        <f t="shared" ca="1" si="133"/>
        <v>46120</v>
      </c>
      <c r="C810" s="21">
        <f t="shared" ca="1" si="134"/>
        <v>46157</v>
      </c>
      <c r="D810">
        <f t="shared" ca="1" si="135"/>
        <v>31</v>
      </c>
      <c r="E810">
        <f t="shared" ca="1" si="136"/>
        <v>2.3820214429255415E-2</v>
      </c>
      <c r="F810" s="47">
        <f t="shared" ca="1" si="137"/>
        <v>1663.11</v>
      </c>
      <c r="G810" s="32" t="str">
        <f t="shared" ca="1" si="138"/>
        <v>personal</v>
      </c>
      <c r="H81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810" t="str">
        <f t="shared" ca="1" si="139"/>
        <v>No</v>
      </c>
      <c r="J81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11999.604966301169</v>
      </c>
      <c r="K810" s="32" t="str">
        <f ca="1">IF(Tabla2[[#This Row],[¿cliente deuda abierta?]]="Sí", Tabla2[[#This Row],[Deuda actual]]*Tabla2[[#This Row],[diferencia de días]], "0")</f>
        <v>0</v>
      </c>
      <c r="L81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1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81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810">
        <f t="shared" ca="1" si="140"/>
        <v>1423.4</v>
      </c>
      <c r="P810">
        <f t="shared" ca="1" si="141"/>
        <v>78682.31</v>
      </c>
      <c r="Q810">
        <f t="shared" ca="1" si="142"/>
        <v>1</v>
      </c>
      <c r="R810">
        <f ca="1">((Tabla2[[#This Row],[Fantasma Comunicación]]+1)/(Tabla2[[#This Row],[Fantasma Comunicación]]+RANDBETWEEN(0,5)+2))-0.5</f>
        <v>0.16666666666666663</v>
      </c>
      <c r="S810" s="51">
        <f ca="1">1+MAX(0,Tabla2[[#This Row],[Deuda actual]]/Tabla2[[#This Row],[Liquidez]]+Tabla2[[#This Row],[Liquidez]]/(Tabla2[[#This Row],[Activos]]+Tabla2[[#This Row],[Liquidez]])+Tabla2[[#This Row],[Comunicación]])</f>
        <v>2.352842319135124</v>
      </c>
      <c r="T810">
        <f ca="1">Tabla2[[#This Row],[Deuda actual]]*EXP(Tabla2[[#This Row],[Ki]]*Tabla2[[#This Row],[diferencia de días]])*(1+Tabla2[[#This Row],[Hg]])</f>
        <v>1543.9264707318432</v>
      </c>
    </row>
    <row r="811" spans="1:20" ht="14.5" x14ac:dyDescent="0.35">
      <c r="A811" t="e">
        <f t="shared" si="132"/>
        <v>#VALUE!</v>
      </c>
      <c r="B811" s="21">
        <f t="shared" ca="1" si="133"/>
        <v>46100</v>
      </c>
      <c r="C811" s="21">
        <f t="shared" ca="1" si="134"/>
        <v>46157</v>
      </c>
      <c r="D811">
        <f t="shared" ca="1" si="135"/>
        <v>2</v>
      </c>
      <c r="E811">
        <f t="shared" ca="1" si="136"/>
        <v>6.1375793171436821E-2</v>
      </c>
      <c r="F811" s="47">
        <f t="shared" ca="1" si="137"/>
        <v>681.49</v>
      </c>
      <c r="G811" s="32" t="str">
        <f t="shared" ca="1" si="138"/>
        <v>hipotecario</v>
      </c>
      <c r="H81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11" t="str">
        <f t="shared" ca="1" si="139"/>
        <v>No</v>
      </c>
      <c r="J81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164999.4137057637</v>
      </c>
      <c r="K811" s="32" t="str">
        <f ca="1">IF(Tabla2[[#This Row],[¿cliente deuda abierta?]]="Sí", Tabla2[[#This Row],[Deuda actual]]*Tabla2[[#This Row],[diferencia de días]], "0")</f>
        <v>0</v>
      </c>
      <c r="L81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1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81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811">
        <f t="shared" ca="1" si="140"/>
        <v>1699.27</v>
      </c>
      <c r="P811">
        <f t="shared" ca="1" si="141"/>
        <v>79774.820000000007</v>
      </c>
      <c r="Q811">
        <f t="shared" ca="1" si="142"/>
        <v>1</v>
      </c>
      <c r="R811">
        <f ca="1">((Tabla2[[#This Row],[Fantasma Comunicación]]+1)/(Tabla2[[#This Row],[Fantasma Comunicación]]+RANDBETWEEN(0,5)+2))-0.5</f>
        <v>-0.25</v>
      </c>
      <c r="S811" s="51">
        <f ca="1">1+MAX(0,Tabla2[[#This Row],[Deuda actual]]/Tabla2[[#This Row],[Liquidez]]+Tabla2[[#This Row],[Liquidez]]/(Tabla2[[#This Row],[Activos]]+Tabla2[[#This Row],[Liquidez]])+Tabla2[[#This Row],[Comunicación]])</f>
        <v>1.1719052548600228</v>
      </c>
      <c r="T811">
        <f ca="1">Tabla2[[#This Row],[Deuda actual]]*EXP(Tabla2[[#This Row],[Ki]]*Tabla2[[#This Row],[diferencia de días]])*(1+Tabla2[[#This Row],[Hg]])</f>
        <v>545.41012042117598</v>
      </c>
    </row>
    <row r="812" spans="1:20" ht="14.5" x14ac:dyDescent="0.35">
      <c r="A812" t="e">
        <f t="shared" si="132"/>
        <v>#VALUE!</v>
      </c>
      <c r="B812" s="21">
        <f t="shared" ca="1" si="133"/>
        <v>46123</v>
      </c>
      <c r="C812" s="21">
        <f t="shared" ca="1" si="134"/>
        <v>46157</v>
      </c>
      <c r="D812">
        <f t="shared" ca="1" si="135"/>
        <v>13</v>
      </c>
      <c r="E812">
        <f t="shared" ca="1" si="136"/>
        <v>0.38315020966322744</v>
      </c>
      <c r="F812" s="47">
        <f t="shared" ca="1" si="137"/>
        <v>1668.23</v>
      </c>
      <c r="G812" s="32" t="str">
        <f t="shared" ca="1" si="138"/>
        <v>hipotecario</v>
      </c>
      <c r="H81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12" t="str">
        <f t="shared" ca="1" si="139"/>
        <v>No</v>
      </c>
      <c r="J81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164999.26989772238</v>
      </c>
      <c r="K812" s="32" t="str">
        <f ca="1">IF(Tabla2[[#This Row],[¿cliente deuda abierta?]]="Sí", Tabla2[[#This Row],[Deuda actual]]*Tabla2[[#This Row],[diferencia de días]], "0")</f>
        <v>0</v>
      </c>
      <c r="L81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1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81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812">
        <f t="shared" ca="1" si="140"/>
        <v>1411.83</v>
      </c>
      <c r="P812">
        <f t="shared" ca="1" si="141"/>
        <v>62420.81</v>
      </c>
      <c r="Q812">
        <f t="shared" ca="1" si="142"/>
        <v>5</v>
      </c>
      <c r="R812">
        <f ca="1">((Tabla2[[#This Row],[Fantasma Comunicación]]+1)/(Tabla2[[#This Row],[Fantasma Comunicación]]+RANDBETWEEN(0,5)+2))-0.5</f>
        <v>0</v>
      </c>
      <c r="S812" s="51">
        <f ca="1">1+MAX(0,Tabla2[[#This Row],[Deuda actual]]/Tabla2[[#This Row],[Liquidez]]+Tabla2[[#This Row],[Liquidez]]/(Tabla2[[#This Row],[Activos]]+Tabla2[[#This Row],[Liquidez]])+Tabla2[[#This Row],[Comunicación]])</f>
        <v>2.2037259487713934</v>
      </c>
      <c r="T812">
        <f ca="1">Tabla2[[#This Row],[Deuda actual]]*EXP(Tabla2[[#This Row],[Ki]]*Tabla2[[#This Row],[diferencia de días]])*(1+Tabla2[[#This Row],[Hg]])</f>
        <v>1338.0584332059041</v>
      </c>
    </row>
    <row r="813" spans="1:20" ht="14.5" x14ac:dyDescent="0.35">
      <c r="A813" t="e">
        <f t="shared" si="132"/>
        <v>#VALUE!</v>
      </c>
      <c r="B813" s="21">
        <f t="shared" ca="1" si="133"/>
        <v>46101</v>
      </c>
      <c r="C813" s="21">
        <f t="shared" ca="1" si="134"/>
        <v>46157</v>
      </c>
      <c r="D813">
        <f t="shared" ca="1" si="135"/>
        <v>20</v>
      </c>
      <c r="E813">
        <f t="shared" ca="1" si="136"/>
        <v>0.35230763033958179</v>
      </c>
      <c r="F813" s="47">
        <f t="shared" ca="1" si="137"/>
        <v>5906.18</v>
      </c>
      <c r="G813" s="32" t="str">
        <f t="shared" ca="1" si="138"/>
        <v>personal</v>
      </c>
      <c r="H81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13" t="str">
        <f t="shared" ca="1" si="139"/>
        <v>No</v>
      </c>
      <c r="J81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11999.763182029623</v>
      </c>
      <c r="K813" s="32" t="str">
        <f ca="1">IF(Tabla2[[#This Row],[¿cliente deuda abierta?]]="Sí", Tabla2[[#This Row],[Deuda actual]]*Tabla2[[#This Row],[diferencia de días]], "0")</f>
        <v>0</v>
      </c>
      <c r="L81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1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81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813">
        <f t="shared" ca="1" si="140"/>
        <v>1516.85</v>
      </c>
      <c r="P813">
        <f t="shared" ca="1" si="141"/>
        <v>276103.74</v>
      </c>
      <c r="Q813">
        <f t="shared" ca="1" si="142"/>
        <v>2</v>
      </c>
      <c r="R813">
        <f ca="1">((Tabla2[[#This Row],[Fantasma Comunicación]]+1)/(Tabla2[[#This Row],[Fantasma Comunicación]]+RANDBETWEEN(0,5)+2))-0.5</f>
        <v>-7.1428571428571452E-2</v>
      </c>
      <c r="S813" s="51">
        <f ca="1">1+MAX(0,Tabla2[[#This Row],[Deuda actual]]/Tabla2[[#This Row],[Liquidez]]+Tabla2[[#This Row],[Liquidez]]/(Tabla2[[#This Row],[Activos]]+Tabla2[[#This Row],[Liquidez]])+Tabla2[[#This Row],[Comunicación]])</f>
        <v>4.8277491270432336</v>
      </c>
      <c r="T813">
        <f ca="1">Tabla2[[#This Row],[Deuda actual]]*EXP(Tabla2[[#This Row],[Ki]]*Tabla2[[#This Row],[diferencia de días]])*(1+Tabla2[[#This Row],[Hg]])</f>
        <v>5358.2570484872667</v>
      </c>
    </row>
    <row r="814" spans="1:20" ht="14.5" x14ac:dyDescent="0.35">
      <c r="A814" t="e">
        <f t="shared" si="132"/>
        <v>#VALUE!</v>
      </c>
      <c r="B814" s="21">
        <f t="shared" ca="1" si="133"/>
        <v>46141</v>
      </c>
      <c r="C814" s="21">
        <f t="shared" ca="1" si="134"/>
        <v>46157</v>
      </c>
      <c r="D814">
        <f t="shared" ca="1" si="135"/>
        <v>2</v>
      </c>
      <c r="E814">
        <f t="shared" ca="1" si="136"/>
        <v>0.88147694406299992</v>
      </c>
      <c r="F814" s="47">
        <f t="shared" ca="1" si="137"/>
        <v>4294</v>
      </c>
      <c r="G814" s="32" t="str">
        <f t="shared" ca="1" si="138"/>
        <v>personal</v>
      </c>
      <c r="H81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14" t="str">
        <f t="shared" ca="1" si="139"/>
        <v>Sí</v>
      </c>
      <c r="J81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14" s="32">
        <f ca="1">IF(Tabla2[[#This Row],[¿cliente deuda abierta?]]="Sí", Tabla2[[#This Row],[Deuda actual]]*Tabla2[[#This Row],[diferencia de días]], "0")</f>
        <v>8588</v>
      </c>
      <c r="L81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1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1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14">
        <f t="shared" ca="1" si="140"/>
        <v>1243.75</v>
      </c>
      <c r="P814">
        <f t="shared" ca="1" si="141"/>
        <v>115816.69</v>
      </c>
      <c r="Q814">
        <f t="shared" ca="1" si="142"/>
        <v>4</v>
      </c>
      <c r="R814">
        <f ca="1">((Tabla2[[#This Row],[Fantasma Comunicación]]+1)/(Tabla2[[#This Row],[Fantasma Comunicación]]+RANDBETWEEN(0,5)+2))-0.5</f>
        <v>-4.545454545454547E-2</v>
      </c>
      <c r="S814" s="51">
        <f ca="1">1+MAX(0,Tabla2[[#This Row],[Deuda actual]]/Tabla2[[#This Row],[Liquidez]]+Tabla2[[#This Row],[Liquidez]]/(Tabla2[[#This Row],[Activos]]+Tabla2[[#This Row],[Liquidez]])+Tabla2[[#This Row],[Comunicación]])</f>
        <v>4.4176326193841646</v>
      </c>
      <c r="T814">
        <f ca="1">Tabla2[[#This Row],[Deuda actual]]*EXP(Tabla2[[#This Row],[Ki]]*Tabla2[[#This Row],[diferencia de días]])*(1+Tabla2[[#This Row],[Hg]])</f>
        <v>4510.5038407440979</v>
      </c>
    </row>
    <row r="815" spans="1:20" ht="14.5" x14ac:dyDescent="0.35">
      <c r="A815" t="e">
        <f t="shared" si="132"/>
        <v>#VALUE!</v>
      </c>
      <c r="B815" s="21">
        <f t="shared" ca="1" si="133"/>
        <v>46086</v>
      </c>
      <c r="C815" s="21">
        <f t="shared" ca="1" si="134"/>
        <v>46157</v>
      </c>
      <c r="D815">
        <f t="shared" ca="1" si="135"/>
        <v>29</v>
      </c>
      <c r="E815">
        <f t="shared" ca="1" si="136"/>
        <v>0.22755488008283853</v>
      </c>
      <c r="F815" s="47">
        <f t="shared" ca="1" si="137"/>
        <v>3875.66</v>
      </c>
      <c r="G815" s="32" t="str">
        <f t="shared" ca="1" si="138"/>
        <v>hipotecario</v>
      </c>
      <c r="H81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15" t="str">
        <f t="shared" ca="1" si="139"/>
        <v>Sí</v>
      </c>
      <c r="J81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15" s="32">
        <f ca="1">IF(Tabla2[[#This Row],[¿cliente deuda abierta?]]="Sí", Tabla2[[#This Row],[Deuda actual]]*Tabla2[[#This Row],[diferencia de días]], "0")</f>
        <v>112394.14</v>
      </c>
      <c r="L81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81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15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815">
        <f t="shared" ca="1" si="140"/>
        <v>1397.08</v>
      </c>
      <c r="P815">
        <f t="shared" ca="1" si="141"/>
        <v>314609.38</v>
      </c>
      <c r="Q815">
        <f t="shared" ca="1" si="142"/>
        <v>4</v>
      </c>
      <c r="R815">
        <f ca="1">((Tabla2[[#This Row],[Fantasma Comunicación]]+1)/(Tabla2[[#This Row],[Fantasma Comunicación]]+RANDBETWEEN(0,5)+2))-0.5</f>
        <v>5.555555555555558E-2</v>
      </c>
      <c r="S815" s="51">
        <f ca="1">1+MAX(0,Tabla2[[#This Row],[Deuda actual]]/Tabla2[[#This Row],[Liquidez]]+Tabla2[[#This Row],[Liquidez]]/(Tabla2[[#This Row],[Activos]]+Tabla2[[#This Row],[Liquidez]])+Tabla2[[#This Row],[Comunicación]])</f>
        <v>3.8340911862585196</v>
      </c>
      <c r="T815">
        <f ca="1">Tabla2[[#This Row],[Deuda actual]]*EXP(Tabla2[[#This Row],[Ki]]*Tabla2[[#This Row],[diferencia de días]])*(1+Tabla2[[#This Row],[Hg]])</f>
        <v>4509.0113348237701</v>
      </c>
    </row>
    <row r="816" spans="1:20" ht="14.5" x14ac:dyDescent="0.35">
      <c r="A816" t="e">
        <f t="shared" si="132"/>
        <v>#VALUE!</v>
      </c>
      <c r="B816" s="21">
        <f t="shared" ca="1" si="133"/>
        <v>46110</v>
      </c>
      <c r="C816" s="21">
        <f t="shared" ca="1" si="134"/>
        <v>46157</v>
      </c>
      <c r="D816">
        <f t="shared" ca="1" si="135"/>
        <v>24</v>
      </c>
      <c r="E816">
        <f t="shared" ca="1" si="136"/>
        <v>0.44857281751192524</v>
      </c>
      <c r="F816" s="47">
        <f t="shared" ca="1" si="137"/>
        <v>10000</v>
      </c>
      <c r="G816" s="32" t="str">
        <f t="shared" ca="1" si="138"/>
        <v>hipotecario</v>
      </c>
      <c r="H81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16" t="str">
        <f t="shared" ca="1" si="139"/>
        <v>No</v>
      </c>
      <c r="J81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165000.3258417013</v>
      </c>
      <c r="K816" s="32" t="str">
        <f ca="1">IF(Tabla2[[#This Row],[¿cliente deuda abierta?]]="Sí", Tabla2[[#This Row],[Deuda actual]]*Tabla2[[#This Row],[diferencia de días]], "0")</f>
        <v>0</v>
      </c>
      <c r="L81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1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81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816">
        <f t="shared" ca="1" si="140"/>
        <v>1465.66</v>
      </c>
      <c r="P816">
        <f t="shared" ca="1" si="141"/>
        <v>404149.32</v>
      </c>
      <c r="Q816">
        <f t="shared" ca="1" si="142"/>
        <v>3</v>
      </c>
      <c r="R816">
        <f ca="1">((Tabla2[[#This Row],[Fantasma Comunicación]]+1)/(Tabla2[[#This Row],[Fantasma Comunicación]]+RANDBETWEEN(0,5)+2))-0.5</f>
        <v>0.16666666666666663</v>
      </c>
      <c r="S816" s="51">
        <f ca="1">1+MAX(0,Tabla2[[#This Row],[Deuda actual]]/Tabla2[[#This Row],[Liquidez]]+Tabla2[[#This Row],[Liquidez]]/(Tabla2[[#This Row],[Activos]]+Tabla2[[#This Row],[Liquidez]])+Tabla2[[#This Row],[Comunicación]])</f>
        <v>7.9931448778356922</v>
      </c>
      <c r="T816">
        <f ca="1">Tabla2[[#This Row],[Deuda actual]]*EXP(Tabla2[[#This Row],[Ki]]*Tabla2[[#This Row],[diferencia de días]])*(1+Tabla2[[#This Row],[Hg]])</f>
        <v>8077.1698224846004</v>
      </c>
    </row>
    <row r="817" spans="1:20" ht="14.5" x14ac:dyDescent="0.35">
      <c r="A817" t="e">
        <f t="shared" si="132"/>
        <v>#VALUE!</v>
      </c>
      <c r="B817" s="21">
        <f t="shared" ca="1" si="133"/>
        <v>46118</v>
      </c>
      <c r="C817" s="21">
        <f t="shared" ca="1" si="134"/>
        <v>46157</v>
      </c>
      <c r="D817">
        <f t="shared" ca="1" si="135"/>
        <v>2</v>
      </c>
      <c r="E817">
        <f t="shared" ca="1" si="136"/>
        <v>0.86300894832905528</v>
      </c>
      <c r="F817" s="47">
        <f t="shared" ca="1" si="137"/>
        <v>10000</v>
      </c>
      <c r="G817" s="32" t="str">
        <f t="shared" ca="1" si="138"/>
        <v>hipotecario</v>
      </c>
      <c r="H81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17" t="str">
        <f t="shared" ca="1" si="139"/>
        <v>Sí</v>
      </c>
      <c r="J81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17" s="32">
        <f ca="1">IF(Tabla2[[#This Row],[¿cliente deuda abierta?]]="Sí", Tabla2[[#This Row],[Deuda actual]]*Tabla2[[#This Row],[diferencia de días]], "0")</f>
        <v>20000</v>
      </c>
      <c r="L81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1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1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17">
        <f t="shared" ca="1" si="140"/>
        <v>1319.45</v>
      </c>
      <c r="P817">
        <f t="shared" ca="1" si="141"/>
        <v>105416.76</v>
      </c>
      <c r="Q817">
        <f t="shared" ca="1" si="142"/>
        <v>2</v>
      </c>
      <c r="R817">
        <f ca="1">((Tabla2[[#This Row],[Fantasma Comunicación]]+1)/(Tabla2[[#This Row],[Fantasma Comunicación]]+RANDBETWEEN(0,5)+2))-0.5</f>
        <v>0.25</v>
      </c>
      <c r="S817" s="51">
        <f ca="1">1+MAX(0,Tabla2[[#This Row],[Deuda actual]]/Tabla2[[#This Row],[Liquidez]]+Tabla2[[#This Row],[Liquidez]]/(Tabla2[[#This Row],[Activos]]+Tabla2[[#This Row],[Liquidez]])+Tabla2[[#This Row],[Comunicación]])</f>
        <v>8.8412772414510474</v>
      </c>
      <c r="T817">
        <f ca="1">Tabla2[[#This Row],[Deuda actual]]*EXP(Tabla2[[#This Row],[Ki]]*Tabla2[[#This Row],[diferencia de días]])*(1+Tabla2[[#This Row],[Hg]])</f>
        <v>10504.200840112013</v>
      </c>
    </row>
    <row r="818" spans="1:20" ht="14.5" x14ac:dyDescent="0.35">
      <c r="A818" t="e">
        <f t="shared" si="132"/>
        <v>#VALUE!</v>
      </c>
      <c r="B818" s="21">
        <f t="shared" ca="1" si="133"/>
        <v>46091</v>
      </c>
      <c r="C818" s="21">
        <f t="shared" ca="1" si="134"/>
        <v>46157</v>
      </c>
      <c r="D818">
        <f t="shared" ca="1" si="135"/>
        <v>7</v>
      </c>
      <c r="E818">
        <f t="shared" ca="1" si="136"/>
        <v>0.12206298028123441</v>
      </c>
      <c r="F818" s="47">
        <f t="shared" ca="1" si="137"/>
        <v>312.18</v>
      </c>
      <c r="G818" s="32" t="str">
        <f t="shared" ca="1" si="138"/>
        <v>hipotecario</v>
      </c>
      <c r="H81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18" t="str">
        <f t="shared" ca="1" si="139"/>
        <v>Sí</v>
      </c>
      <c r="J81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18" s="32">
        <f ca="1">IF(Tabla2[[#This Row],[¿cliente deuda abierta?]]="Sí", Tabla2[[#This Row],[Deuda actual]]*Tabla2[[#This Row],[diferencia de días]], "0")</f>
        <v>2185.2600000000002</v>
      </c>
      <c r="L81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1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1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18">
        <f t="shared" ca="1" si="140"/>
        <v>1132.53</v>
      </c>
      <c r="P818">
        <f t="shared" ca="1" si="141"/>
        <v>76737.56</v>
      </c>
      <c r="Q818">
        <f t="shared" ca="1" si="142"/>
        <v>1</v>
      </c>
      <c r="R818">
        <f ca="1">((Tabla2[[#This Row],[Fantasma Comunicación]]+1)/(Tabla2[[#This Row],[Fantasma Comunicación]]+RANDBETWEEN(0,5)+2))-0.5</f>
        <v>-0.25</v>
      </c>
      <c r="S818" s="51">
        <f ca="1">1+MAX(0,Tabla2[[#This Row],[Deuda actual]]/Tabla2[[#This Row],[Liquidez]]+Tabla2[[#This Row],[Liquidez]]/(Tabla2[[#This Row],[Activos]]+Tabla2[[#This Row],[Liquidez]])+Tabla2[[#This Row],[Comunicación]])</f>
        <v>1.0401921655304505</v>
      </c>
      <c r="T818">
        <f ca="1">Tabla2[[#This Row],[Deuda actual]]*EXP(Tabla2[[#This Row],[Ki]]*Tabla2[[#This Row],[diferencia de días]])*(1+Tabla2[[#This Row],[Hg]])</f>
        <v>328.24822598318133</v>
      </c>
    </row>
    <row r="819" spans="1:20" ht="14.5" x14ac:dyDescent="0.35">
      <c r="A819" t="e">
        <f t="shared" si="132"/>
        <v>#VALUE!</v>
      </c>
      <c r="B819" s="21">
        <f t="shared" ca="1" si="133"/>
        <v>46082</v>
      </c>
      <c r="C819" s="21">
        <f t="shared" ca="1" si="134"/>
        <v>46157</v>
      </c>
      <c r="D819">
        <f t="shared" ca="1" si="135"/>
        <v>5</v>
      </c>
      <c r="E819">
        <f t="shared" ca="1" si="136"/>
        <v>7.8511862098596841E-2</v>
      </c>
      <c r="F819" s="47">
        <f t="shared" ca="1" si="137"/>
        <v>1918.47</v>
      </c>
      <c r="G819" s="32" t="str">
        <f t="shared" ca="1" si="138"/>
        <v>hipotecario</v>
      </c>
      <c r="H81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19" t="str">
        <f t="shared" ca="1" si="139"/>
        <v>Sí</v>
      </c>
      <c r="J81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19" s="32">
        <f ca="1">IF(Tabla2[[#This Row],[¿cliente deuda abierta?]]="Sí", Tabla2[[#This Row],[Deuda actual]]*Tabla2[[#This Row],[diferencia de días]], "0")</f>
        <v>9592.35</v>
      </c>
      <c r="L81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1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1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19">
        <f t="shared" ca="1" si="140"/>
        <v>1799.77</v>
      </c>
      <c r="P819">
        <f t="shared" ca="1" si="141"/>
        <v>268449.44</v>
      </c>
      <c r="Q819">
        <f t="shared" ca="1" si="142"/>
        <v>0</v>
      </c>
      <c r="R819">
        <f ca="1">((Tabla2[[#This Row],[Fantasma Comunicación]]+1)/(Tabla2[[#This Row],[Fantasma Comunicación]]+RANDBETWEEN(0,5)+2))-0.5</f>
        <v>-0.16666666666666669</v>
      </c>
      <c r="S819" s="51">
        <f ca="1">1+MAX(0,Tabla2[[#This Row],[Deuda actual]]/Tabla2[[#This Row],[Liquidez]]+Tabla2[[#This Row],[Liquidez]]/(Tabla2[[#This Row],[Activos]]+Tabla2[[#This Row],[Liquidez]])+Tabla2[[#This Row],[Comunicación]])</f>
        <v>1.9059458730304737</v>
      </c>
      <c r="T819">
        <f ca="1">Tabla2[[#This Row],[Deuda actual]]*EXP(Tabla2[[#This Row],[Ki]]*Tabla2[[#This Row],[diferencia de días]])*(1+Tabla2[[#This Row],[Hg]])</f>
        <v>2016.4089010325663</v>
      </c>
    </row>
    <row r="820" spans="1:20" ht="14.5" x14ac:dyDescent="0.35">
      <c r="A820" t="e">
        <f t="shared" si="132"/>
        <v>#VALUE!</v>
      </c>
      <c r="B820" s="21">
        <f t="shared" ca="1" si="133"/>
        <v>46086</v>
      </c>
      <c r="C820" s="21">
        <f t="shared" ca="1" si="134"/>
        <v>46157</v>
      </c>
      <c r="D820">
        <f t="shared" ca="1" si="135"/>
        <v>50</v>
      </c>
      <c r="E820">
        <f t="shared" ca="1" si="136"/>
        <v>0.39787529028883062</v>
      </c>
      <c r="F820" s="47">
        <f t="shared" ca="1" si="137"/>
        <v>63.32</v>
      </c>
      <c r="G820" s="32" t="str">
        <f t="shared" ca="1" si="138"/>
        <v>personal</v>
      </c>
      <c r="H82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1.5E-3</v>
      </c>
      <c r="I820" t="str">
        <f t="shared" ca="1" si="139"/>
        <v>Sí</v>
      </c>
      <c r="J82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20" s="32">
        <f ca="1">IF(Tabla2[[#This Row],[¿cliente deuda abierta?]]="Sí", Tabla2[[#This Row],[Deuda actual]]*Tabla2[[#This Row],[diferencia de días]], "0")</f>
        <v>3166</v>
      </c>
      <c r="L82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2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2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20">
        <f t="shared" ca="1" si="140"/>
        <v>1608.18</v>
      </c>
      <c r="P820">
        <f t="shared" ca="1" si="141"/>
        <v>104623.53</v>
      </c>
      <c r="Q820">
        <f t="shared" ca="1" si="142"/>
        <v>0</v>
      </c>
      <c r="R820">
        <f ca="1">((Tabla2[[#This Row],[Fantasma Comunicación]]+1)/(Tabla2[[#This Row],[Fantasma Comunicación]]+RANDBETWEEN(0,5)+2))-0.5</f>
        <v>-0.33333333333333337</v>
      </c>
      <c r="S820" s="51">
        <f ca="1">1+MAX(0,Tabla2[[#This Row],[Deuda actual]]/Tabla2[[#This Row],[Liquidez]]+Tabla2[[#This Row],[Liquidez]]/(Tabla2[[#This Row],[Activos]]+Tabla2[[#This Row],[Liquidez]])+Tabla2[[#This Row],[Comunicación]])</f>
        <v>1</v>
      </c>
      <c r="T820">
        <f ca="1">Tabla2[[#This Row],[Deuda actual]]*EXP(Tabla2[[#This Row],[Ki]]*Tabla2[[#This Row],[diferencia de días]])*(1+Tabla2[[#This Row],[Hg]])</f>
        <v>71.66420565571562</v>
      </c>
    </row>
    <row r="821" spans="1:20" ht="14.5" x14ac:dyDescent="0.35">
      <c r="A821" t="e">
        <f t="shared" si="132"/>
        <v>#VALUE!</v>
      </c>
      <c r="B821" s="21">
        <f t="shared" ca="1" si="133"/>
        <v>46093</v>
      </c>
      <c r="C821" s="21">
        <f t="shared" ca="1" si="134"/>
        <v>46157</v>
      </c>
      <c r="D821">
        <f t="shared" ca="1" si="135"/>
        <v>6</v>
      </c>
      <c r="E821">
        <f t="shared" ca="1" si="136"/>
        <v>0.5377314726689798</v>
      </c>
      <c r="F821" s="47">
        <f t="shared" ca="1" si="137"/>
        <v>725.5</v>
      </c>
      <c r="G821" s="32" t="str">
        <f t="shared" ca="1" si="138"/>
        <v>personal</v>
      </c>
      <c r="H82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21" t="str">
        <f t="shared" ca="1" si="139"/>
        <v>No</v>
      </c>
      <c r="J82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12001.500111125457</v>
      </c>
      <c r="K821" s="32" t="str">
        <f ca="1">IF(Tabla2[[#This Row],[¿cliente deuda abierta?]]="Sí", Tabla2[[#This Row],[Deuda actual]]*Tabla2[[#This Row],[diferencia de días]], "0")</f>
        <v>0</v>
      </c>
      <c r="L82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2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82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821">
        <f t="shared" ca="1" si="140"/>
        <v>1084.6300000000001</v>
      </c>
      <c r="P821">
        <f t="shared" ca="1" si="141"/>
        <v>101680.97</v>
      </c>
      <c r="Q821">
        <f t="shared" ca="1" si="142"/>
        <v>5</v>
      </c>
      <c r="R821">
        <f ca="1">((Tabla2[[#This Row],[Fantasma Comunicación]]+1)/(Tabla2[[#This Row],[Fantasma Comunicación]]+RANDBETWEEN(0,5)+2))-0.5</f>
        <v>0</v>
      </c>
      <c r="S821" s="51">
        <f ca="1">1+MAX(0,Tabla2[[#This Row],[Deuda actual]]/Tabla2[[#This Row],[Liquidez]]+Tabla2[[#This Row],[Liquidez]]/(Tabla2[[#This Row],[Activos]]+Tabla2[[#This Row],[Liquidez]])+Tabla2[[#This Row],[Comunicación]])</f>
        <v>1.6794461030970556</v>
      </c>
      <c r="T821">
        <f ca="1">Tabla2[[#This Row],[Deuda actual]]*EXP(Tabla2[[#This Row],[Ki]]*Tabla2[[#This Row],[diferencia de días]])*(1+Tabla2[[#This Row],[Hg]])</f>
        <v>653.73401031210597</v>
      </c>
    </row>
    <row r="822" spans="1:20" ht="14.5" x14ac:dyDescent="0.35">
      <c r="A822" t="e">
        <f t="shared" si="132"/>
        <v>#VALUE!</v>
      </c>
      <c r="B822" s="21">
        <f t="shared" ca="1" si="133"/>
        <v>46101</v>
      </c>
      <c r="C822" s="21">
        <f t="shared" ca="1" si="134"/>
        <v>46157</v>
      </c>
      <c r="D822">
        <f t="shared" ca="1" si="135"/>
        <v>13</v>
      </c>
      <c r="E822">
        <f t="shared" ca="1" si="136"/>
        <v>0.30184688642648694</v>
      </c>
      <c r="F822" s="47">
        <f t="shared" ca="1" si="137"/>
        <v>10000</v>
      </c>
      <c r="G822" s="32" t="str">
        <f t="shared" ca="1" si="138"/>
        <v>personal</v>
      </c>
      <c r="H82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22" t="str">
        <f t="shared" ca="1" si="139"/>
        <v>Sí</v>
      </c>
      <c r="J82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22" s="32">
        <f ca="1">IF(Tabla2[[#This Row],[¿cliente deuda abierta?]]="Sí", Tabla2[[#This Row],[Deuda actual]]*Tabla2[[#This Row],[diferencia de días]], "0")</f>
        <v>130000</v>
      </c>
      <c r="L82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82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22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822">
        <f t="shared" ca="1" si="140"/>
        <v>2115.7600000000002</v>
      </c>
      <c r="P822">
        <f t="shared" ca="1" si="141"/>
        <v>79114.89</v>
      </c>
      <c r="Q822">
        <f t="shared" ca="1" si="142"/>
        <v>2</v>
      </c>
      <c r="R822">
        <f ca="1">((Tabla2[[#This Row],[Fantasma Comunicación]]+1)/(Tabla2[[#This Row],[Fantasma Comunicación]]+RANDBETWEEN(0,5)+2))-0.5</f>
        <v>-0.125</v>
      </c>
      <c r="S822" s="51">
        <f ca="1">1+MAX(0,Tabla2[[#This Row],[Deuda actual]]/Tabla2[[#This Row],[Liquidez]]+Tabla2[[#This Row],[Liquidez]]/(Tabla2[[#This Row],[Activos]]+Tabla2[[#This Row],[Liquidez]])+Tabla2[[#This Row],[Comunicación]])</f>
        <v>5.627480326185287</v>
      </c>
      <c r="T822">
        <f ca="1">Tabla2[[#This Row],[Deuda actual]]*EXP(Tabla2[[#This Row],[Ki]]*Tabla2[[#This Row],[diferencia de días]])*(1+Tabla2[[#This Row],[Hg]])</f>
        <v>11529.938903709241</v>
      </c>
    </row>
    <row r="823" spans="1:20" ht="14.5" x14ac:dyDescent="0.35">
      <c r="A823" t="e">
        <f t="shared" si="132"/>
        <v>#VALUE!</v>
      </c>
      <c r="B823" s="21">
        <f t="shared" ca="1" si="133"/>
        <v>46143</v>
      </c>
      <c r="C823" s="21">
        <f t="shared" ca="1" si="134"/>
        <v>46157</v>
      </c>
      <c r="D823">
        <f t="shared" ca="1" si="135"/>
        <v>19</v>
      </c>
      <c r="E823">
        <f t="shared" ca="1" si="136"/>
        <v>0.22333031460014841</v>
      </c>
      <c r="F823" s="47">
        <f t="shared" ca="1" si="137"/>
        <v>8710.2199999999993</v>
      </c>
      <c r="G823" s="32" t="str">
        <f t="shared" ca="1" si="138"/>
        <v>personal</v>
      </c>
      <c r="H82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23" t="str">
        <f t="shared" ca="1" si="139"/>
        <v>No</v>
      </c>
      <c r="J82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11999.348406090552</v>
      </c>
      <c r="K823" s="32" t="str">
        <f ca="1">IF(Tabla2[[#This Row],[¿cliente deuda abierta?]]="Sí", Tabla2[[#This Row],[Deuda actual]]*Tabla2[[#This Row],[diferencia de días]], "0")</f>
        <v>0</v>
      </c>
      <c r="L82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2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82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823">
        <f t="shared" ca="1" si="140"/>
        <v>1890.05</v>
      </c>
      <c r="P823">
        <f t="shared" ca="1" si="141"/>
        <v>53675.85</v>
      </c>
      <c r="Q823">
        <f t="shared" ca="1" si="142"/>
        <v>2</v>
      </c>
      <c r="R823">
        <f ca="1">((Tabla2[[#This Row],[Fantasma Comunicación]]+1)/(Tabla2[[#This Row],[Fantasma Comunicación]]+RANDBETWEEN(0,5)+2))-0.5</f>
        <v>-0.16666666666666669</v>
      </c>
      <c r="S823" s="51">
        <f ca="1">1+MAX(0,Tabla2[[#This Row],[Deuda actual]]/Tabla2[[#This Row],[Liquidez]]+Tabla2[[#This Row],[Liquidez]]/(Tabla2[[#This Row],[Activos]]+Tabla2[[#This Row],[Liquidez]])+Tabla2[[#This Row],[Comunicación]])</f>
        <v>5.4758079934693686</v>
      </c>
      <c r="T823">
        <f ca="1">Tabla2[[#This Row],[Deuda actual]]*EXP(Tabla2[[#This Row],[Ki]]*Tabla2[[#This Row],[diferencia de días]])*(1+Tabla2[[#This Row],[Hg]])</f>
        <v>7899.002875466249</v>
      </c>
    </row>
    <row r="824" spans="1:20" ht="14.5" x14ac:dyDescent="0.35">
      <c r="A824" t="e">
        <f t="shared" si="132"/>
        <v>#VALUE!</v>
      </c>
      <c r="B824" s="21">
        <f t="shared" ca="1" si="133"/>
        <v>46116</v>
      </c>
      <c r="C824" s="21">
        <f t="shared" ca="1" si="134"/>
        <v>46157</v>
      </c>
      <c r="D824">
        <f t="shared" ca="1" si="135"/>
        <v>38</v>
      </c>
      <c r="E824">
        <f t="shared" ca="1" si="136"/>
        <v>0.92247236312935954</v>
      </c>
      <c r="F824" s="47">
        <f t="shared" ca="1" si="137"/>
        <v>4286.97</v>
      </c>
      <c r="G824" s="32" t="str">
        <f t="shared" ca="1" si="138"/>
        <v>hipotecario</v>
      </c>
      <c r="H82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824" t="str">
        <f t="shared" ca="1" si="139"/>
        <v>No</v>
      </c>
      <c r="J82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165000.96418477857</v>
      </c>
      <c r="K824" s="32" t="str">
        <f ca="1">IF(Tabla2[[#This Row],[¿cliente deuda abierta?]]="Sí", Tabla2[[#This Row],[Deuda actual]]*Tabla2[[#This Row],[diferencia de días]], "0")</f>
        <v>0</v>
      </c>
      <c r="L82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2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82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824">
        <f t="shared" ca="1" si="140"/>
        <v>1937.15</v>
      </c>
      <c r="P824">
        <f t="shared" ca="1" si="141"/>
        <v>204127.66</v>
      </c>
      <c r="Q824">
        <f t="shared" ca="1" si="142"/>
        <v>3</v>
      </c>
      <c r="R824">
        <f ca="1">((Tabla2[[#This Row],[Fantasma Comunicación]]+1)/(Tabla2[[#This Row],[Fantasma Comunicación]]+RANDBETWEEN(0,5)+2))-0.5</f>
        <v>-9.9999999999999978E-2</v>
      </c>
      <c r="S824" s="51">
        <f ca="1">1+MAX(0,Tabla2[[#This Row],[Deuda actual]]/Tabla2[[#This Row],[Liquidez]]+Tabla2[[#This Row],[Liquidez]]/(Tabla2[[#This Row],[Activos]]+Tabla2[[#This Row],[Liquidez]])+Tabla2[[#This Row],[Comunicación]])</f>
        <v>3.1224301336936149</v>
      </c>
      <c r="T824">
        <f ca="1">Tabla2[[#This Row],[Deuda actual]]*EXP(Tabla2[[#This Row],[Ki]]*Tabla2[[#This Row],[diferencia de días]])*(1+Tabla2[[#This Row],[Hg]])</f>
        <v>3562.4077067305066</v>
      </c>
    </row>
    <row r="825" spans="1:20" ht="14.5" x14ac:dyDescent="0.35">
      <c r="A825" t="e">
        <f t="shared" si="132"/>
        <v>#VALUE!</v>
      </c>
      <c r="B825" s="21">
        <f t="shared" ca="1" si="133"/>
        <v>46091</v>
      </c>
      <c r="C825" s="21">
        <f t="shared" ca="1" si="134"/>
        <v>46157</v>
      </c>
      <c r="D825">
        <f t="shared" ca="1" si="135"/>
        <v>101</v>
      </c>
      <c r="E825">
        <f t="shared" ca="1" si="136"/>
        <v>0.97480142277743842</v>
      </c>
      <c r="F825" s="47">
        <f t="shared" ca="1" si="137"/>
        <v>1513.49</v>
      </c>
      <c r="G825" s="32" t="str">
        <f t="shared" ca="1" si="138"/>
        <v>hipotecario</v>
      </c>
      <c r="H82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0</v>
      </c>
      <c r="I825" t="str">
        <f t="shared" ca="1" si="139"/>
        <v>No</v>
      </c>
      <c r="J82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164999.22689120818</v>
      </c>
      <c r="K825" s="32" t="str">
        <f ca="1">IF(Tabla2[[#This Row],[¿cliente deuda abierta?]]="Sí", Tabla2[[#This Row],[Deuda actual]]*Tabla2[[#This Row],[diferencia de días]], "0")</f>
        <v>0</v>
      </c>
      <c r="L82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0.5</v>
      </c>
      <c r="M82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82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-0.5</v>
      </c>
      <c r="O825">
        <f t="shared" ca="1" si="140"/>
        <v>1547.38</v>
      </c>
      <c r="P825">
        <f t="shared" ca="1" si="141"/>
        <v>34425.519999999997</v>
      </c>
      <c r="Q825">
        <f t="shared" ca="1" si="142"/>
        <v>5</v>
      </c>
      <c r="R825">
        <f ca="1">((Tabla2[[#This Row],[Fantasma Comunicación]]+1)/(Tabla2[[#This Row],[Fantasma Comunicación]]+RANDBETWEEN(0,5)+2))-0.5</f>
        <v>0.16666666666666663</v>
      </c>
      <c r="S825" s="51">
        <f ca="1">1+MAX(0,Tabla2[[#This Row],[Deuda actual]]/Tabla2[[#This Row],[Liquidez]]+Tabla2[[#This Row],[Liquidez]]/(Tabla2[[#This Row],[Activos]]+Tabla2[[#This Row],[Liquidez]])+Tabla2[[#This Row],[Comunicación]])</f>
        <v>2.1877802885087498</v>
      </c>
      <c r="T825">
        <f ca="1">Tabla2[[#This Row],[Deuda actual]]*EXP(Tabla2[[#This Row],[Ki]]*Tabla2[[#This Row],[diferencia de días]])*(1+Tabla2[[#This Row],[Hg]])</f>
        <v>756.745</v>
      </c>
    </row>
    <row r="826" spans="1:20" ht="14.5" x14ac:dyDescent="0.35">
      <c r="A826" t="e">
        <f t="shared" si="132"/>
        <v>#VALUE!</v>
      </c>
      <c r="B826" s="21">
        <f t="shared" ca="1" si="133"/>
        <v>46088</v>
      </c>
      <c r="C826" s="21">
        <f t="shared" ca="1" si="134"/>
        <v>46157</v>
      </c>
      <c r="D826">
        <f t="shared" ca="1" si="135"/>
        <v>31</v>
      </c>
      <c r="E826">
        <f t="shared" ca="1" si="136"/>
        <v>0.65217108063238516</v>
      </c>
      <c r="F826" s="47">
        <f t="shared" ca="1" si="137"/>
        <v>559.08000000000004</v>
      </c>
      <c r="G826" s="32" t="str">
        <f t="shared" ca="1" si="138"/>
        <v>personal</v>
      </c>
      <c r="H82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826" t="str">
        <f t="shared" ca="1" si="139"/>
        <v>Sí</v>
      </c>
      <c r="J82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26" s="32">
        <f ca="1">IF(Tabla2[[#This Row],[¿cliente deuda abierta?]]="Sí", Tabla2[[#This Row],[Deuda actual]]*Tabla2[[#This Row],[diferencia de días]], "0")</f>
        <v>17331.48</v>
      </c>
      <c r="L82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2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2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26">
        <f t="shared" ca="1" si="140"/>
        <v>1826.2</v>
      </c>
      <c r="P826">
        <f t="shared" ca="1" si="141"/>
        <v>370786.72</v>
      </c>
      <c r="Q826">
        <f t="shared" ca="1" si="142"/>
        <v>0</v>
      </c>
      <c r="R826">
        <f ca="1">((Tabla2[[#This Row],[Fantasma Comunicación]]+1)/(Tabla2[[#This Row],[Fantasma Comunicación]]+RANDBETWEEN(0,5)+2))-0.5</f>
        <v>-0.16666666666666669</v>
      </c>
      <c r="S826" s="51">
        <f ca="1">1+MAX(0,Tabla2[[#This Row],[Deuda actual]]/Tabla2[[#This Row],[Liquidez]]+Tabla2[[#This Row],[Liquidez]]/(Tabla2[[#This Row],[Activos]]+Tabla2[[#This Row],[Liquidez]])+Tabla2[[#This Row],[Comunicación]])</f>
        <v>1.1443783033328554</v>
      </c>
      <c r="T826">
        <f ca="1">Tabla2[[#This Row],[Deuda actual]]*EXP(Tabla2[[#This Row],[Ki]]*Tabla2[[#This Row],[diferencia de días]])*(1+Tabla2[[#This Row],[Hg]])</f>
        <v>605.51706128852095</v>
      </c>
    </row>
    <row r="827" spans="1:20" ht="14.5" x14ac:dyDescent="0.35">
      <c r="A827" t="e">
        <f t="shared" si="132"/>
        <v>#VALUE!</v>
      </c>
      <c r="B827" s="21">
        <f t="shared" ca="1" si="133"/>
        <v>46094</v>
      </c>
      <c r="C827" s="21">
        <f t="shared" ca="1" si="134"/>
        <v>46157</v>
      </c>
      <c r="D827">
        <f t="shared" ca="1" si="135"/>
        <v>6</v>
      </c>
      <c r="E827">
        <f t="shared" ca="1" si="136"/>
        <v>0.26831068417230108</v>
      </c>
      <c r="F827" s="47">
        <f t="shared" ca="1" si="137"/>
        <v>102.92</v>
      </c>
      <c r="G827" s="32" t="str">
        <f t="shared" ca="1" si="138"/>
        <v>personal</v>
      </c>
      <c r="H82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27" t="str">
        <f t="shared" ca="1" si="139"/>
        <v>Sí</v>
      </c>
      <c r="J82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27" s="32">
        <f ca="1">IF(Tabla2[[#This Row],[¿cliente deuda abierta?]]="Sí", Tabla2[[#This Row],[Deuda actual]]*Tabla2[[#This Row],[diferencia de días]], "0")</f>
        <v>617.52</v>
      </c>
      <c r="L82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2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2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27">
        <f t="shared" ca="1" si="140"/>
        <v>1526.36</v>
      </c>
      <c r="P827">
        <f t="shared" ca="1" si="141"/>
        <v>98538.13</v>
      </c>
      <c r="Q827">
        <f t="shared" ca="1" si="142"/>
        <v>4</v>
      </c>
      <c r="R827">
        <f ca="1">((Tabla2[[#This Row],[Fantasma Comunicación]]+1)/(Tabla2[[#This Row],[Fantasma Comunicación]]+RANDBETWEEN(0,5)+2))-0.5</f>
        <v>0.2142857142857143</v>
      </c>
      <c r="S827" s="51">
        <f ca="1">1+MAX(0,Tabla2[[#This Row],[Deuda actual]]/Tabla2[[#This Row],[Liquidez]]+Tabla2[[#This Row],[Liquidez]]/(Tabla2[[#This Row],[Activos]]+Tabla2[[#This Row],[Liquidez]])+Tabla2[[#This Row],[Comunicación]])</f>
        <v>1.2969678688633963</v>
      </c>
      <c r="T827">
        <f ca="1">Tabla2[[#This Row],[Deuda actual]]*EXP(Tabla2[[#This Row],[Ki]]*Tabla2[[#This Row],[diferencia de días]])*(1+Tabla2[[#This Row],[Hg]])</f>
        <v>108.19575703865235</v>
      </c>
    </row>
    <row r="828" spans="1:20" ht="14.5" x14ac:dyDescent="0.35">
      <c r="A828" t="e">
        <f t="shared" si="132"/>
        <v>#VALUE!</v>
      </c>
      <c r="B828" s="21">
        <f t="shared" ca="1" si="133"/>
        <v>46099</v>
      </c>
      <c r="C828" s="21">
        <f t="shared" ca="1" si="134"/>
        <v>46157</v>
      </c>
      <c r="D828">
        <f t="shared" ca="1" si="135"/>
        <v>36</v>
      </c>
      <c r="E828">
        <f t="shared" ca="1" si="136"/>
        <v>0.815100828504838</v>
      </c>
      <c r="F828" s="47">
        <f t="shared" ca="1" si="137"/>
        <v>1273.1600000000001</v>
      </c>
      <c r="G828" s="32" t="str">
        <f t="shared" ca="1" si="138"/>
        <v>hipotecario</v>
      </c>
      <c r="H82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828" t="str">
        <f t="shared" ca="1" si="139"/>
        <v>Sí</v>
      </c>
      <c r="J82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28" s="32">
        <f ca="1">IF(Tabla2[[#This Row],[¿cliente deuda abierta?]]="Sí", Tabla2[[#This Row],[Deuda actual]]*Tabla2[[#This Row],[diferencia de días]], "0")</f>
        <v>45833.760000000002</v>
      </c>
      <c r="L82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82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28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828">
        <f t="shared" ca="1" si="140"/>
        <v>1912.16</v>
      </c>
      <c r="P828">
        <f t="shared" ca="1" si="141"/>
        <v>65689.37</v>
      </c>
      <c r="Q828">
        <f t="shared" ca="1" si="142"/>
        <v>0</v>
      </c>
      <c r="R828">
        <f ca="1">((Tabla2[[#This Row],[Fantasma Comunicación]]+1)/(Tabla2[[#This Row],[Fantasma Comunicación]]+RANDBETWEEN(0,5)+2))-0.5</f>
        <v>-0.25</v>
      </c>
      <c r="S828" s="51">
        <f ca="1">1+MAX(0,Tabla2[[#This Row],[Deuda actual]]/Tabla2[[#This Row],[Liquidez]]+Tabla2[[#This Row],[Liquidez]]/(Tabla2[[#This Row],[Activos]]+Tabla2[[#This Row],[Liquidez]])+Tabla2[[#This Row],[Comunicación]])</f>
        <v>1.4441086940240282</v>
      </c>
      <c r="T828">
        <f ca="1">Tabla2[[#This Row],[Deuda actual]]*EXP(Tabla2[[#This Row],[Ki]]*Tabla2[[#This Row],[diferencia de días]])*(1+Tabla2[[#This Row],[Hg]])</f>
        <v>1451.811633270223</v>
      </c>
    </row>
    <row r="829" spans="1:20" ht="14.5" x14ac:dyDescent="0.35">
      <c r="A829" t="e">
        <f t="shared" si="132"/>
        <v>#VALUE!</v>
      </c>
      <c r="B829" s="21">
        <f t="shared" ca="1" si="133"/>
        <v>46100</v>
      </c>
      <c r="C829" s="21">
        <f t="shared" ca="1" si="134"/>
        <v>46157</v>
      </c>
      <c r="D829">
        <f t="shared" ca="1" si="135"/>
        <v>17</v>
      </c>
      <c r="E829">
        <f t="shared" ca="1" si="136"/>
        <v>0.70291757993326998</v>
      </c>
      <c r="F829" s="47">
        <f t="shared" ca="1" si="137"/>
        <v>421.21</v>
      </c>
      <c r="G829" s="32" t="str">
        <f t="shared" ca="1" si="138"/>
        <v>hipotecario</v>
      </c>
      <c r="H82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29" t="str">
        <f t="shared" ca="1" si="139"/>
        <v>Sí</v>
      </c>
      <c r="J82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29" s="32">
        <f ca="1">IF(Tabla2[[#This Row],[¿cliente deuda abierta?]]="Sí", Tabla2[[#This Row],[Deuda actual]]*Tabla2[[#This Row],[diferencia de días]], "0")</f>
        <v>7160.57</v>
      </c>
      <c r="L82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2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2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29">
        <f t="shared" ca="1" si="140"/>
        <v>1974.41</v>
      </c>
      <c r="P829">
        <f t="shared" ca="1" si="141"/>
        <v>191320.95999999999</v>
      </c>
      <c r="Q829">
        <f t="shared" ca="1" si="142"/>
        <v>0</v>
      </c>
      <c r="R829">
        <f ca="1">((Tabla2[[#This Row],[Fantasma Comunicación]]+1)/(Tabla2[[#This Row],[Fantasma Comunicación]]+RANDBETWEEN(0,5)+2))-0.5</f>
        <v>-0.16666666666666669</v>
      </c>
      <c r="S829" s="51">
        <f ca="1">1+MAX(0,Tabla2[[#This Row],[Deuda actual]]/Tabla2[[#This Row],[Liquidez]]+Tabla2[[#This Row],[Liquidez]]/(Tabla2[[#This Row],[Activos]]+Tabla2[[#This Row],[Liquidez]])+Tabla2[[#This Row],[Comunicación]])</f>
        <v>1.0568824210023393</v>
      </c>
      <c r="T829">
        <f ca="1">Tabla2[[#This Row],[Deuda actual]]*EXP(Tabla2[[#This Row],[Ki]]*Tabla2[[#This Row],[diferencia de días]])*(1+Tabla2[[#This Row],[Hg]])</f>
        <v>445.28818791074815</v>
      </c>
    </row>
    <row r="830" spans="1:20" ht="14.5" x14ac:dyDescent="0.35">
      <c r="A830" t="e">
        <f t="shared" si="132"/>
        <v>#VALUE!</v>
      </c>
      <c r="B830" s="21">
        <f t="shared" ca="1" si="133"/>
        <v>46084</v>
      </c>
      <c r="C830" s="21">
        <f t="shared" ca="1" si="134"/>
        <v>46157</v>
      </c>
      <c r="D830">
        <f t="shared" ca="1" si="135"/>
        <v>20</v>
      </c>
      <c r="E830">
        <f t="shared" ca="1" si="136"/>
        <v>0.14791207312038801</v>
      </c>
      <c r="F830" s="47">
        <f t="shared" ca="1" si="137"/>
        <v>5334.61</v>
      </c>
      <c r="G830" s="32" t="str">
        <f t="shared" ca="1" si="138"/>
        <v>personal</v>
      </c>
      <c r="H83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30" t="str">
        <f t="shared" ca="1" si="139"/>
        <v>Sí</v>
      </c>
      <c r="J83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30" s="32">
        <f ca="1">IF(Tabla2[[#This Row],[¿cliente deuda abierta?]]="Sí", Tabla2[[#This Row],[Deuda actual]]*Tabla2[[#This Row],[diferencia de días]], "0")</f>
        <v>106692.2</v>
      </c>
      <c r="L83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83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30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830">
        <f t="shared" ca="1" si="140"/>
        <v>1516.01</v>
      </c>
      <c r="P830">
        <f t="shared" ca="1" si="141"/>
        <v>88042.38</v>
      </c>
      <c r="Q830">
        <f t="shared" ca="1" si="142"/>
        <v>2</v>
      </c>
      <c r="R830">
        <f ca="1">((Tabla2[[#This Row],[Fantasma Comunicación]]+1)/(Tabla2[[#This Row],[Fantasma Comunicación]]+RANDBETWEEN(0,5)+2))-0.5</f>
        <v>0.25</v>
      </c>
      <c r="S830" s="51">
        <f ca="1">1+MAX(0,Tabla2[[#This Row],[Deuda actual]]/Tabla2[[#This Row],[Liquidez]]+Tabla2[[#This Row],[Liquidez]]/(Tabla2[[#This Row],[Activos]]+Tabla2[[#This Row],[Liquidez]])+Tabla2[[#This Row],[Comunicación]])</f>
        <v>4.785776435862072</v>
      </c>
      <c r="T830">
        <f ca="1">Tabla2[[#This Row],[Deuda actual]]*EXP(Tabla2[[#This Row],[Ki]]*Tabla2[[#This Row],[diferencia de días]])*(1+Tabla2[[#This Row],[Hg]])</f>
        <v>6184.0767501997443</v>
      </c>
    </row>
    <row r="831" spans="1:20" ht="14.5" x14ac:dyDescent="0.35">
      <c r="A831" t="e">
        <f t="shared" si="132"/>
        <v>#VALUE!</v>
      </c>
      <c r="B831" s="21">
        <f t="shared" ca="1" si="133"/>
        <v>46117</v>
      </c>
      <c r="C831" s="21">
        <f t="shared" ca="1" si="134"/>
        <v>46157</v>
      </c>
      <c r="D831">
        <f t="shared" ca="1" si="135"/>
        <v>9</v>
      </c>
      <c r="E831">
        <f t="shared" ca="1" si="136"/>
        <v>0.69972430158603294</v>
      </c>
      <c r="F831" s="47">
        <f t="shared" ca="1" si="137"/>
        <v>266.36</v>
      </c>
      <c r="G831" s="32" t="str">
        <f t="shared" ca="1" si="138"/>
        <v>personal</v>
      </c>
      <c r="H83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31" t="str">
        <f t="shared" ca="1" si="139"/>
        <v>No</v>
      </c>
      <c r="J83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11998.735153971162</v>
      </c>
      <c r="K831" s="32" t="str">
        <f ca="1">IF(Tabla2[[#This Row],[¿cliente deuda abierta?]]="Sí", Tabla2[[#This Row],[Deuda actual]]*Tabla2[[#This Row],[diferencia de días]], "0")</f>
        <v>0</v>
      </c>
      <c r="L83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3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83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831">
        <f t="shared" ca="1" si="140"/>
        <v>1729.9</v>
      </c>
      <c r="P831">
        <f t="shared" ca="1" si="141"/>
        <v>128522.81</v>
      </c>
      <c r="Q831">
        <f t="shared" ca="1" si="142"/>
        <v>5</v>
      </c>
      <c r="R831">
        <f ca="1">((Tabla2[[#This Row],[Fantasma Comunicación]]+1)/(Tabla2[[#This Row],[Fantasma Comunicación]]+RANDBETWEEN(0,5)+2))-0.5</f>
        <v>4.5454545454545414E-2</v>
      </c>
      <c r="S831" s="51">
        <f ca="1">1+MAX(0,Tabla2[[#This Row],[Deuda actual]]/Tabla2[[#This Row],[Liquidez]]+Tabla2[[#This Row],[Liquidez]]/(Tabla2[[#This Row],[Activos]]+Tabla2[[#This Row],[Liquidez]])+Tabla2[[#This Row],[Comunicación]])</f>
        <v>1.2127098692466485</v>
      </c>
      <c r="T831">
        <f ca="1">Tabla2[[#This Row],[Deuda actual]]*EXP(Tabla2[[#This Row],[Ki]]*Tabla2[[#This Row],[diferencia de días]])*(1+Tabla2[[#This Row],[Hg]])</f>
        <v>240.15589178599666</v>
      </c>
    </row>
    <row r="832" spans="1:20" ht="14.5" x14ac:dyDescent="0.35">
      <c r="A832" t="e">
        <f t="shared" si="132"/>
        <v>#VALUE!</v>
      </c>
      <c r="B832" s="21">
        <f t="shared" ca="1" si="133"/>
        <v>46142</v>
      </c>
      <c r="C832" s="21">
        <f t="shared" ca="1" si="134"/>
        <v>46157</v>
      </c>
      <c r="D832">
        <f t="shared" ca="1" si="135"/>
        <v>9</v>
      </c>
      <c r="E832">
        <f t="shared" ca="1" si="136"/>
        <v>5.8821598902737304E-2</v>
      </c>
      <c r="F832" s="47">
        <f t="shared" ca="1" si="137"/>
        <v>740.02</v>
      </c>
      <c r="G832" s="32" t="str">
        <f t="shared" ca="1" si="138"/>
        <v>personal</v>
      </c>
      <c r="H83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32" t="str">
        <f t="shared" ca="1" si="139"/>
        <v>No</v>
      </c>
      <c r="J83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11999.170122432712</v>
      </c>
      <c r="K832" s="32" t="str">
        <f ca="1">IF(Tabla2[[#This Row],[¿cliente deuda abierta?]]="Sí", Tabla2[[#This Row],[Deuda actual]]*Tabla2[[#This Row],[diferencia de días]], "0")</f>
        <v>0</v>
      </c>
      <c r="L83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3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83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832">
        <f t="shared" ca="1" si="140"/>
        <v>1853.43</v>
      </c>
      <c r="P832">
        <f t="shared" ca="1" si="141"/>
        <v>114539.47</v>
      </c>
      <c r="Q832">
        <f t="shared" ca="1" si="142"/>
        <v>1</v>
      </c>
      <c r="R832">
        <f ca="1">((Tabla2[[#This Row],[Fantasma Comunicación]]+1)/(Tabla2[[#This Row],[Fantasma Comunicación]]+RANDBETWEEN(0,5)+2))-0.5</f>
        <v>0</v>
      </c>
      <c r="S832" s="51">
        <f ca="1">1+MAX(0,Tabla2[[#This Row],[Deuda actual]]/Tabla2[[#This Row],[Liquidez]]+Tabla2[[#This Row],[Liquidez]]/(Tabla2[[#This Row],[Activos]]+Tabla2[[#This Row],[Liquidez]])+Tabla2[[#This Row],[Comunicación]])</f>
        <v>1.4151944510924954</v>
      </c>
      <c r="T832">
        <f ca="1">Tabla2[[#This Row],[Deuda actual]]*EXP(Tabla2[[#This Row],[Ki]]*Tabla2[[#This Row],[diferencia de días]])*(1+Tabla2[[#This Row],[Hg]])</f>
        <v>667.21791199682104</v>
      </c>
    </row>
    <row r="833" spans="1:20" ht="14.5" x14ac:dyDescent="0.35">
      <c r="A833" t="e">
        <f t="shared" si="132"/>
        <v>#VALUE!</v>
      </c>
      <c r="B833" s="21">
        <f t="shared" ca="1" si="133"/>
        <v>46082</v>
      </c>
      <c r="C833" s="21">
        <f t="shared" ca="1" si="134"/>
        <v>46157</v>
      </c>
      <c r="D833">
        <f t="shared" ca="1" si="135"/>
        <v>37</v>
      </c>
      <c r="E833">
        <f t="shared" ca="1" si="136"/>
        <v>0.37878811234957332</v>
      </c>
      <c r="F833" s="47">
        <f t="shared" ca="1" si="137"/>
        <v>1381.08</v>
      </c>
      <c r="G833" s="32" t="str">
        <f t="shared" ca="1" si="138"/>
        <v>hipotecario</v>
      </c>
      <c r="H83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833" t="str">
        <f t="shared" ca="1" si="139"/>
        <v>No</v>
      </c>
      <c r="J83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165000.68884086775</v>
      </c>
      <c r="K833" s="32" t="str">
        <f ca="1">IF(Tabla2[[#This Row],[¿cliente deuda abierta?]]="Sí", Tabla2[[#This Row],[Deuda actual]]*Tabla2[[#This Row],[diferencia de días]], "0")</f>
        <v>0</v>
      </c>
      <c r="L83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3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83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833">
        <f t="shared" ca="1" si="140"/>
        <v>1707.96</v>
      </c>
      <c r="P833">
        <f t="shared" ca="1" si="141"/>
        <v>326109.52</v>
      </c>
      <c r="Q833">
        <f t="shared" ca="1" si="142"/>
        <v>1</v>
      </c>
      <c r="R833">
        <f ca="1">((Tabla2[[#This Row],[Fantasma Comunicación]]+1)/(Tabla2[[#This Row],[Fantasma Comunicación]]+RANDBETWEEN(0,5)+2))-0.5</f>
        <v>-0.25</v>
      </c>
      <c r="S833" s="51">
        <f ca="1">1+MAX(0,Tabla2[[#This Row],[Deuda actual]]/Tabla2[[#This Row],[Liquidez]]+Tabla2[[#This Row],[Liquidez]]/(Tabla2[[#This Row],[Activos]]+Tabla2[[#This Row],[Liquidez]])+Tabla2[[#This Row],[Comunicación]])</f>
        <v>1.5638238792149992</v>
      </c>
      <c r="T833">
        <f ca="1">Tabla2[[#This Row],[Deuda actual]]*EXP(Tabla2[[#This Row],[Ki]]*Tabla2[[#This Row],[diferencia de días]])*(1+Tabla2[[#This Row],[Hg]])</f>
        <v>1146.5096617753295</v>
      </c>
    </row>
    <row r="834" spans="1:20" ht="14.5" x14ac:dyDescent="0.35">
      <c r="A834" t="e">
        <f t="shared" ref="A834:A882" si="143">A833+1</f>
        <v>#VALUE!</v>
      </c>
      <c r="B834" s="21">
        <f t="shared" ref="B834:B897" ca="1" si="144">RANDBETWEEN(DATE(2026,3,1), DATE(2026,5,1))</f>
        <v>46083</v>
      </c>
      <c r="C834" s="21">
        <f t="shared" ref="C834:C897" ca="1" si="145">TODAY()</f>
        <v>46157</v>
      </c>
      <c r="D834">
        <f t="shared" ref="D834:D897" ca="1" si="146">ROUND((-(15) * LN(RAND())),0)</f>
        <v>21</v>
      </c>
      <c r="E834">
        <f t="shared" ref="E834:E897" ca="1" si="147">RAND()</f>
        <v>0.8674345041155157</v>
      </c>
      <c r="F834" s="47">
        <f t="shared" ref="F834:F897" ca="1" si="148">ROUND(MIN(10000, _xlfn.LOGNORM.INV(RAND(), 69/10, 13/10)),2)</f>
        <v>578.77</v>
      </c>
      <c r="G834" s="32" t="str">
        <f t="shared" ref="G834:G897" ca="1" si="149">IF(RAND()&lt;=0.5,"personal","hipotecario")</f>
        <v>hipotecario</v>
      </c>
      <c r="H83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34" t="str">
        <f t="shared" ref="I834:I897" ca="1" si="150">IF(RAND()&lt;=0.65, "Sí", "No")</f>
        <v>No</v>
      </c>
      <c r="J83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165000.42736395629</v>
      </c>
      <c r="K834" s="32" t="str">
        <f ca="1">IF(Tabla2[[#This Row],[¿cliente deuda abierta?]]="Sí", Tabla2[[#This Row],[Deuda actual]]*Tabla2[[#This Row],[diferencia de días]], "0")</f>
        <v>0</v>
      </c>
      <c r="L83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3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83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834">
        <f t="shared" ref="O834:O897" ca="1" si="151">ROUND(1000*(_xlfn.LOGNORM.INV(RAND(), 0.5, 0.2)),2)</f>
        <v>1314.72</v>
      </c>
      <c r="P834">
        <f t="shared" ref="P834:P897" ca="1" si="152">ROUND(50000*(_xlfn.LOGNORM.INV(RAND(), 1, 0.75)),2)</f>
        <v>31516.11</v>
      </c>
      <c r="Q834">
        <f t="shared" ref="Q834:Q897" ca="1" si="153">RANDBETWEEN(0,5)</f>
        <v>2</v>
      </c>
      <c r="R834">
        <f ca="1">((Tabla2[[#This Row],[Fantasma Comunicación]]+1)/(Tabla2[[#This Row],[Fantasma Comunicación]]+RANDBETWEEN(0,5)+2))-0.5</f>
        <v>0.25</v>
      </c>
      <c r="S834" s="51">
        <f ca="1">1+MAX(0,Tabla2[[#This Row],[Deuda actual]]/Tabla2[[#This Row],[Liquidez]]+Tabla2[[#This Row],[Liquidez]]/(Tabla2[[#This Row],[Activos]]+Tabla2[[#This Row],[Liquidez]])+Tabla2[[#This Row],[Comunicación]])</f>
        <v>1.7302682999667365</v>
      </c>
      <c r="T834">
        <f ca="1">Tabla2[[#This Row],[Deuda actual]]*EXP(Tabla2[[#This Row],[Ki]]*Tabla2[[#This Row],[diferencia de días]])*(1+Tabla2[[#This Row],[Hg]])</f>
        <v>466.9217154392652</v>
      </c>
    </row>
    <row r="835" spans="1:20" ht="14.5" x14ac:dyDescent="0.35">
      <c r="A835" t="e">
        <f t="shared" si="143"/>
        <v>#VALUE!</v>
      </c>
      <c r="B835" s="21">
        <f t="shared" ca="1" si="144"/>
        <v>46097</v>
      </c>
      <c r="C835" s="21">
        <f t="shared" ca="1" si="145"/>
        <v>46157</v>
      </c>
      <c r="D835">
        <f t="shared" ca="1" si="146"/>
        <v>3</v>
      </c>
      <c r="E835">
        <f t="shared" ca="1" si="147"/>
        <v>0.1595147967984869</v>
      </c>
      <c r="F835" s="47">
        <f t="shared" ca="1" si="148"/>
        <v>470.21</v>
      </c>
      <c r="G835" s="32" t="str">
        <f t="shared" ca="1" si="149"/>
        <v>personal</v>
      </c>
      <c r="H83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35" t="str">
        <f t="shared" ca="1" si="150"/>
        <v>Sí</v>
      </c>
      <c r="J83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35" s="32">
        <f ca="1">IF(Tabla2[[#This Row],[¿cliente deuda abierta?]]="Sí", Tabla2[[#This Row],[Deuda actual]]*Tabla2[[#This Row],[diferencia de días]], "0")</f>
        <v>1410.6299999999999</v>
      </c>
      <c r="L83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3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3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35">
        <f t="shared" ca="1" si="151"/>
        <v>1606.43</v>
      </c>
      <c r="P835">
        <f t="shared" ca="1" si="152"/>
        <v>273472.53999999998</v>
      </c>
      <c r="Q835">
        <f t="shared" ca="1" si="153"/>
        <v>4</v>
      </c>
      <c r="R835">
        <f ca="1">((Tabla2[[#This Row],[Fantasma Comunicación]]+1)/(Tabla2[[#This Row],[Fantasma Comunicación]]+RANDBETWEEN(0,5)+2))-0.5</f>
        <v>-4.545454545454547E-2</v>
      </c>
      <c r="S835" s="51">
        <f ca="1">1+MAX(0,Tabla2[[#This Row],[Deuda actual]]/Tabla2[[#This Row],[Liquidez]]+Tabla2[[#This Row],[Liquidez]]/(Tabla2[[#This Row],[Activos]]+Tabla2[[#This Row],[Liquidez]])+Tabla2[[#This Row],[Comunicación]])</f>
        <v>1.2530902831930166</v>
      </c>
      <c r="T835">
        <f ca="1">Tabla2[[#This Row],[Deuda actual]]*EXP(Tabla2[[#This Row],[Ki]]*Tabla2[[#This Row],[diferencia de días]])*(1+Tabla2[[#This Row],[Hg]])</f>
        <v>494.01682118746658</v>
      </c>
    </row>
    <row r="836" spans="1:20" ht="14.5" x14ac:dyDescent="0.35">
      <c r="A836" t="e">
        <f t="shared" si="143"/>
        <v>#VALUE!</v>
      </c>
      <c r="B836" s="21">
        <f t="shared" ca="1" si="144"/>
        <v>46094</v>
      </c>
      <c r="C836" s="21">
        <f t="shared" ca="1" si="145"/>
        <v>46157</v>
      </c>
      <c r="D836">
        <f t="shared" ca="1" si="146"/>
        <v>16</v>
      </c>
      <c r="E836">
        <f t="shared" ca="1" si="147"/>
        <v>4.8103695587750739E-2</v>
      </c>
      <c r="F836" s="47">
        <f t="shared" ca="1" si="148"/>
        <v>272.07</v>
      </c>
      <c r="G836" s="32" t="str">
        <f t="shared" ca="1" si="149"/>
        <v>hipotecario</v>
      </c>
      <c r="H83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36" t="str">
        <f t="shared" ca="1" si="150"/>
        <v>Sí</v>
      </c>
      <c r="J83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36" s="32">
        <f ca="1">IF(Tabla2[[#This Row],[¿cliente deuda abierta?]]="Sí", Tabla2[[#This Row],[Deuda actual]]*Tabla2[[#This Row],[diferencia de días]], "0")</f>
        <v>4353.12</v>
      </c>
      <c r="L83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3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3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36">
        <f t="shared" ca="1" si="151"/>
        <v>1783.76</v>
      </c>
      <c r="P836">
        <f t="shared" ca="1" si="152"/>
        <v>242222.47</v>
      </c>
      <c r="Q836">
        <f t="shared" ca="1" si="153"/>
        <v>4</v>
      </c>
      <c r="R836">
        <f ca="1">((Tabla2[[#This Row],[Fantasma Comunicación]]+1)/(Tabla2[[#This Row],[Fantasma Comunicación]]+RANDBETWEEN(0,5)+2))-0.5</f>
        <v>0.2142857142857143</v>
      </c>
      <c r="S836" s="51">
        <f ca="1">1+MAX(0,Tabla2[[#This Row],[Deuda actual]]/Tabla2[[#This Row],[Liquidez]]+Tabla2[[#This Row],[Liquidez]]/(Tabla2[[#This Row],[Activos]]+Tabla2[[#This Row],[Liquidez]])+Tabla2[[#This Row],[Comunicación]])</f>
        <v>1.3741221440272815</v>
      </c>
      <c r="T836">
        <f ca="1">Tabla2[[#This Row],[Deuda actual]]*EXP(Tabla2[[#This Row],[Ki]]*Tabla2[[#This Row],[diferencia de días]])*(1+Tabla2[[#This Row],[Hg]])</f>
        <v>287.50767349454128</v>
      </c>
    </row>
    <row r="837" spans="1:20" ht="14.5" x14ac:dyDescent="0.35">
      <c r="A837" t="e">
        <f t="shared" si="143"/>
        <v>#VALUE!</v>
      </c>
      <c r="B837" s="21">
        <f t="shared" ca="1" si="144"/>
        <v>46090</v>
      </c>
      <c r="C837" s="21">
        <f t="shared" ca="1" si="145"/>
        <v>46157</v>
      </c>
      <c r="D837">
        <f t="shared" ca="1" si="146"/>
        <v>24</v>
      </c>
      <c r="E837">
        <f t="shared" ca="1" si="147"/>
        <v>0.26740040959315903</v>
      </c>
      <c r="F837" s="47">
        <f t="shared" ca="1" si="148"/>
        <v>2771.61</v>
      </c>
      <c r="G837" s="32" t="str">
        <f t="shared" ca="1" si="149"/>
        <v>hipotecario</v>
      </c>
      <c r="H83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37" t="str">
        <f t="shared" ca="1" si="150"/>
        <v>Sí</v>
      </c>
      <c r="J83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37" s="32">
        <f ca="1">IF(Tabla2[[#This Row],[¿cliente deuda abierta?]]="Sí", Tabla2[[#This Row],[Deuda actual]]*Tabla2[[#This Row],[diferencia de días]], "0")</f>
        <v>66518.64</v>
      </c>
      <c r="L83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83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37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837">
        <f t="shared" ca="1" si="151"/>
        <v>1937.9</v>
      </c>
      <c r="P837">
        <f t="shared" ca="1" si="152"/>
        <v>109224.89</v>
      </c>
      <c r="Q837">
        <f t="shared" ca="1" si="153"/>
        <v>0</v>
      </c>
      <c r="R837">
        <f ca="1">((Tabla2[[#This Row],[Fantasma Comunicación]]+1)/(Tabla2[[#This Row],[Fantasma Comunicación]]+RANDBETWEEN(0,5)+2))-0.5</f>
        <v>0</v>
      </c>
      <c r="S837" s="51">
        <f ca="1">1+MAX(0,Tabla2[[#This Row],[Deuda actual]]/Tabla2[[#This Row],[Liquidez]]+Tabla2[[#This Row],[Liquidez]]/(Tabla2[[#This Row],[Activos]]+Tabla2[[#This Row],[Liquidez]])+Tabla2[[#This Row],[Comunicación]])</f>
        <v>2.4476461090331254</v>
      </c>
      <c r="T837">
        <f ca="1">Tabla2[[#This Row],[Deuda actual]]*EXP(Tabla2[[#This Row],[Ki]]*Tabla2[[#This Row],[diferencia de días]])*(1+Tabla2[[#This Row],[Hg]])</f>
        <v>3218.0974186813773</v>
      </c>
    </row>
    <row r="838" spans="1:20" ht="14.5" x14ac:dyDescent="0.35">
      <c r="A838" t="e">
        <f t="shared" si="143"/>
        <v>#VALUE!</v>
      </c>
      <c r="B838" s="21">
        <f t="shared" ca="1" si="144"/>
        <v>46116</v>
      </c>
      <c r="C838" s="21">
        <f t="shared" ca="1" si="145"/>
        <v>46157</v>
      </c>
      <c r="D838">
        <f t="shared" ca="1" si="146"/>
        <v>12</v>
      </c>
      <c r="E838">
        <f t="shared" ca="1" si="147"/>
        <v>0.16018359945697358</v>
      </c>
      <c r="F838" s="47">
        <f t="shared" ca="1" si="148"/>
        <v>1589.3</v>
      </c>
      <c r="G838" s="32" t="str">
        <f t="shared" ca="1" si="149"/>
        <v>hipotecario</v>
      </c>
      <c r="H83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38" t="str">
        <f t="shared" ca="1" si="150"/>
        <v>Sí</v>
      </c>
      <c r="J83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38" s="32">
        <f ca="1">IF(Tabla2[[#This Row],[¿cliente deuda abierta?]]="Sí", Tabla2[[#This Row],[Deuda actual]]*Tabla2[[#This Row],[diferencia de días]], "0")</f>
        <v>19071.599999999999</v>
      </c>
      <c r="L83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3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3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38">
        <f t="shared" ca="1" si="151"/>
        <v>1384.86</v>
      </c>
      <c r="P838">
        <f t="shared" ca="1" si="152"/>
        <v>1014298.36</v>
      </c>
      <c r="Q838">
        <f t="shared" ca="1" si="153"/>
        <v>4</v>
      </c>
      <c r="R838">
        <f ca="1">((Tabla2[[#This Row],[Fantasma Comunicación]]+1)/(Tabla2[[#This Row],[Fantasma Comunicación]]+RANDBETWEEN(0,5)+2))-0.5</f>
        <v>5.555555555555558E-2</v>
      </c>
      <c r="S838" s="51">
        <f ca="1">1+MAX(0,Tabla2[[#This Row],[Deuda actual]]/Tabla2[[#This Row],[Liquidez]]+Tabla2[[#This Row],[Liquidez]]/(Tabla2[[#This Row],[Activos]]+Tabla2[[#This Row],[Liquidez]])+Tabla2[[#This Row],[Comunicación]])</f>
        <v>2.2045440625457817</v>
      </c>
      <c r="T838">
        <f ca="1">Tabla2[[#This Row],[Deuda actual]]*EXP(Tabla2[[#This Row],[Ki]]*Tabla2[[#This Row],[diferencia de días]])*(1+Tabla2[[#This Row],[Hg]])</f>
        <v>1672.7748458903425</v>
      </c>
    </row>
    <row r="839" spans="1:20" ht="14.5" x14ac:dyDescent="0.35">
      <c r="A839" t="e">
        <f t="shared" si="143"/>
        <v>#VALUE!</v>
      </c>
      <c r="B839" s="21">
        <f t="shared" ca="1" si="144"/>
        <v>46133</v>
      </c>
      <c r="C839" s="21">
        <f t="shared" ca="1" si="145"/>
        <v>46157</v>
      </c>
      <c r="D839">
        <f t="shared" ca="1" si="146"/>
        <v>16</v>
      </c>
      <c r="E839">
        <f t="shared" ca="1" si="147"/>
        <v>0.37970394554223963</v>
      </c>
      <c r="F839" s="47">
        <f t="shared" ca="1" si="148"/>
        <v>770.27</v>
      </c>
      <c r="G839" s="32" t="str">
        <f t="shared" ca="1" si="149"/>
        <v>personal</v>
      </c>
      <c r="H83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39" t="str">
        <f t="shared" ca="1" si="150"/>
        <v>No</v>
      </c>
      <c r="J83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11999.83912622155</v>
      </c>
      <c r="K839" s="32" t="str">
        <f ca="1">IF(Tabla2[[#This Row],[¿cliente deuda abierta?]]="Sí", Tabla2[[#This Row],[Deuda actual]]*Tabla2[[#This Row],[diferencia de días]], "0")</f>
        <v>0</v>
      </c>
      <c r="L83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3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83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839">
        <f t="shared" ca="1" si="151"/>
        <v>1792.36</v>
      </c>
      <c r="P839">
        <f t="shared" ca="1" si="152"/>
        <v>63346.25</v>
      </c>
      <c r="Q839">
        <f t="shared" ca="1" si="153"/>
        <v>0</v>
      </c>
      <c r="R839">
        <f ca="1">((Tabla2[[#This Row],[Fantasma Comunicación]]+1)/(Tabla2[[#This Row],[Fantasma Comunicación]]+RANDBETWEEN(0,5)+2))-0.5</f>
        <v>0</v>
      </c>
      <c r="S839" s="51">
        <f ca="1">1+MAX(0,Tabla2[[#This Row],[Deuda actual]]/Tabla2[[#This Row],[Liquidez]]+Tabla2[[#This Row],[Liquidez]]/(Tabla2[[#This Row],[Activos]]+Tabla2[[#This Row],[Liquidez]])+Tabla2[[#This Row],[Comunicación]])</f>
        <v>1.4572679277911635</v>
      </c>
      <c r="T839">
        <f ca="1">Tabla2[[#This Row],[Deuda actual]]*EXP(Tabla2[[#This Row],[Ki]]*Tabla2[[#This Row],[diferencia de días]])*(1+Tabla2[[#This Row],[Hg]])</f>
        <v>697.6939831534122</v>
      </c>
    </row>
    <row r="840" spans="1:20" ht="14.5" x14ac:dyDescent="0.35">
      <c r="A840" t="e">
        <f t="shared" si="143"/>
        <v>#VALUE!</v>
      </c>
      <c r="B840" s="21">
        <f t="shared" ca="1" si="144"/>
        <v>46112</v>
      </c>
      <c r="C840" s="21">
        <f t="shared" ca="1" si="145"/>
        <v>46157</v>
      </c>
      <c r="D840">
        <f t="shared" ca="1" si="146"/>
        <v>31</v>
      </c>
      <c r="E840">
        <f t="shared" ca="1" si="147"/>
        <v>0.24231320006832979</v>
      </c>
      <c r="F840" s="47">
        <f t="shared" ca="1" si="148"/>
        <v>323.37</v>
      </c>
      <c r="G840" s="32" t="str">
        <f t="shared" ca="1" si="149"/>
        <v>personal</v>
      </c>
      <c r="H84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840" t="str">
        <f t="shared" ca="1" si="150"/>
        <v>Sí</v>
      </c>
      <c r="J84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40" s="32">
        <f ca="1">IF(Tabla2[[#This Row],[¿cliente deuda abierta?]]="Sí", Tabla2[[#This Row],[Deuda actual]]*Tabla2[[#This Row],[diferencia de días]], "0")</f>
        <v>10024.469999999999</v>
      </c>
      <c r="L84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4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4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40">
        <f t="shared" ca="1" si="151"/>
        <v>1456.72</v>
      </c>
      <c r="P840">
        <f t="shared" ca="1" si="152"/>
        <v>132332.6</v>
      </c>
      <c r="Q840">
        <f t="shared" ca="1" si="153"/>
        <v>2</v>
      </c>
      <c r="R840">
        <f ca="1">((Tabla2[[#This Row],[Fantasma Comunicación]]+1)/(Tabla2[[#This Row],[Fantasma Comunicación]]+RANDBETWEEN(0,5)+2))-0.5</f>
        <v>-0.125</v>
      </c>
      <c r="S840" s="51">
        <f ca="1">1+MAX(0,Tabla2[[#This Row],[Deuda actual]]/Tabla2[[#This Row],[Liquidez]]+Tabla2[[#This Row],[Liquidez]]/(Tabla2[[#This Row],[Activos]]+Tabla2[[#This Row],[Liquidez]])+Tabla2[[#This Row],[Comunicación]])</f>
        <v>1.1078731709833252</v>
      </c>
      <c r="T840">
        <f ca="1">Tabla2[[#This Row],[Deuda actual]]*EXP(Tabla2[[#This Row],[Ki]]*Tabla2[[#This Row],[diferencia de días]])*(1+Tabla2[[#This Row],[Hg]])</f>
        <v>350.22904076137411</v>
      </c>
    </row>
    <row r="841" spans="1:20" ht="14.5" x14ac:dyDescent="0.35">
      <c r="A841" t="e">
        <f t="shared" si="143"/>
        <v>#VALUE!</v>
      </c>
      <c r="B841" s="21">
        <f t="shared" ca="1" si="144"/>
        <v>46131</v>
      </c>
      <c r="C841" s="21">
        <f t="shared" ca="1" si="145"/>
        <v>46157</v>
      </c>
      <c r="D841">
        <f t="shared" ca="1" si="146"/>
        <v>15</v>
      </c>
      <c r="E841">
        <f t="shared" ca="1" si="147"/>
        <v>0.2935767535939513</v>
      </c>
      <c r="F841" s="47">
        <f t="shared" ca="1" si="148"/>
        <v>1239.5</v>
      </c>
      <c r="G841" s="32" t="str">
        <f t="shared" ca="1" si="149"/>
        <v>hipotecario</v>
      </c>
      <c r="H84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41" t="str">
        <f t="shared" ca="1" si="150"/>
        <v>Sí</v>
      </c>
      <c r="J84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41" s="32">
        <f ca="1">IF(Tabla2[[#This Row],[¿cliente deuda abierta?]]="Sí", Tabla2[[#This Row],[Deuda actual]]*Tabla2[[#This Row],[diferencia de días]], "0")</f>
        <v>18592.5</v>
      </c>
      <c r="L84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4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4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41">
        <f t="shared" ca="1" si="151"/>
        <v>1325.36</v>
      </c>
      <c r="P841">
        <f t="shared" ca="1" si="152"/>
        <v>103680.94</v>
      </c>
      <c r="Q841">
        <f t="shared" ca="1" si="153"/>
        <v>1</v>
      </c>
      <c r="R841">
        <f ca="1">((Tabla2[[#This Row],[Fantasma Comunicación]]+1)/(Tabla2[[#This Row],[Fantasma Comunicación]]+RANDBETWEEN(0,5)+2))-0.5</f>
        <v>-0.2142857142857143</v>
      </c>
      <c r="S841" s="51">
        <f ca="1">1+MAX(0,Tabla2[[#This Row],[Deuda actual]]/Tabla2[[#This Row],[Liquidez]]+Tabla2[[#This Row],[Liquidez]]/(Tabla2[[#This Row],[Activos]]+Tabla2[[#This Row],[Liquidez]])+Tabla2[[#This Row],[Comunicación]])</f>
        <v>1.7335536058571366</v>
      </c>
      <c r="T841">
        <f ca="1">Tabla2[[#This Row],[Deuda actual]]*EXP(Tabla2[[#This Row],[Ki]]*Tabla2[[#This Row],[diferencia de días]])*(1+Tabla2[[#This Row],[Hg]])</f>
        <v>1309.3073234734641</v>
      </c>
    </row>
    <row r="842" spans="1:20" ht="14.5" x14ac:dyDescent="0.35">
      <c r="A842" t="e">
        <f t="shared" si="143"/>
        <v>#VALUE!</v>
      </c>
      <c r="B842" s="21">
        <f t="shared" ca="1" si="144"/>
        <v>46103</v>
      </c>
      <c r="C842" s="21">
        <f t="shared" ca="1" si="145"/>
        <v>46157</v>
      </c>
      <c r="D842">
        <f t="shared" ca="1" si="146"/>
        <v>49</v>
      </c>
      <c r="E842">
        <f t="shared" ca="1" si="147"/>
        <v>0.227575516366464</v>
      </c>
      <c r="F842" s="47">
        <f t="shared" ca="1" si="148"/>
        <v>263.08</v>
      </c>
      <c r="G842" s="32" t="str">
        <f t="shared" ca="1" si="149"/>
        <v>hipotecario</v>
      </c>
      <c r="H84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842" t="str">
        <f t="shared" ca="1" si="150"/>
        <v>No</v>
      </c>
      <c r="J84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165001.14575553447</v>
      </c>
      <c r="K842" s="32" t="str">
        <f ca="1">IF(Tabla2[[#This Row],[¿cliente deuda abierta?]]="Sí", Tabla2[[#This Row],[Deuda actual]]*Tabla2[[#This Row],[diferencia de días]], "0")</f>
        <v>0</v>
      </c>
      <c r="L84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4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84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842">
        <f t="shared" ca="1" si="151"/>
        <v>1740.65</v>
      </c>
      <c r="P842">
        <f t="shared" ca="1" si="152"/>
        <v>135263.76999999999</v>
      </c>
      <c r="Q842">
        <f t="shared" ca="1" si="153"/>
        <v>0</v>
      </c>
      <c r="R842">
        <f ca="1">((Tabla2[[#This Row],[Fantasma Comunicación]]+1)/(Tabla2[[#This Row],[Fantasma Comunicación]]+RANDBETWEEN(0,5)+2))-0.5</f>
        <v>-0.35714285714285715</v>
      </c>
      <c r="S842" s="51">
        <f ca="1">1+MAX(0,Tabla2[[#This Row],[Deuda actual]]/Tabla2[[#This Row],[Liquidez]]+Tabla2[[#This Row],[Liquidez]]/(Tabla2[[#This Row],[Activos]]+Tabla2[[#This Row],[Liquidez]])+Tabla2[[#This Row],[Comunicación]])</f>
        <v>1</v>
      </c>
      <c r="T842">
        <f ca="1">Tabla2[[#This Row],[Deuda actual]]*EXP(Tabla2[[#This Row],[Ki]]*Tabla2[[#This Row],[diferencia de días]])*(1+Tabla2[[#This Row],[Hg]])</f>
        <v>221.03357589814928</v>
      </c>
    </row>
    <row r="843" spans="1:20" ht="14.5" x14ac:dyDescent="0.35">
      <c r="A843" t="e">
        <f t="shared" si="143"/>
        <v>#VALUE!</v>
      </c>
      <c r="B843" s="21">
        <f t="shared" ca="1" si="144"/>
        <v>46102</v>
      </c>
      <c r="C843" s="21">
        <f t="shared" ca="1" si="145"/>
        <v>46157</v>
      </c>
      <c r="D843">
        <f t="shared" ca="1" si="146"/>
        <v>1</v>
      </c>
      <c r="E843">
        <f t="shared" ca="1" si="147"/>
        <v>0.8285482650461411</v>
      </c>
      <c r="F843" s="47">
        <f t="shared" ca="1" si="148"/>
        <v>318.72000000000003</v>
      </c>
      <c r="G843" s="32" t="str">
        <f t="shared" ca="1" si="149"/>
        <v>personal</v>
      </c>
      <c r="H84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43" t="str">
        <f t="shared" ca="1" si="150"/>
        <v>Sí</v>
      </c>
      <c r="J84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43" s="32">
        <f ca="1">IF(Tabla2[[#This Row],[¿cliente deuda abierta?]]="Sí", Tabla2[[#This Row],[Deuda actual]]*Tabla2[[#This Row],[diferencia de días]], "0")</f>
        <v>318.72000000000003</v>
      </c>
      <c r="L84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4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4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43">
        <f t="shared" ca="1" si="151"/>
        <v>2502.98</v>
      </c>
      <c r="P843">
        <f t="shared" ca="1" si="152"/>
        <v>209558.94</v>
      </c>
      <c r="Q843">
        <f t="shared" ca="1" si="153"/>
        <v>4</v>
      </c>
      <c r="R843">
        <f ca="1">((Tabla2[[#This Row],[Fantasma Comunicación]]+1)/(Tabla2[[#This Row],[Fantasma Comunicación]]+RANDBETWEEN(0,5)+2))-0.5</f>
        <v>0.33333333333333337</v>
      </c>
      <c r="S843" s="51">
        <f ca="1">1+MAX(0,Tabla2[[#This Row],[Deuda actual]]/Tabla2[[#This Row],[Liquidez]]+Tabla2[[#This Row],[Liquidez]]/(Tabla2[[#This Row],[Activos]]+Tabla2[[#This Row],[Liquidez]])+Tabla2[[#This Row],[Comunicación]])</f>
        <v>1.4724726106138242</v>
      </c>
      <c r="T843">
        <f ca="1">Tabla2[[#This Row],[Deuda actual]]*EXP(Tabla2[[#This Row],[Ki]]*Tabla2[[#This Row],[diferencia de días]])*(1+Tabla2[[#This Row],[Hg]])</f>
        <v>334.72293789356632</v>
      </c>
    </row>
    <row r="844" spans="1:20" ht="14.5" x14ac:dyDescent="0.35">
      <c r="A844" t="e">
        <f t="shared" si="143"/>
        <v>#VALUE!</v>
      </c>
      <c r="B844" s="21">
        <f t="shared" ca="1" si="144"/>
        <v>46120</v>
      </c>
      <c r="C844" s="21">
        <f t="shared" ca="1" si="145"/>
        <v>46157</v>
      </c>
      <c r="D844">
        <f t="shared" ca="1" si="146"/>
        <v>3</v>
      </c>
      <c r="E844">
        <f t="shared" ca="1" si="147"/>
        <v>0.79351245380252045</v>
      </c>
      <c r="F844" s="47">
        <f t="shared" ca="1" si="148"/>
        <v>449.55</v>
      </c>
      <c r="G844" s="32" t="str">
        <f t="shared" ca="1" si="149"/>
        <v>personal</v>
      </c>
      <c r="H84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44" t="str">
        <f t="shared" ca="1" si="150"/>
        <v>Sí</v>
      </c>
      <c r="J84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44" s="32">
        <f ca="1">IF(Tabla2[[#This Row],[¿cliente deuda abierta?]]="Sí", Tabla2[[#This Row],[Deuda actual]]*Tabla2[[#This Row],[diferencia de días]], "0")</f>
        <v>1348.65</v>
      </c>
      <c r="L84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4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4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44">
        <f t="shared" ca="1" si="151"/>
        <v>1876.78</v>
      </c>
      <c r="P844">
        <f t="shared" ca="1" si="152"/>
        <v>69265.38</v>
      </c>
      <c r="Q844">
        <f t="shared" ca="1" si="153"/>
        <v>0</v>
      </c>
      <c r="R844">
        <f ca="1">((Tabla2[[#This Row],[Fantasma Comunicación]]+1)/(Tabla2[[#This Row],[Fantasma Comunicación]]+RANDBETWEEN(0,5)+2))-0.5</f>
        <v>-0.25</v>
      </c>
      <c r="S844" s="51">
        <f ca="1">1+MAX(0,Tabla2[[#This Row],[Deuda actual]]/Tabla2[[#This Row],[Liquidez]]+Tabla2[[#This Row],[Liquidez]]/(Tabla2[[#This Row],[Activos]]+Tabla2[[#This Row],[Liquidez]])+Tabla2[[#This Row],[Comunicación]])</f>
        <v>1.0159133039916151</v>
      </c>
      <c r="T844">
        <f ca="1">Tabla2[[#This Row],[Deuda actual]]*EXP(Tabla2[[#This Row],[Ki]]*Tabla2[[#This Row],[diferencia de días]])*(1+Tabla2[[#This Row],[Hg]])</f>
        <v>472.31080148194559</v>
      </c>
    </row>
    <row r="845" spans="1:20" ht="14.5" x14ac:dyDescent="0.35">
      <c r="A845" t="e">
        <f t="shared" si="143"/>
        <v>#VALUE!</v>
      </c>
      <c r="B845" s="21">
        <f t="shared" ca="1" si="144"/>
        <v>46131</v>
      </c>
      <c r="C845" s="21">
        <f t="shared" ca="1" si="145"/>
        <v>46157</v>
      </c>
      <c r="D845">
        <f t="shared" ca="1" si="146"/>
        <v>0</v>
      </c>
      <c r="E845">
        <f t="shared" ca="1" si="147"/>
        <v>2.9427618108859299E-3</v>
      </c>
      <c r="F845" s="47">
        <f t="shared" ca="1" si="148"/>
        <v>6579.7</v>
      </c>
      <c r="G845" s="32" t="str">
        <f t="shared" ca="1" si="149"/>
        <v>hipotecario</v>
      </c>
      <c r="H84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45" t="str">
        <f t="shared" ca="1" si="150"/>
        <v>Sí</v>
      </c>
      <c r="J84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45" s="32">
        <f ca="1">IF(Tabla2[[#This Row],[¿cliente deuda abierta?]]="Sí", Tabla2[[#This Row],[Deuda actual]]*Tabla2[[#This Row],[diferencia de días]], "0")</f>
        <v>0</v>
      </c>
      <c r="L84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4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45" s="32">
        <f ca="1">MAX(Tabla2[[#This Row],[VALORES DE Hg para actuales deudores]:[Valores de HG para deudores cerrados]])*IF(Tabla2[[#This Row],[VALORES DE Hg para actuales deudores]]&gt;Tabla2[[#This Row],[Valores de HG para deudores cerrados]],-1,1)</f>
        <v>0</v>
      </c>
      <c r="O845">
        <f t="shared" ca="1" si="151"/>
        <v>1428.52</v>
      </c>
      <c r="P845">
        <f t="shared" ca="1" si="152"/>
        <v>230057.26</v>
      </c>
      <c r="Q845">
        <f t="shared" ca="1" si="153"/>
        <v>1</v>
      </c>
      <c r="R845">
        <f ca="1">((Tabla2[[#This Row],[Fantasma Comunicación]]+1)/(Tabla2[[#This Row],[Fantasma Comunicación]]+RANDBETWEEN(0,5)+2))-0.5</f>
        <v>-0.16666666666666669</v>
      </c>
      <c r="S845" s="51">
        <f ca="1">1+MAX(0,Tabla2[[#This Row],[Deuda actual]]/Tabla2[[#This Row],[Liquidez]]+Tabla2[[#This Row],[Liquidez]]/(Tabla2[[#This Row],[Activos]]+Tabla2[[#This Row],[Liquidez]])+Tabla2[[#This Row],[Comunicación]])</f>
        <v>5.4454602395479448</v>
      </c>
      <c r="T845">
        <f ca="1">Tabla2[[#This Row],[Deuda actual]]*EXP(Tabla2[[#This Row],[Ki]]*Tabla2[[#This Row],[diferencia de días]])*(1+Tabla2[[#This Row],[Hg]])</f>
        <v>6579.7</v>
      </c>
    </row>
    <row r="846" spans="1:20" ht="14.5" x14ac:dyDescent="0.35">
      <c r="A846" t="e">
        <f t="shared" si="143"/>
        <v>#VALUE!</v>
      </c>
      <c r="B846" s="21">
        <f t="shared" ca="1" si="144"/>
        <v>46131</v>
      </c>
      <c r="C846" s="21">
        <f t="shared" ca="1" si="145"/>
        <v>46157</v>
      </c>
      <c r="D846">
        <f t="shared" ca="1" si="146"/>
        <v>3</v>
      </c>
      <c r="E846">
        <f t="shared" ca="1" si="147"/>
        <v>0.46087186843379635</v>
      </c>
      <c r="F846" s="47">
        <f t="shared" ca="1" si="148"/>
        <v>186.02</v>
      </c>
      <c r="G846" s="32" t="str">
        <f t="shared" ca="1" si="149"/>
        <v>personal</v>
      </c>
      <c r="H84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46" t="str">
        <f t="shared" ca="1" si="150"/>
        <v>No</v>
      </c>
      <c r="J84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11998.051464078977</v>
      </c>
      <c r="K846" s="32" t="str">
        <f ca="1">IF(Tabla2[[#This Row],[¿cliente deuda abierta?]]="Sí", Tabla2[[#This Row],[Deuda actual]]*Tabla2[[#This Row],[diferencia de días]], "0")</f>
        <v>0</v>
      </c>
      <c r="L84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4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84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846">
        <f t="shared" ca="1" si="151"/>
        <v>1667.05</v>
      </c>
      <c r="P846">
        <f t="shared" ca="1" si="152"/>
        <v>315945.48</v>
      </c>
      <c r="Q846">
        <f t="shared" ca="1" si="153"/>
        <v>0</v>
      </c>
      <c r="R846">
        <f ca="1">((Tabla2[[#This Row],[Fantasma Comunicación]]+1)/(Tabla2[[#This Row],[Fantasma Comunicación]]+RANDBETWEEN(0,5)+2))-0.5</f>
        <v>-0.25</v>
      </c>
      <c r="S846" s="51">
        <f ca="1">1+MAX(0,Tabla2[[#This Row],[Deuda actual]]/Tabla2[[#This Row],[Liquidez]]+Tabla2[[#This Row],[Liquidez]]/(Tabla2[[#This Row],[Activos]]+Tabla2[[#This Row],[Liquidez]])+Tabla2[[#This Row],[Comunicación]])</f>
        <v>1</v>
      </c>
      <c r="T846">
        <f ca="1">Tabla2[[#This Row],[Deuda actual]]*EXP(Tabla2[[#This Row],[Ki]]*Tabla2[[#This Row],[diferencia de días]])*(1+Tabla2[[#This Row],[Hg]])</f>
        <v>167.51848094126797</v>
      </c>
    </row>
    <row r="847" spans="1:20" ht="14.5" x14ac:dyDescent="0.35">
      <c r="A847" t="e">
        <f t="shared" si="143"/>
        <v>#VALUE!</v>
      </c>
      <c r="B847" s="21">
        <f t="shared" ca="1" si="144"/>
        <v>46093</v>
      </c>
      <c r="C847" s="21">
        <f t="shared" ca="1" si="145"/>
        <v>46157</v>
      </c>
      <c r="D847">
        <f t="shared" ca="1" si="146"/>
        <v>15</v>
      </c>
      <c r="E847">
        <f t="shared" ca="1" si="147"/>
        <v>0.89627516968844079</v>
      </c>
      <c r="F847" s="47">
        <f t="shared" ca="1" si="148"/>
        <v>678.76</v>
      </c>
      <c r="G847" s="32" t="str">
        <f t="shared" ca="1" si="149"/>
        <v>hipotecario</v>
      </c>
      <c r="H84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47" t="str">
        <f t="shared" ca="1" si="150"/>
        <v>Sí</v>
      </c>
      <c r="J84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47" s="32">
        <f ca="1">IF(Tabla2[[#This Row],[¿cliente deuda abierta?]]="Sí", Tabla2[[#This Row],[Deuda actual]]*Tabla2[[#This Row],[diferencia de días]], "0")</f>
        <v>10181.4</v>
      </c>
      <c r="L84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4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4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47">
        <f t="shared" ca="1" si="151"/>
        <v>1851.76</v>
      </c>
      <c r="P847">
        <f t="shared" ca="1" si="152"/>
        <v>65225.94</v>
      </c>
      <c r="Q847">
        <f t="shared" ca="1" si="153"/>
        <v>0</v>
      </c>
      <c r="R847">
        <f ca="1">((Tabla2[[#This Row],[Fantasma Comunicación]]+1)/(Tabla2[[#This Row],[Fantasma Comunicación]]+RANDBETWEEN(0,5)+2))-0.5</f>
        <v>-0.25</v>
      </c>
      <c r="S847" s="51">
        <f ca="1">1+MAX(0,Tabla2[[#This Row],[Deuda actual]]/Tabla2[[#This Row],[Liquidez]]+Tabla2[[#This Row],[Liquidez]]/(Tabla2[[#This Row],[Activos]]+Tabla2[[#This Row],[Liquidez]])+Tabla2[[#This Row],[Comunicación]])</f>
        <v>1.1441547748204344</v>
      </c>
      <c r="T847">
        <f ca="1">Tabla2[[#This Row],[Deuda actual]]*EXP(Tabla2[[#This Row],[Ki]]*Tabla2[[#This Row],[diferencia de días]])*(1+Tabla2[[#This Row],[Hg]])</f>
        <v>716.98704225966003</v>
      </c>
    </row>
    <row r="848" spans="1:20" ht="14.5" x14ac:dyDescent="0.35">
      <c r="A848" t="e">
        <f t="shared" si="143"/>
        <v>#VALUE!</v>
      </c>
      <c r="B848" s="21">
        <f t="shared" ca="1" si="144"/>
        <v>46098</v>
      </c>
      <c r="C848" s="21">
        <f t="shared" ca="1" si="145"/>
        <v>46157</v>
      </c>
      <c r="D848">
        <f t="shared" ca="1" si="146"/>
        <v>2</v>
      </c>
      <c r="E848">
        <f t="shared" ca="1" si="147"/>
        <v>0.65025120632779831</v>
      </c>
      <c r="F848" s="47">
        <f t="shared" ca="1" si="148"/>
        <v>403.66</v>
      </c>
      <c r="G848" s="32" t="str">
        <f t="shared" ca="1" si="149"/>
        <v>personal</v>
      </c>
      <c r="H84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48" t="str">
        <f t="shared" ca="1" si="150"/>
        <v>Sí</v>
      </c>
      <c r="J84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48" s="32">
        <f ca="1">IF(Tabla2[[#This Row],[¿cliente deuda abierta?]]="Sí", Tabla2[[#This Row],[Deuda actual]]*Tabla2[[#This Row],[diferencia de días]], "0")</f>
        <v>807.32</v>
      </c>
      <c r="L84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4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4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48">
        <f t="shared" ca="1" si="151"/>
        <v>1962.82</v>
      </c>
      <c r="P848">
        <f t="shared" ca="1" si="152"/>
        <v>384092.95</v>
      </c>
      <c r="Q848">
        <f t="shared" ca="1" si="153"/>
        <v>4</v>
      </c>
      <c r="R848">
        <f ca="1">((Tabla2[[#This Row],[Fantasma Comunicación]]+1)/(Tabla2[[#This Row],[Fantasma Comunicación]]+RANDBETWEEN(0,5)+2))-0.5</f>
        <v>0</v>
      </c>
      <c r="S848" s="51">
        <f ca="1">1+MAX(0,Tabla2[[#This Row],[Deuda actual]]/Tabla2[[#This Row],[Liquidez]]+Tabla2[[#This Row],[Liquidez]]/(Tabla2[[#This Row],[Activos]]+Tabla2[[#This Row],[Liquidez]])+Tabla2[[#This Row],[Comunicación]])</f>
        <v>1.2107373822798067</v>
      </c>
      <c r="T848">
        <f ca="1">Tabla2[[#This Row],[Deuda actual]]*EXP(Tabla2[[#This Row],[Ki]]*Tabla2[[#This Row],[diferencia de días]])*(1+Tabla2[[#This Row],[Hg]])</f>
        <v>424.01257111196151</v>
      </c>
    </row>
    <row r="849" spans="1:20" ht="14.5" x14ac:dyDescent="0.35">
      <c r="A849" t="e">
        <f t="shared" si="143"/>
        <v>#VALUE!</v>
      </c>
      <c r="B849" s="21">
        <f t="shared" ca="1" si="144"/>
        <v>46087</v>
      </c>
      <c r="C849" s="21">
        <f t="shared" ca="1" si="145"/>
        <v>46157</v>
      </c>
      <c r="D849">
        <f t="shared" ca="1" si="146"/>
        <v>10</v>
      </c>
      <c r="E849">
        <f t="shared" ca="1" si="147"/>
        <v>0.46313317606000493</v>
      </c>
      <c r="F849" s="47">
        <f t="shared" ca="1" si="148"/>
        <v>1065.5899999999999</v>
      </c>
      <c r="G849" s="32" t="str">
        <f t="shared" ca="1" si="149"/>
        <v>hipotecario</v>
      </c>
      <c r="H84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49" t="str">
        <f t="shared" ca="1" si="150"/>
        <v>Sí</v>
      </c>
      <c r="J84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49" s="32">
        <f ca="1">IF(Tabla2[[#This Row],[¿cliente deuda abierta?]]="Sí", Tabla2[[#This Row],[Deuda actual]]*Tabla2[[#This Row],[diferencia de días]], "0")</f>
        <v>10655.9</v>
      </c>
      <c r="L84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4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4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49">
        <f t="shared" ca="1" si="151"/>
        <v>1422.14</v>
      </c>
      <c r="P849">
        <f t="shared" ca="1" si="152"/>
        <v>215542.54</v>
      </c>
      <c r="Q849">
        <f t="shared" ca="1" si="153"/>
        <v>5</v>
      </c>
      <c r="R849">
        <f ca="1">((Tabla2[[#This Row],[Fantasma Comunicación]]+1)/(Tabla2[[#This Row],[Fantasma Comunicación]]+RANDBETWEEN(0,5)+2))-0.5</f>
        <v>4.5454545454545414E-2</v>
      </c>
      <c r="S849" s="51">
        <f ca="1">1+MAX(0,Tabla2[[#This Row],[Deuda actual]]/Tabla2[[#This Row],[Liquidez]]+Tabla2[[#This Row],[Liquidez]]/(Tabla2[[#This Row],[Activos]]+Tabla2[[#This Row],[Liquidez]])+Tabla2[[#This Row],[Comunicación]])</f>
        <v>1.8012955397478039</v>
      </c>
      <c r="T849">
        <f ca="1">Tabla2[[#This Row],[Deuda actual]]*EXP(Tabla2[[#This Row],[Ki]]*Tabla2[[#This Row],[diferencia de días]])*(1+Tabla2[[#This Row],[Hg]])</f>
        <v>1121.1094782315722</v>
      </c>
    </row>
    <row r="850" spans="1:20" ht="14.5" x14ac:dyDescent="0.35">
      <c r="A850" t="e">
        <f t="shared" si="143"/>
        <v>#VALUE!</v>
      </c>
      <c r="B850" s="21">
        <f t="shared" ca="1" si="144"/>
        <v>46127</v>
      </c>
      <c r="C850" s="21">
        <f t="shared" ca="1" si="145"/>
        <v>46157</v>
      </c>
      <c r="D850">
        <f t="shared" ca="1" si="146"/>
        <v>17</v>
      </c>
      <c r="E850">
        <f t="shared" ca="1" si="147"/>
        <v>0.48972591334920668</v>
      </c>
      <c r="F850" s="47">
        <f t="shared" ca="1" si="148"/>
        <v>404.69</v>
      </c>
      <c r="G850" s="32" t="str">
        <f t="shared" ca="1" si="149"/>
        <v>hipotecario</v>
      </c>
      <c r="H85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50" t="str">
        <f t="shared" ca="1" si="150"/>
        <v>Sí</v>
      </c>
      <c r="J85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50" s="32">
        <f ca="1">IF(Tabla2[[#This Row],[¿cliente deuda abierta?]]="Sí", Tabla2[[#This Row],[Deuda actual]]*Tabla2[[#This Row],[diferencia de días]], "0")</f>
        <v>6879.73</v>
      </c>
      <c r="L85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5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5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50">
        <f t="shared" ca="1" si="151"/>
        <v>2065.4299999999998</v>
      </c>
      <c r="P850">
        <f t="shared" ca="1" si="152"/>
        <v>92083.26</v>
      </c>
      <c r="Q850">
        <f t="shared" ca="1" si="153"/>
        <v>2</v>
      </c>
      <c r="R850">
        <f ca="1">((Tabla2[[#This Row],[Fantasma Comunicación]]+1)/(Tabla2[[#This Row],[Fantasma Comunicación]]+RANDBETWEEN(0,5)+2))-0.5</f>
        <v>0.25</v>
      </c>
      <c r="S850" s="51">
        <f ca="1">1+MAX(0,Tabla2[[#This Row],[Deuda actual]]/Tabla2[[#This Row],[Liquidez]]+Tabla2[[#This Row],[Liquidez]]/(Tabla2[[#This Row],[Activos]]+Tabla2[[#This Row],[Liquidez]])+Tabla2[[#This Row],[Comunicación]])</f>
        <v>1.4678729448293684</v>
      </c>
      <c r="T850">
        <f ca="1">Tabla2[[#This Row],[Deuda actual]]*EXP(Tabla2[[#This Row],[Ki]]*Tabla2[[#This Row],[diferencia de días]])*(1+Tabla2[[#This Row],[Hg]])</f>
        <v>427.82383316065778</v>
      </c>
    </row>
    <row r="851" spans="1:20" ht="14.5" x14ac:dyDescent="0.35">
      <c r="A851" t="e">
        <f t="shared" si="143"/>
        <v>#VALUE!</v>
      </c>
      <c r="B851" s="21">
        <f t="shared" ca="1" si="144"/>
        <v>46134</v>
      </c>
      <c r="C851" s="21">
        <f t="shared" ca="1" si="145"/>
        <v>46157</v>
      </c>
      <c r="D851">
        <f t="shared" ca="1" si="146"/>
        <v>5</v>
      </c>
      <c r="E851">
        <f t="shared" ca="1" si="147"/>
        <v>0.36315583954646324</v>
      </c>
      <c r="F851" s="47">
        <f t="shared" ca="1" si="148"/>
        <v>87.45</v>
      </c>
      <c r="G851" s="32" t="str">
        <f t="shared" ca="1" si="149"/>
        <v>personal</v>
      </c>
      <c r="H85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51" t="str">
        <f t="shared" ca="1" si="150"/>
        <v>Sí</v>
      </c>
      <c r="J85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51" s="32">
        <f ca="1">IF(Tabla2[[#This Row],[¿cliente deuda abierta?]]="Sí", Tabla2[[#This Row],[Deuda actual]]*Tabla2[[#This Row],[diferencia de días]], "0")</f>
        <v>437.25</v>
      </c>
      <c r="L85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5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5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51">
        <f t="shared" ca="1" si="151"/>
        <v>1258.73</v>
      </c>
      <c r="P851">
        <f t="shared" ca="1" si="152"/>
        <v>23829.47</v>
      </c>
      <c r="Q851">
        <f t="shared" ca="1" si="153"/>
        <v>1</v>
      </c>
      <c r="R851">
        <f ca="1">((Tabla2[[#This Row],[Fantasma Comunicación]]+1)/(Tabla2[[#This Row],[Fantasma Comunicación]]+RANDBETWEEN(0,5)+2))-0.5</f>
        <v>0</v>
      </c>
      <c r="S851" s="51">
        <f ca="1">1+MAX(0,Tabla2[[#This Row],[Deuda actual]]/Tabla2[[#This Row],[Liquidez]]+Tabla2[[#This Row],[Liquidez]]/(Tabla2[[#This Row],[Activos]]+Tabla2[[#This Row],[Liquidez]])+Tabla2[[#This Row],[Comunicación]])</f>
        <v>1.1196469805848919</v>
      </c>
      <c r="T851">
        <f ca="1">Tabla2[[#This Row],[Deuda actual]]*EXP(Tabla2[[#This Row],[Ki]]*Tabla2[[#This Row],[diferencia de días]])*(1+Tabla2[[#This Row],[Hg]])</f>
        <v>91.914368426557587</v>
      </c>
    </row>
    <row r="852" spans="1:20" ht="14.5" x14ac:dyDescent="0.35">
      <c r="A852" t="e">
        <f t="shared" si="143"/>
        <v>#VALUE!</v>
      </c>
      <c r="B852" s="21">
        <f t="shared" ca="1" si="144"/>
        <v>46110</v>
      </c>
      <c r="C852" s="21">
        <f t="shared" ca="1" si="145"/>
        <v>46157</v>
      </c>
      <c r="D852">
        <f t="shared" ca="1" si="146"/>
        <v>35</v>
      </c>
      <c r="E852">
        <f t="shared" ca="1" si="147"/>
        <v>0.22963687565524982</v>
      </c>
      <c r="F852" s="47">
        <f t="shared" ca="1" si="148"/>
        <v>229.52</v>
      </c>
      <c r="G852" s="32" t="str">
        <f t="shared" ca="1" si="149"/>
        <v>hipotecario</v>
      </c>
      <c r="H85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852" t="str">
        <f t="shared" ca="1" si="150"/>
        <v>Sí</v>
      </c>
      <c r="J85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52" s="32">
        <f ca="1">IF(Tabla2[[#This Row],[¿cliente deuda abierta?]]="Sí", Tabla2[[#This Row],[Deuda actual]]*Tabla2[[#This Row],[diferencia de días]], "0")</f>
        <v>8033.2000000000007</v>
      </c>
      <c r="L85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5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5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52">
        <f t="shared" ca="1" si="151"/>
        <v>1746.37</v>
      </c>
      <c r="P852">
        <f t="shared" ca="1" si="152"/>
        <v>115221.41</v>
      </c>
      <c r="Q852">
        <f t="shared" ca="1" si="153"/>
        <v>3</v>
      </c>
      <c r="R852">
        <f ca="1">((Tabla2[[#This Row],[Fantasma Comunicación]]+1)/(Tabla2[[#This Row],[Fantasma Comunicación]]+RANDBETWEEN(0,5)+2))-0.5</f>
        <v>0.30000000000000004</v>
      </c>
      <c r="S852" s="51">
        <f ca="1">1+MAX(0,Tabla2[[#This Row],[Deuda actual]]/Tabla2[[#This Row],[Liquidez]]+Tabla2[[#This Row],[Liquidez]]/(Tabla2[[#This Row],[Activos]]+Tabla2[[#This Row],[Liquidez]])+Tabla2[[#This Row],[Comunicación]])</f>
        <v>1.4463572535661291</v>
      </c>
      <c r="T852">
        <f ca="1">Tabla2[[#This Row],[Deuda actual]]*EXP(Tabla2[[#This Row],[Ki]]*Tabla2[[#This Row],[diferencia de días]])*(1+Tabla2[[#This Row],[Hg]])</f>
        <v>249.58020734187406</v>
      </c>
    </row>
    <row r="853" spans="1:20" ht="14.5" x14ac:dyDescent="0.35">
      <c r="A853" t="e">
        <f t="shared" si="143"/>
        <v>#VALUE!</v>
      </c>
      <c r="B853" s="21">
        <f t="shared" ca="1" si="144"/>
        <v>46123</v>
      </c>
      <c r="C853" s="21">
        <f t="shared" ca="1" si="145"/>
        <v>46157</v>
      </c>
      <c r="D853">
        <f t="shared" ca="1" si="146"/>
        <v>1</v>
      </c>
      <c r="E853">
        <f t="shared" ca="1" si="147"/>
        <v>0.97661213985939999</v>
      </c>
      <c r="F853" s="47">
        <f t="shared" ca="1" si="148"/>
        <v>588.44000000000005</v>
      </c>
      <c r="G853" s="32" t="str">
        <f t="shared" ca="1" si="149"/>
        <v>personal</v>
      </c>
      <c r="H85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53" t="str">
        <f t="shared" ca="1" si="150"/>
        <v>No</v>
      </c>
      <c r="J85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12000.899227430922</v>
      </c>
      <c r="K853" s="32" t="str">
        <f ca="1">IF(Tabla2[[#This Row],[¿cliente deuda abierta?]]="Sí", Tabla2[[#This Row],[Deuda actual]]*Tabla2[[#This Row],[diferencia de días]], "0")</f>
        <v>0</v>
      </c>
      <c r="L85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5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85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853">
        <f t="shared" ca="1" si="151"/>
        <v>2577.0500000000002</v>
      </c>
      <c r="P853">
        <f t="shared" ca="1" si="152"/>
        <v>104583.37</v>
      </c>
      <c r="Q853">
        <f t="shared" ca="1" si="153"/>
        <v>2</v>
      </c>
      <c r="R853">
        <f ca="1">((Tabla2[[#This Row],[Fantasma Comunicación]]+1)/(Tabla2[[#This Row],[Fantasma Comunicación]]+RANDBETWEEN(0,5)+2))-0.5</f>
        <v>-7.1428571428571452E-2</v>
      </c>
      <c r="S853" s="51">
        <f ca="1">1+MAX(0,Tabla2[[#This Row],[Deuda actual]]/Tabla2[[#This Row],[Liquidez]]+Tabla2[[#This Row],[Liquidez]]/(Tabla2[[#This Row],[Activos]]+Tabla2[[#This Row],[Liquidez]])+Tabla2[[#This Row],[Comunicación]])</f>
        <v>1.1809585574219388</v>
      </c>
      <c r="T853">
        <f ca="1">Tabla2[[#This Row],[Deuda actual]]*EXP(Tabla2[[#This Row],[Ki]]*Tabla2[[#This Row],[diferencia de días]])*(1+Tabla2[[#This Row],[Hg]])</f>
        <v>529.70192979262629</v>
      </c>
    </row>
    <row r="854" spans="1:20" ht="14.5" x14ac:dyDescent="0.35">
      <c r="A854" t="e">
        <f t="shared" si="143"/>
        <v>#VALUE!</v>
      </c>
      <c r="B854" s="21">
        <f t="shared" ca="1" si="144"/>
        <v>46091</v>
      </c>
      <c r="C854" s="21">
        <f t="shared" ca="1" si="145"/>
        <v>46157</v>
      </c>
      <c r="D854">
        <f t="shared" ca="1" si="146"/>
        <v>6</v>
      </c>
      <c r="E854">
        <f t="shared" ca="1" si="147"/>
        <v>0.92545951981453378</v>
      </c>
      <c r="F854" s="47">
        <f t="shared" ca="1" si="148"/>
        <v>403.27</v>
      </c>
      <c r="G854" s="32" t="str">
        <f t="shared" ca="1" si="149"/>
        <v>hipotecario</v>
      </c>
      <c r="H85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54" t="str">
        <f t="shared" ca="1" si="150"/>
        <v>No</v>
      </c>
      <c r="J85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165000.185149689</v>
      </c>
      <c r="K854" s="32" t="str">
        <f ca="1">IF(Tabla2[[#This Row],[¿cliente deuda abierta?]]="Sí", Tabla2[[#This Row],[Deuda actual]]*Tabla2[[#This Row],[diferencia de días]], "0")</f>
        <v>0</v>
      </c>
      <c r="L85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5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85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854">
        <f t="shared" ca="1" si="151"/>
        <v>1291.7</v>
      </c>
      <c r="P854">
        <f t="shared" ca="1" si="152"/>
        <v>81542.039999999994</v>
      </c>
      <c r="Q854">
        <f t="shared" ca="1" si="153"/>
        <v>2</v>
      </c>
      <c r="R854">
        <f ca="1">((Tabla2[[#This Row],[Fantasma Comunicación]]+1)/(Tabla2[[#This Row],[Fantasma Comunicación]]+RANDBETWEEN(0,5)+2))-0.5</f>
        <v>-0.16666666666666669</v>
      </c>
      <c r="S854" s="51">
        <f ca="1">1+MAX(0,Tabla2[[#This Row],[Deuda actual]]/Tabla2[[#This Row],[Liquidez]]+Tabla2[[#This Row],[Liquidez]]/(Tabla2[[#This Row],[Activos]]+Tabla2[[#This Row],[Liquidez]])+Tabla2[[#This Row],[Comunicación]])</f>
        <v>1.1611281960172126</v>
      </c>
      <c r="T854">
        <f ca="1">Tabla2[[#This Row],[Deuda actual]]*EXP(Tabla2[[#This Row],[Ki]]*Tabla2[[#This Row],[diferencia de días]])*(1+Tabla2[[#This Row],[Hg]])</f>
        <v>323.00337157646129</v>
      </c>
    </row>
    <row r="855" spans="1:20" ht="14.5" x14ac:dyDescent="0.35">
      <c r="A855" t="e">
        <f t="shared" si="143"/>
        <v>#VALUE!</v>
      </c>
      <c r="B855" s="21">
        <f t="shared" ca="1" si="144"/>
        <v>46124</v>
      </c>
      <c r="C855" s="21">
        <f t="shared" ca="1" si="145"/>
        <v>46157</v>
      </c>
      <c r="D855">
        <f t="shared" ca="1" si="146"/>
        <v>15</v>
      </c>
      <c r="E855">
        <f t="shared" ca="1" si="147"/>
        <v>0.96118823929897645</v>
      </c>
      <c r="F855" s="47">
        <f t="shared" ca="1" si="148"/>
        <v>540.74</v>
      </c>
      <c r="G855" s="32" t="str">
        <f t="shared" ca="1" si="149"/>
        <v>hipotecario</v>
      </c>
      <c r="H85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55" t="str">
        <f t="shared" ca="1" si="150"/>
        <v>Sí</v>
      </c>
      <c r="J85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55" s="32">
        <f ca="1">IF(Tabla2[[#This Row],[¿cliente deuda abierta?]]="Sí", Tabla2[[#This Row],[Deuda actual]]*Tabla2[[#This Row],[diferencia de días]], "0")</f>
        <v>8111.1</v>
      </c>
      <c r="L85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5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5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55">
        <f t="shared" ca="1" si="151"/>
        <v>1286.2</v>
      </c>
      <c r="P855">
        <f t="shared" ca="1" si="152"/>
        <v>310293.74</v>
      </c>
      <c r="Q855">
        <f t="shared" ca="1" si="153"/>
        <v>0</v>
      </c>
      <c r="R855">
        <f ca="1">((Tabla2[[#This Row],[Fantasma Comunicación]]+1)/(Tabla2[[#This Row],[Fantasma Comunicación]]+RANDBETWEEN(0,5)+2))-0.5</f>
        <v>-0.25</v>
      </c>
      <c r="S855" s="51">
        <f ca="1">1+MAX(0,Tabla2[[#This Row],[Deuda actual]]/Tabla2[[#This Row],[Liquidez]]+Tabla2[[#This Row],[Liquidez]]/(Tabla2[[#This Row],[Activos]]+Tabla2[[#This Row],[Liquidez]])+Tabla2[[#This Row],[Comunicación]])</f>
        <v>1.1745447250627552</v>
      </c>
      <c r="T855">
        <f ca="1">Tabla2[[#This Row],[Deuda actual]]*EXP(Tabla2[[#This Row],[Ki]]*Tabla2[[#This Row],[diferencia de días]])*(1+Tabla2[[#This Row],[Hg]])</f>
        <v>571.19390245666887</v>
      </c>
    </row>
    <row r="856" spans="1:20" ht="14.5" x14ac:dyDescent="0.35">
      <c r="A856" t="e">
        <f t="shared" si="143"/>
        <v>#VALUE!</v>
      </c>
      <c r="B856" s="21">
        <f t="shared" ca="1" si="144"/>
        <v>46099</v>
      </c>
      <c r="C856" s="21">
        <f t="shared" ca="1" si="145"/>
        <v>46157</v>
      </c>
      <c r="D856">
        <f t="shared" ca="1" si="146"/>
        <v>5</v>
      </c>
      <c r="E856">
        <f t="shared" ca="1" si="147"/>
        <v>0.47505953976450555</v>
      </c>
      <c r="F856" s="47">
        <f t="shared" ca="1" si="148"/>
        <v>1449.9</v>
      </c>
      <c r="G856" s="32" t="str">
        <f t="shared" ca="1" si="149"/>
        <v>hipotecario</v>
      </c>
      <c r="H85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56" t="str">
        <f t="shared" ca="1" si="150"/>
        <v>Sí</v>
      </c>
      <c r="J85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56" s="32">
        <f ca="1">IF(Tabla2[[#This Row],[¿cliente deuda abierta?]]="Sí", Tabla2[[#This Row],[Deuda actual]]*Tabla2[[#This Row],[diferencia de días]], "0")</f>
        <v>7249.5</v>
      </c>
      <c r="L85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5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5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56">
        <f t="shared" ca="1" si="151"/>
        <v>2037.31</v>
      </c>
      <c r="P856">
        <f t="shared" ca="1" si="152"/>
        <v>106814.3</v>
      </c>
      <c r="Q856">
        <f t="shared" ca="1" si="153"/>
        <v>4</v>
      </c>
      <c r="R856">
        <f ca="1">((Tabla2[[#This Row],[Fantasma Comunicación]]+1)/(Tabla2[[#This Row],[Fantasma Comunicación]]+RANDBETWEEN(0,5)+2))-0.5</f>
        <v>5.555555555555558E-2</v>
      </c>
      <c r="S856" s="51">
        <f ca="1">1+MAX(0,Tabla2[[#This Row],[Deuda actual]]/Tabla2[[#This Row],[Liquidez]]+Tabla2[[#This Row],[Liquidez]]/(Tabla2[[#This Row],[Activos]]+Tabla2[[#This Row],[Liquidez]])+Tabla2[[#This Row],[Comunicación]])</f>
        <v>1.7859456796735653</v>
      </c>
      <c r="T856">
        <f ca="1">Tabla2[[#This Row],[Deuda actual]]*EXP(Tabla2[[#This Row],[Ki]]*Tabla2[[#This Row],[diferencia de días]])*(1+Tabla2[[#This Row],[Hg]])</f>
        <v>1523.9181564512962</v>
      </c>
    </row>
    <row r="857" spans="1:20" ht="14.5" x14ac:dyDescent="0.35">
      <c r="A857" t="e">
        <f t="shared" si="143"/>
        <v>#VALUE!</v>
      </c>
      <c r="B857" s="21">
        <f t="shared" ca="1" si="144"/>
        <v>46119</v>
      </c>
      <c r="C857" s="21">
        <f t="shared" ca="1" si="145"/>
        <v>46157</v>
      </c>
      <c r="D857">
        <f t="shared" ca="1" si="146"/>
        <v>34</v>
      </c>
      <c r="E857">
        <f t="shared" ca="1" si="147"/>
        <v>0.29411463039393448</v>
      </c>
      <c r="F857" s="47">
        <f t="shared" ca="1" si="148"/>
        <v>1875.21</v>
      </c>
      <c r="G857" s="32" t="str">
        <f t="shared" ca="1" si="149"/>
        <v>hipotecario</v>
      </c>
      <c r="H85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857" t="str">
        <f t="shared" ca="1" si="150"/>
        <v>Sí</v>
      </c>
      <c r="J85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57" s="32">
        <f ca="1">IF(Tabla2[[#This Row],[¿cliente deuda abierta?]]="Sí", Tabla2[[#This Row],[Deuda actual]]*Tabla2[[#This Row],[diferencia de días]], "0")</f>
        <v>63757.14</v>
      </c>
      <c r="L85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85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57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857">
        <f t="shared" ca="1" si="151"/>
        <v>1700</v>
      </c>
      <c r="P857">
        <f t="shared" ca="1" si="152"/>
        <v>103131.12</v>
      </c>
      <c r="Q857">
        <f t="shared" ca="1" si="153"/>
        <v>4</v>
      </c>
      <c r="R857">
        <f ca="1">((Tabla2[[#This Row],[Fantasma Comunicación]]+1)/(Tabla2[[#This Row],[Fantasma Comunicación]]+RANDBETWEEN(0,5)+2))-0.5</f>
        <v>0.2142857142857143</v>
      </c>
      <c r="S857" s="51">
        <f ca="1">1+MAX(0,Tabla2[[#This Row],[Deuda actual]]/Tabla2[[#This Row],[Liquidez]]+Tabla2[[#This Row],[Liquidez]]/(Tabla2[[#This Row],[Activos]]+Tabla2[[#This Row],[Liquidez]])+Tabla2[[#This Row],[Comunicación]])</f>
        <v>2.3335669787625002</v>
      </c>
      <c r="T857">
        <f ca="1">Tabla2[[#This Row],[Deuda actual]]*EXP(Tabla2[[#This Row],[Ki]]*Tabla2[[#This Row],[diferencia de días]])*(1+Tabla2[[#This Row],[Hg]])</f>
        <v>2231.0729104400289</v>
      </c>
    </row>
    <row r="858" spans="1:20" ht="14.5" x14ac:dyDescent="0.35">
      <c r="A858" t="e">
        <f t="shared" si="143"/>
        <v>#VALUE!</v>
      </c>
      <c r="B858" s="21">
        <f t="shared" ca="1" si="144"/>
        <v>46087</v>
      </c>
      <c r="C858" s="21">
        <f t="shared" ca="1" si="145"/>
        <v>46157</v>
      </c>
      <c r="D858">
        <f t="shared" ca="1" si="146"/>
        <v>17</v>
      </c>
      <c r="E858">
        <f t="shared" ca="1" si="147"/>
        <v>0.84119552249844576</v>
      </c>
      <c r="F858" s="47">
        <f t="shared" ca="1" si="148"/>
        <v>689.82</v>
      </c>
      <c r="G858" s="32" t="str">
        <f t="shared" ca="1" si="149"/>
        <v>personal</v>
      </c>
      <c r="H85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58" t="str">
        <f t="shared" ca="1" si="150"/>
        <v>Sí</v>
      </c>
      <c r="J85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58" s="32">
        <f ca="1">IF(Tabla2[[#This Row],[¿cliente deuda abierta?]]="Sí", Tabla2[[#This Row],[Deuda actual]]*Tabla2[[#This Row],[diferencia de días]], "0")</f>
        <v>11726.94</v>
      </c>
      <c r="L85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5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5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58">
        <f t="shared" ca="1" si="151"/>
        <v>1539.65</v>
      </c>
      <c r="P858">
        <f t="shared" ca="1" si="152"/>
        <v>56167.85</v>
      </c>
      <c r="Q858">
        <f t="shared" ca="1" si="153"/>
        <v>2</v>
      </c>
      <c r="R858">
        <f ca="1">((Tabla2[[#This Row],[Fantasma Comunicación]]+1)/(Tabla2[[#This Row],[Fantasma Comunicación]]+RANDBETWEEN(0,5)+2))-0.5</f>
        <v>-7.1428571428571452E-2</v>
      </c>
      <c r="S858" s="51">
        <f ca="1">1+MAX(0,Tabla2[[#This Row],[Deuda actual]]/Tabla2[[#This Row],[Liquidez]]+Tabla2[[#This Row],[Liquidez]]/(Tabla2[[#This Row],[Activos]]+Tabla2[[#This Row],[Liquidez]])+Tabla2[[#This Row],[Comunicación]])</f>
        <v>1.4032885609426482</v>
      </c>
      <c r="T858">
        <f ca="1">Tabla2[[#This Row],[Deuda actual]]*EXP(Tabla2[[#This Row],[Ki]]*Tabla2[[#This Row],[diferencia de días]])*(1+Tabla2[[#This Row],[Hg]])</f>
        <v>729.25309889269568</v>
      </c>
    </row>
    <row r="859" spans="1:20" ht="14.5" x14ac:dyDescent="0.35">
      <c r="A859" t="e">
        <f t="shared" si="143"/>
        <v>#VALUE!</v>
      </c>
      <c r="B859" s="21">
        <f t="shared" ca="1" si="144"/>
        <v>46094</v>
      </c>
      <c r="C859" s="21">
        <f t="shared" ca="1" si="145"/>
        <v>46157</v>
      </c>
      <c r="D859">
        <f t="shared" ca="1" si="146"/>
        <v>15</v>
      </c>
      <c r="E859">
        <f t="shared" ca="1" si="147"/>
        <v>0.51624603185634321</v>
      </c>
      <c r="F859" s="47">
        <f t="shared" ca="1" si="148"/>
        <v>3611.07</v>
      </c>
      <c r="G859" s="32" t="str">
        <f t="shared" ca="1" si="149"/>
        <v>hipotecario</v>
      </c>
      <c r="H85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59" t="str">
        <f t="shared" ca="1" si="150"/>
        <v>No</v>
      </c>
      <c r="J85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164999.84356184956</v>
      </c>
      <c r="K859" s="32" t="str">
        <f ca="1">IF(Tabla2[[#This Row],[¿cliente deuda abierta?]]="Sí", Tabla2[[#This Row],[Deuda actual]]*Tabla2[[#This Row],[diferencia de días]], "0")</f>
        <v>0</v>
      </c>
      <c r="L85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5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85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859">
        <f t="shared" ca="1" si="151"/>
        <v>1469.8</v>
      </c>
      <c r="P859">
        <f t="shared" ca="1" si="152"/>
        <v>540480.07999999996</v>
      </c>
      <c r="Q859">
        <f t="shared" ca="1" si="153"/>
        <v>5</v>
      </c>
      <c r="R859">
        <f ca="1">((Tabla2[[#This Row],[Fantasma Comunicación]]+1)/(Tabla2[[#This Row],[Fantasma Comunicación]]+RANDBETWEEN(0,5)+2))-0.5</f>
        <v>0.25</v>
      </c>
      <c r="S859" s="51">
        <f ca="1">1+MAX(0,Tabla2[[#This Row],[Deuda actual]]/Tabla2[[#This Row],[Liquidez]]+Tabla2[[#This Row],[Liquidez]]/(Tabla2[[#This Row],[Activos]]+Tabla2[[#This Row],[Liquidez]])+Tabla2[[#This Row],[Comunicación]])</f>
        <v>3.7095565275436617</v>
      </c>
      <c r="T859">
        <f ca="1">Tabla2[[#This Row],[Deuda actual]]*EXP(Tabla2[[#This Row],[Ki]]*Tabla2[[#This Row],[diferencia de días]])*(1+Tabla2[[#This Row],[Hg]])</f>
        <v>2906.2412395630022</v>
      </c>
    </row>
    <row r="860" spans="1:20" ht="14.5" x14ac:dyDescent="0.35">
      <c r="A860" t="e">
        <f t="shared" si="143"/>
        <v>#VALUE!</v>
      </c>
      <c r="B860" s="21">
        <f t="shared" ca="1" si="144"/>
        <v>46141</v>
      </c>
      <c r="C860" s="21">
        <f t="shared" ca="1" si="145"/>
        <v>46157</v>
      </c>
      <c r="D860">
        <f t="shared" ca="1" si="146"/>
        <v>12</v>
      </c>
      <c r="E860">
        <f t="shared" ca="1" si="147"/>
        <v>0.1511258578550333</v>
      </c>
      <c r="F860" s="47">
        <f t="shared" ca="1" si="148"/>
        <v>2106.86</v>
      </c>
      <c r="G860" s="32" t="str">
        <f t="shared" ca="1" si="149"/>
        <v>hipotecario</v>
      </c>
      <c r="H86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60" t="str">
        <f t="shared" ca="1" si="150"/>
        <v>No</v>
      </c>
      <c r="J86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164999.42345437</v>
      </c>
      <c r="K860" s="32" t="str">
        <f ca="1">IF(Tabla2[[#This Row],[¿cliente deuda abierta?]]="Sí", Tabla2[[#This Row],[Deuda actual]]*Tabla2[[#This Row],[diferencia de días]], "0")</f>
        <v>0</v>
      </c>
      <c r="L86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6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86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860">
        <f t="shared" ca="1" si="151"/>
        <v>2029.86</v>
      </c>
      <c r="P860">
        <f t="shared" ca="1" si="152"/>
        <v>183725.66</v>
      </c>
      <c r="Q860">
        <f t="shared" ca="1" si="153"/>
        <v>3</v>
      </c>
      <c r="R860">
        <f ca="1">((Tabla2[[#This Row],[Fantasma Comunicación]]+1)/(Tabla2[[#This Row],[Fantasma Comunicación]]+RANDBETWEEN(0,5)+2))-0.5</f>
        <v>-5.555555555555558E-2</v>
      </c>
      <c r="S860" s="51">
        <f ca="1">1+MAX(0,Tabla2[[#This Row],[Deuda actual]]/Tabla2[[#This Row],[Liquidez]]+Tabla2[[#This Row],[Liquidez]]/(Tabla2[[#This Row],[Activos]]+Tabla2[[#This Row],[Liquidez]])+Tabla2[[#This Row],[Comunicación]])</f>
        <v>1.9933056841646339</v>
      </c>
      <c r="T860">
        <f ca="1">Tabla2[[#This Row],[Deuda actual]]*EXP(Tabla2[[#This Row],[Ki]]*Tabla2[[#This Row],[diferencia de días]])*(1+Tabla2[[#This Row],[Hg]])</f>
        <v>1689.5380292911357</v>
      </c>
    </row>
    <row r="861" spans="1:20" ht="14.5" x14ac:dyDescent="0.35">
      <c r="A861" t="e">
        <f t="shared" si="143"/>
        <v>#VALUE!</v>
      </c>
      <c r="B861" s="21">
        <f t="shared" ca="1" si="144"/>
        <v>46115</v>
      </c>
      <c r="C861" s="21">
        <f t="shared" ca="1" si="145"/>
        <v>46157</v>
      </c>
      <c r="D861">
        <f t="shared" ca="1" si="146"/>
        <v>4</v>
      </c>
      <c r="E861">
        <f t="shared" ca="1" si="147"/>
        <v>0.57489908563992598</v>
      </c>
      <c r="F861" s="47">
        <f t="shared" ca="1" si="148"/>
        <v>83.41</v>
      </c>
      <c r="G861" s="32" t="str">
        <f t="shared" ca="1" si="149"/>
        <v>hipotecario</v>
      </c>
      <c r="H86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61" t="str">
        <f t="shared" ca="1" si="150"/>
        <v>Sí</v>
      </c>
      <c r="J86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61" s="32">
        <f ca="1">IF(Tabla2[[#This Row],[¿cliente deuda abierta?]]="Sí", Tabla2[[#This Row],[Deuda actual]]*Tabla2[[#This Row],[diferencia de días]], "0")</f>
        <v>333.64</v>
      </c>
      <c r="L86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6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6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61">
        <f t="shared" ca="1" si="151"/>
        <v>1840.08</v>
      </c>
      <c r="P861">
        <f t="shared" ca="1" si="152"/>
        <v>41133.769999999997</v>
      </c>
      <c r="Q861">
        <f t="shared" ca="1" si="153"/>
        <v>4</v>
      </c>
      <c r="R861">
        <f ca="1">((Tabla2[[#This Row],[Fantasma Comunicación]]+1)/(Tabla2[[#This Row],[Fantasma Comunicación]]+RANDBETWEEN(0,5)+2))-0.5</f>
        <v>0.125</v>
      </c>
      <c r="S861" s="51">
        <f ca="1">1+MAX(0,Tabla2[[#This Row],[Deuda actual]]/Tabla2[[#This Row],[Liquidez]]+Tabla2[[#This Row],[Liquidez]]/(Tabla2[[#This Row],[Activos]]+Tabla2[[#This Row],[Liquidez]])+Tabla2[[#This Row],[Comunicación]])</f>
        <v>1.2131481487107902</v>
      </c>
      <c r="T861">
        <f ca="1">Tabla2[[#This Row],[Deuda actual]]*EXP(Tabla2[[#This Row],[Ki]]*Tabla2[[#This Row],[diferencia de días]])*(1+Tabla2[[#This Row],[Hg]])</f>
        <v>87.650592433235033</v>
      </c>
    </row>
    <row r="862" spans="1:20" ht="14.5" x14ac:dyDescent="0.35">
      <c r="A862" t="e">
        <f t="shared" si="143"/>
        <v>#VALUE!</v>
      </c>
      <c r="B862" s="21">
        <f t="shared" ca="1" si="144"/>
        <v>46114</v>
      </c>
      <c r="C862" s="21">
        <f t="shared" ca="1" si="145"/>
        <v>46157</v>
      </c>
      <c r="D862">
        <f t="shared" ca="1" si="146"/>
        <v>20</v>
      </c>
      <c r="E862">
        <f t="shared" ca="1" si="147"/>
        <v>0.97955103926349862</v>
      </c>
      <c r="F862" s="47">
        <f t="shared" ca="1" si="148"/>
        <v>2368.17</v>
      </c>
      <c r="G862" s="32" t="str">
        <f t="shared" ca="1" si="149"/>
        <v>personal</v>
      </c>
      <c r="H86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62" t="str">
        <f t="shared" ca="1" si="150"/>
        <v>Sí</v>
      </c>
      <c r="J86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62" s="32">
        <f ca="1">IF(Tabla2[[#This Row],[¿cliente deuda abierta?]]="Sí", Tabla2[[#This Row],[Deuda actual]]*Tabla2[[#This Row],[diferencia de días]], "0")</f>
        <v>47363.4</v>
      </c>
      <c r="L86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86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62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862">
        <f t="shared" ca="1" si="151"/>
        <v>1658.18</v>
      </c>
      <c r="P862">
        <f t="shared" ca="1" si="152"/>
        <v>57633.120000000003</v>
      </c>
      <c r="Q862">
        <f t="shared" ca="1" si="153"/>
        <v>3</v>
      </c>
      <c r="R862">
        <f ca="1">((Tabla2[[#This Row],[Fantasma Comunicación]]+1)/(Tabla2[[#This Row],[Fantasma Comunicación]]+RANDBETWEEN(0,5)+2))-0.5</f>
        <v>7.1428571428571397E-2</v>
      </c>
      <c r="S862" s="51">
        <f ca="1">1+MAX(0,Tabla2[[#This Row],[Deuda actual]]/Tabla2[[#This Row],[Liquidez]]+Tabla2[[#This Row],[Liquidez]]/(Tabla2[[#This Row],[Activos]]+Tabla2[[#This Row],[Liquidez]])+Tabla2[[#This Row],[Comunicación]])</f>
        <v>2.5275695010506736</v>
      </c>
      <c r="T862">
        <f ca="1">Tabla2[[#This Row],[Deuda actual]]*EXP(Tabla2[[#This Row],[Ki]]*Tabla2[[#This Row],[diferencia de días]])*(1+Tabla2[[#This Row],[Hg]])</f>
        <v>2625.9104783215212</v>
      </c>
    </row>
    <row r="863" spans="1:20" ht="14.5" x14ac:dyDescent="0.35">
      <c r="A863" t="e">
        <f t="shared" si="143"/>
        <v>#VALUE!</v>
      </c>
      <c r="B863" s="21">
        <f t="shared" ca="1" si="144"/>
        <v>46088</v>
      </c>
      <c r="C863" s="21">
        <f t="shared" ca="1" si="145"/>
        <v>46157</v>
      </c>
      <c r="D863">
        <f t="shared" ca="1" si="146"/>
        <v>11</v>
      </c>
      <c r="E863">
        <f t="shared" ca="1" si="147"/>
        <v>0.71971783412132917</v>
      </c>
      <c r="F863" s="47">
        <f t="shared" ca="1" si="148"/>
        <v>2718.82</v>
      </c>
      <c r="G863" s="32" t="str">
        <f t="shared" ca="1" si="149"/>
        <v>personal</v>
      </c>
      <c r="H86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63" t="str">
        <f t="shared" ca="1" si="150"/>
        <v>No</v>
      </c>
      <c r="J86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12000.544324902759</v>
      </c>
      <c r="K863" s="32" t="str">
        <f ca="1">IF(Tabla2[[#This Row],[¿cliente deuda abierta?]]="Sí", Tabla2[[#This Row],[Deuda actual]]*Tabla2[[#This Row],[diferencia de días]], "0")</f>
        <v>0</v>
      </c>
      <c r="L86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6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86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863">
        <f t="shared" ca="1" si="151"/>
        <v>2024.67</v>
      </c>
      <c r="P863">
        <f t="shared" ca="1" si="152"/>
        <v>393392.78</v>
      </c>
      <c r="Q863">
        <f t="shared" ca="1" si="153"/>
        <v>5</v>
      </c>
      <c r="R863">
        <f ca="1">((Tabla2[[#This Row],[Fantasma Comunicación]]+1)/(Tabla2[[#This Row],[Fantasma Comunicación]]+RANDBETWEEN(0,5)+2))-0.5</f>
        <v>0.3571428571428571</v>
      </c>
      <c r="S863" s="51">
        <f ca="1">1+MAX(0,Tabla2[[#This Row],[Deuda actual]]/Tabla2[[#This Row],[Liquidez]]+Tabla2[[#This Row],[Liquidez]]/(Tabla2[[#This Row],[Activos]]+Tabla2[[#This Row],[Liquidez]])+Tabla2[[#This Row],[Comunicación]])</f>
        <v>2.7051091872822002</v>
      </c>
      <c r="T863">
        <f ca="1">Tabla2[[#This Row],[Deuda actual]]*EXP(Tabla2[[#This Row],[Ki]]*Tabla2[[#This Row],[diferencia de días]])*(1+Tabla2[[#This Row],[Hg]])</f>
        <v>2452.3271895348489</v>
      </c>
    </row>
    <row r="864" spans="1:20" ht="14.5" x14ac:dyDescent="0.35">
      <c r="A864" t="e">
        <f t="shared" si="143"/>
        <v>#VALUE!</v>
      </c>
      <c r="B864" s="21">
        <f t="shared" ca="1" si="144"/>
        <v>46143</v>
      </c>
      <c r="C864" s="21">
        <f t="shared" ca="1" si="145"/>
        <v>46157</v>
      </c>
      <c r="D864">
        <f t="shared" ca="1" si="146"/>
        <v>22</v>
      </c>
      <c r="E864">
        <f t="shared" ca="1" si="147"/>
        <v>0.15638914506505985</v>
      </c>
      <c r="F864" s="47">
        <f t="shared" ca="1" si="148"/>
        <v>2723.85</v>
      </c>
      <c r="G864" s="32" t="str">
        <f t="shared" ca="1" si="149"/>
        <v>personal</v>
      </c>
      <c r="H86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64" t="str">
        <f t="shared" ca="1" si="150"/>
        <v>No</v>
      </c>
      <c r="J86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12000.564337699483</v>
      </c>
      <c r="K864" s="32" t="str">
        <f ca="1">IF(Tabla2[[#This Row],[¿cliente deuda abierta?]]="Sí", Tabla2[[#This Row],[Deuda actual]]*Tabla2[[#This Row],[diferencia de días]], "0")</f>
        <v>0</v>
      </c>
      <c r="L86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6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86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864">
        <f t="shared" ca="1" si="151"/>
        <v>1529.53</v>
      </c>
      <c r="P864">
        <f t="shared" ca="1" si="152"/>
        <v>106693.92</v>
      </c>
      <c r="Q864">
        <f t="shared" ca="1" si="153"/>
        <v>4</v>
      </c>
      <c r="R864">
        <f ca="1">((Tabla2[[#This Row],[Fantasma Comunicación]]+1)/(Tabla2[[#This Row],[Fantasma Comunicación]]+RANDBETWEEN(0,5)+2))-0.5</f>
        <v>-4.545454545454547E-2</v>
      </c>
      <c r="S864" s="51">
        <f ca="1">1+MAX(0,Tabla2[[#This Row],[Deuda actual]]/Tabla2[[#This Row],[Liquidez]]+Tabla2[[#This Row],[Liquidez]]/(Tabla2[[#This Row],[Activos]]+Tabla2[[#This Row],[Liquidez]])+Tabla2[[#This Row],[Comunicación]])</f>
        <v>2.7495197017247719</v>
      </c>
      <c r="T864">
        <f ca="1">Tabla2[[#This Row],[Deuda actual]]*EXP(Tabla2[[#This Row],[Ki]]*Tabla2[[#This Row],[diferencia de días]])*(1+Tabla2[[#This Row],[Hg]])</f>
        <v>2473.1330917725609</v>
      </c>
    </row>
    <row r="865" spans="1:20" ht="14.5" x14ac:dyDescent="0.35">
      <c r="A865" t="e">
        <f t="shared" si="143"/>
        <v>#VALUE!</v>
      </c>
      <c r="B865" s="21">
        <f t="shared" ca="1" si="144"/>
        <v>46106</v>
      </c>
      <c r="C865" s="21">
        <f t="shared" ca="1" si="145"/>
        <v>46157</v>
      </c>
      <c r="D865">
        <f t="shared" ca="1" si="146"/>
        <v>12</v>
      </c>
      <c r="E865">
        <f t="shared" ca="1" si="147"/>
        <v>0.71000513120464193</v>
      </c>
      <c r="F865" s="47">
        <f t="shared" ca="1" si="148"/>
        <v>215.22</v>
      </c>
      <c r="G865" s="32" t="str">
        <f t="shared" ca="1" si="149"/>
        <v>personal</v>
      </c>
      <c r="H86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65" t="str">
        <f t="shared" ca="1" si="150"/>
        <v>No</v>
      </c>
      <c r="J86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12000.907348549799</v>
      </c>
      <c r="K865" s="32" t="str">
        <f ca="1">IF(Tabla2[[#This Row],[¿cliente deuda abierta?]]="Sí", Tabla2[[#This Row],[Deuda actual]]*Tabla2[[#This Row],[diferencia de días]], "0")</f>
        <v>0</v>
      </c>
      <c r="L86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6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86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865">
        <f t="shared" ca="1" si="151"/>
        <v>1666.15</v>
      </c>
      <c r="P865">
        <f t="shared" ca="1" si="152"/>
        <v>199617.86</v>
      </c>
      <c r="Q865">
        <f t="shared" ca="1" si="153"/>
        <v>1</v>
      </c>
      <c r="R865">
        <f ca="1">((Tabla2[[#This Row],[Fantasma Comunicación]]+1)/(Tabla2[[#This Row],[Fantasma Comunicación]]+RANDBETWEEN(0,5)+2))-0.5</f>
        <v>-0.2142857142857143</v>
      </c>
      <c r="S865" s="51">
        <f ca="1">1+MAX(0,Tabla2[[#This Row],[Deuda actual]]/Tabla2[[#This Row],[Liquidez]]+Tabla2[[#This Row],[Liquidez]]/(Tabla2[[#This Row],[Activos]]+Tabla2[[#This Row],[Liquidez]])+Tabla2[[#This Row],[Comunicación]])</f>
        <v>1</v>
      </c>
      <c r="T865">
        <f ca="1">Tabla2[[#This Row],[Deuda actual]]*EXP(Tabla2[[#This Row],[Ki]]*Tabla2[[#This Row],[diferencia de días]])*(1+Tabla2[[#This Row],[Hg]])</f>
        <v>194.16343349678809</v>
      </c>
    </row>
    <row r="866" spans="1:20" ht="14.5" x14ac:dyDescent="0.35">
      <c r="A866" t="e">
        <f t="shared" si="143"/>
        <v>#VALUE!</v>
      </c>
      <c r="B866" s="21">
        <f t="shared" ca="1" si="144"/>
        <v>46091</v>
      </c>
      <c r="C866" s="21">
        <f t="shared" ca="1" si="145"/>
        <v>46157</v>
      </c>
      <c r="D866">
        <f t="shared" ca="1" si="146"/>
        <v>24</v>
      </c>
      <c r="E866">
        <f t="shared" ca="1" si="147"/>
        <v>0.49192276055085593</v>
      </c>
      <c r="F866" s="47">
        <f t="shared" ca="1" si="148"/>
        <v>495.15</v>
      </c>
      <c r="G866" s="32" t="str">
        <f t="shared" ca="1" si="149"/>
        <v>personal</v>
      </c>
      <c r="H86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66" t="str">
        <f t="shared" ca="1" si="150"/>
        <v>No</v>
      </c>
      <c r="J86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12001.749602501626</v>
      </c>
      <c r="K866" s="32" t="str">
        <f ca="1">IF(Tabla2[[#This Row],[¿cliente deuda abierta?]]="Sí", Tabla2[[#This Row],[Deuda actual]]*Tabla2[[#This Row],[diferencia de días]], "0")</f>
        <v>0</v>
      </c>
      <c r="L86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6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86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866">
        <f t="shared" ca="1" si="151"/>
        <v>2176.89</v>
      </c>
      <c r="P866">
        <f t="shared" ca="1" si="152"/>
        <v>305034.74</v>
      </c>
      <c r="Q866">
        <f t="shared" ca="1" si="153"/>
        <v>5</v>
      </c>
      <c r="R866">
        <f ca="1">((Tabla2[[#This Row],[Fantasma Comunicación]]+1)/(Tabla2[[#This Row],[Fantasma Comunicación]]+RANDBETWEEN(0,5)+2))-0.5</f>
        <v>0</v>
      </c>
      <c r="S866" s="51">
        <f ca="1">1+MAX(0,Tabla2[[#This Row],[Deuda actual]]/Tabla2[[#This Row],[Liquidez]]+Tabla2[[#This Row],[Liquidez]]/(Tabla2[[#This Row],[Activos]]+Tabla2[[#This Row],[Liquidez]])+Tabla2[[#This Row],[Comunicación]])</f>
        <v>1.2345434818804364</v>
      </c>
      <c r="T866">
        <f ca="1">Tabla2[[#This Row],[Deuda actual]]*EXP(Tabla2[[#This Row],[Ki]]*Tabla2[[#This Row],[diferencia de días]])*(1+Tabla2[[#This Row],[Hg]])</f>
        <v>449.93369673036551</v>
      </c>
    </row>
    <row r="867" spans="1:20" ht="14.5" x14ac:dyDescent="0.35">
      <c r="A867" t="e">
        <f t="shared" si="143"/>
        <v>#VALUE!</v>
      </c>
      <c r="B867" s="21">
        <f t="shared" ca="1" si="144"/>
        <v>46102</v>
      </c>
      <c r="C867" s="21">
        <f t="shared" ca="1" si="145"/>
        <v>46157</v>
      </c>
      <c r="D867">
        <f t="shared" ca="1" si="146"/>
        <v>46</v>
      </c>
      <c r="E867">
        <f t="shared" ca="1" si="147"/>
        <v>0.16743091791421605</v>
      </c>
      <c r="F867" s="47">
        <f t="shared" ca="1" si="148"/>
        <v>2939.07</v>
      </c>
      <c r="G867" s="32" t="str">
        <f t="shared" ca="1" si="149"/>
        <v>hipotecario</v>
      </c>
      <c r="H86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867" t="str">
        <f t="shared" ca="1" si="150"/>
        <v>Sí</v>
      </c>
      <c r="J86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67" s="32">
        <f ca="1">IF(Tabla2[[#This Row],[¿cliente deuda abierta?]]="Sí", Tabla2[[#This Row],[Deuda actual]]*Tabla2[[#This Row],[diferencia de días]], "0")</f>
        <v>135197.22</v>
      </c>
      <c r="L86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86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67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867">
        <f t="shared" ca="1" si="151"/>
        <v>2001.74</v>
      </c>
      <c r="P867">
        <f t="shared" ca="1" si="152"/>
        <v>360442.58</v>
      </c>
      <c r="Q867">
        <f t="shared" ca="1" si="153"/>
        <v>0</v>
      </c>
      <c r="R867">
        <f ca="1">((Tabla2[[#This Row],[Fantasma Comunicación]]+1)/(Tabla2[[#This Row],[Fantasma Comunicación]]+RANDBETWEEN(0,5)+2))-0.5</f>
        <v>-0.3</v>
      </c>
      <c r="S867" s="51">
        <f ca="1">1+MAX(0,Tabla2[[#This Row],[Deuda actual]]/Tabla2[[#This Row],[Liquidez]]+Tabla2[[#This Row],[Liquidez]]/(Tabla2[[#This Row],[Activos]]+Tabla2[[#This Row],[Liquidez]])+Tabla2[[#This Row],[Comunicación]])</f>
        <v>2.1737805055693569</v>
      </c>
      <c r="T867">
        <f ca="1">Tabla2[[#This Row],[Deuda actual]]*EXP(Tabla2[[#This Row],[Ki]]*Tabla2[[#This Row],[diferencia de días]])*(1+Tabla2[[#This Row],[Hg]])</f>
        <v>3539.038737362886</v>
      </c>
    </row>
    <row r="868" spans="1:20" ht="14.5" x14ac:dyDescent="0.35">
      <c r="A868" t="e">
        <f t="shared" si="143"/>
        <v>#VALUE!</v>
      </c>
      <c r="B868" s="21">
        <f t="shared" ca="1" si="144"/>
        <v>46137</v>
      </c>
      <c r="C868" s="21">
        <f t="shared" ca="1" si="145"/>
        <v>46157</v>
      </c>
      <c r="D868">
        <f t="shared" ca="1" si="146"/>
        <v>24</v>
      </c>
      <c r="E868">
        <f t="shared" ca="1" si="147"/>
        <v>7.6518391100457661E-2</v>
      </c>
      <c r="F868" s="47">
        <f t="shared" ca="1" si="148"/>
        <v>377.49</v>
      </c>
      <c r="G868" s="32" t="str">
        <f t="shared" ca="1" si="149"/>
        <v>personal</v>
      </c>
      <c r="H86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68" t="str">
        <f t="shared" ca="1" si="150"/>
        <v>Sí</v>
      </c>
      <c r="J86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68" s="32">
        <f ca="1">IF(Tabla2[[#This Row],[¿cliente deuda abierta?]]="Sí", Tabla2[[#This Row],[Deuda actual]]*Tabla2[[#This Row],[diferencia de días]], "0")</f>
        <v>9059.76</v>
      </c>
      <c r="L86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6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6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68">
        <f t="shared" ca="1" si="151"/>
        <v>1613.71</v>
      </c>
      <c r="P868">
        <f t="shared" ca="1" si="152"/>
        <v>127223.4</v>
      </c>
      <c r="Q868">
        <f t="shared" ca="1" si="153"/>
        <v>1</v>
      </c>
      <c r="R868">
        <f ca="1">((Tabla2[[#This Row],[Fantasma Comunicación]]+1)/(Tabla2[[#This Row],[Fantasma Comunicación]]+RANDBETWEEN(0,5)+2))-0.5</f>
        <v>0</v>
      </c>
      <c r="S868" s="51">
        <f ca="1">1+MAX(0,Tabla2[[#This Row],[Deuda actual]]/Tabla2[[#This Row],[Liquidez]]+Tabla2[[#This Row],[Liquidez]]/(Tabla2[[#This Row],[Activos]]+Tabla2[[#This Row],[Liquidez]])+Tabla2[[#This Row],[Comunicación]])</f>
        <v>1.246451985394206</v>
      </c>
      <c r="T868">
        <f ca="1">Tabla2[[#This Row],[Deuda actual]]*EXP(Tabla2[[#This Row],[Ki]]*Tabla2[[#This Row],[diferencia de días]])*(1+Tabla2[[#This Row],[Hg]])</f>
        <v>400.18792226302463</v>
      </c>
    </row>
    <row r="869" spans="1:20" ht="14.5" x14ac:dyDescent="0.35">
      <c r="A869" t="e">
        <f t="shared" si="143"/>
        <v>#VALUE!</v>
      </c>
      <c r="B869" s="21">
        <f t="shared" ca="1" si="144"/>
        <v>46108</v>
      </c>
      <c r="C869" s="21">
        <f t="shared" ca="1" si="145"/>
        <v>46157</v>
      </c>
      <c r="D869">
        <f t="shared" ca="1" si="146"/>
        <v>7</v>
      </c>
      <c r="E869">
        <f t="shared" ca="1" si="147"/>
        <v>0.33698693342293085</v>
      </c>
      <c r="F869" s="47">
        <f t="shared" ca="1" si="148"/>
        <v>1658.94</v>
      </c>
      <c r="G869" s="32" t="str">
        <f t="shared" ca="1" si="149"/>
        <v>hipotecario</v>
      </c>
      <c r="H86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69" t="str">
        <f t="shared" ca="1" si="150"/>
        <v>Sí</v>
      </c>
      <c r="J86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69" s="32">
        <f ca="1">IF(Tabla2[[#This Row],[¿cliente deuda abierta?]]="Sí", Tabla2[[#This Row],[Deuda actual]]*Tabla2[[#This Row],[diferencia de días]], "0")</f>
        <v>11612.58</v>
      </c>
      <c r="L86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6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6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69">
        <f t="shared" ca="1" si="151"/>
        <v>1980.67</v>
      </c>
      <c r="P869">
        <f t="shared" ca="1" si="152"/>
        <v>43793.05</v>
      </c>
      <c r="Q869">
        <f t="shared" ca="1" si="153"/>
        <v>1</v>
      </c>
      <c r="R869">
        <f ca="1">((Tabla2[[#This Row],[Fantasma Comunicación]]+1)/(Tabla2[[#This Row],[Fantasma Comunicación]]+RANDBETWEEN(0,5)+2))-0.5</f>
        <v>-0.2142857142857143</v>
      </c>
      <c r="S869" s="51">
        <f ca="1">1+MAX(0,Tabla2[[#This Row],[Deuda actual]]/Tabla2[[#This Row],[Liquidez]]+Tabla2[[#This Row],[Liquidez]]/(Tabla2[[#This Row],[Activos]]+Tabla2[[#This Row],[Liquidez]])+Tabla2[[#This Row],[Comunicación]])</f>
        <v>1.6665502507535801</v>
      </c>
      <c r="T869">
        <f ca="1">Tabla2[[#This Row],[Deuda actual]]*EXP(Tabla2[[#This Row],[Ki]]*Tabla2[[#This Row],[diferencia de días]])*(1+Tabla2[[#This Row],[Hg]])</f>
        <v>1744.327349646162</v>
      </c>
    </row>
    <row r="870" spans="1:20" ht="14.5" x14ac:dyDescent="0.35">
      <c r="A870" t="e">
        <f t="shared" si="143"/>
        <v>#VALUE!</v>
      </c>
      <c r="B870" s="21">
        <f t="shared" ca="1" si="144"/>
        <v>46093</v>
      </c>
      <c r="C870" s="21">
        <f t="shared" ca="1" si="145"/>
        <v>46157</v>
      </c>
      <c r="D870">
        <f t="shared" ca="1" si="146"/>
        <v>31</v>
      </c>
      <c r="E870">
        <f t="shared" ca="1" si="147"/>
        <v>0.57634741545181079</v>
      </c>
      <c r="F870" s="47">
        <f t="shared" ca="1" si="148"/>
        <v>740.38</v>
      </c>
      <c r="G870" s="32" t="str">
        <f t="shared" ca="1" si="149"/>
        <v>hipotecario</v>
      </c>
      <c r="H87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870" t="str">
        <f t="shared" ca="1" si="150"/>
        <v>Sí</v>
      </c>
      <c r="J87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70" s="32">
        <f ca="1">IF(Tabla2[[#This Row],[¿cliente deuda abierta?]]="Sí", Tabla2[[#This Row],[Deuda actual]]*Tabla2[[#This Row],[diferencia de días]], "0")</f>
        <v>22951.78</v>
      </c>
      <c r="L87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7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7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70">
        <f t="shared" ca="1" si="151"/>
        <v>1435.3</v>
      </c>
      <c r="P870">
        <f t="shared" ca="1" si="152"/>
        <v>620276.09</v>
      </c>
      <c r="Q870">
        <f t="shared" ca="1" si="153"/>
        <v>3</v>
      </c>
      <c r="R870">
        <f ca="1">((Tabla2[[#This Row],[Fantasma Comunicación]]+1)/(Tabla2[[#This Row],[Fantasma Comunicación]]+RANDBETWEEN(0,5)+2))-0.5</f>
        <v>-9.9999999999999978E-2</v>
      </c>
      <c r="S870" s="51">
        <f ca="1">1+MAX(0,Tabla2[[#This Row],[Deuda actual]]/Tabla2[[#This Row],[Liquidez]]+Tabla2[[#This Row],[Liquidez]]/(Tabla2[[#This Row],[Activos]]+Tabla2[[#This Row],[Liquidez]])+Tabla2[[#This Row],[Comunicación]])</f>
        <v>1.4181450379871849</v>
      </c>
      <c r="T870">
        <f ca="1">Tabla2[[#This Row],[Deuda actual]]*EXP(Tabla2[[#This Row],[Ki]]*Tabla2[[#This Row],[diferencia de días]])*(1+Tabla2[[#This Row],[Hg]])</f>
        <v>801.87579923587896</v>
      </c>
    </row>
    <row r="871" spans="1:20" ht="14.5" x14ac:dyDescent="0.35">
      <c r="A871" t="e">
        <f t="shared" si="143"/>
        <v>#VALUE!</v>
      </c>
      <c r="B871" s="21">
        <f t="shared" ca="1" si="144"/>
        <v>46129</v>
      </c>
      <c r="C871" s="21">
        <f t="shared" ca="1" si="145"/>
        <v>46157</v>
      </c>
      <c r="D871">
        <f t="shared" ca="1" si="146"/>
        <v>8</v>
      </c>
      <c r="E871">
        <f t="shared" ca="1" si="147"/>
        <v>0.69616357436911747</v>
      </c>
      <c r="F871" s="47">
        <f t="shared" ca="1" si="148"/>
        <v>2068.9899999999998</v>
      </c>
      <c r="G871" s="32" t="str">
        <f t="shared" ca="1" si="149"/>
        <v>personal</v>
      </c>
      <c r="H87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71" t="str">
        <f t="shared" ca="1" si="150"/>
        <v>No</v>
      </c>
      <c r="J87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11999.504165599146</v>
      </c>
      <c r="K871" s="32" t="str">
        <f ca="1">IF(Tabla2[[#This Row],[¿cliente deuda abierta?]]="Sí", Tabla2[[#This Row],[Deuda actual]]*Tabla2[[#This Row],[diferencia de días]], "0")</f>
        <v>0</v>
      </c>
      <c r="L87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7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87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871">
        <f t="shared" ca="1" si="151"/>
        <v>1566.94</v>
      </c>
      <c r="P871">
        <f t="shared" ca="1" si="152"/>
        <v>35929.050000000003</v>
      </c>
      <c r="Q871">
        <f t="shared" ca="1" si="153"/>
        <v>3</v>
      </c>
      <c r="R871">
        <f ca="1">((Tabla2[[#This Row],[Fantasma Comunicación]]+1)/(Tabla2[[#This Row],[Fantasma Comunicación]]+RANDBETWEEN(0,5)+2))-0.5</f>
        <v>0</v>
      </c>
      <c r="S871" s="51">
        <f ca="1">1+MAX(0,Tabla2[[#This Row],[Deuda actual]]/Tabla2[[#This Row],[Liquidez]]+Tabla2[[#This Row],[Liquidez]]/(Tabla2[[#This Row],[Activos]]+Tabla2[[#This Row],[Liquidez]])+Tabla2[[#This Row],[Comunicación]])</f>
        <v>2.3621910823251278</v>
      </c>
      <c r="T871">
        <f ca="1">Tabla2[[#This Row],[Deuda actual]]*EXP(Tabla2[[#This Row],[Ki]]*Tabla2[[#This Row],[diferencia de días]])*(1+Tabla2[[#This Row],[Hg]])</f>
        <v>1865.0727303481758</v>
      </c>
    </row>
    <row r="872" spans="1:20" ht="14.5" x14ac:dyDescent="0.35">
      <c r="A872" t="e">
        <f t="shared" si="143"/>
        <v>#VALUE!</v>
      </c>
      <c r="B872" s="21">
        <f t="shared" ca="1" si="144"/>
        <v>46108</v>
      </c>
      <c r="C872" s="21">
        <f t="shared" ca="1" si="145"/>
        <v>46157</v>
      </c>
      <c r="D872">
        <f t="shared" ca="1" si="146"/>
        <v>4</v>
      </c>
      <c r="E872">
        <f t="shared" ca="1" si="147"/>
        <v>0.40867540740145569</v>
      </c>
      <c r="F872" s="47">
        <f t="shared" ca="1" si="148"/>
        <v>10000</v>
      </c>
      <c r="G872" s="32" t="str">
        <f t="shared" ca="1" si="149"/>
        <v>personal</v>
      </c>
      <c r="H87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72" t="str">
        <f t="shared" ca="1" si="150"/>
        <v>Sí</v>
      </c>
      <c r="J87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72" s="32">
        <f ca="1">IF(Tabla2[[#This Row],[¿cliente deuda abierta?]]="Sí", Tabla2[[#This Row],[Deuda actual]]*Tabla2[[#This Row],[diferencia de días]], "0")</f>
        <v>40000</v>
      </c>
      <c r="L87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87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72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872">
        <f t="shared" ca="1" si="151"/>
        <v>2660.67</v>
      </c>
      <c r="P872">
        <f t="shared" ca="1" si="152"/>
        <v>108180.26</v>
      </c>
      <c r="Q872">
        <f t="shared" ca="1" si="153"/>
        <v>3</v>
      </c>
      <c r="R872">
        <f ca="1">((Tabla2[[#This Row],[Fantasma Comunicación]]+1)/(Tabla2[[#This Row],[Fantasma Comunicación]]+RANDBETWEEN(0,5)+2))-0.5</f>
        <v>0.16666666666666663</v>
      </c>
      <c r="S872" s="51">
        <f ca="1">1+MAX(0,Tabla2[[#This Row],[Deuda actual]]/Tabla2[[#This Row],[Liquidez]]+Tabla2[[#This Row],[Liquidez]]/(Tabla2[[#This Row],[Activos]]+Tabla2[[#This Row],[Liquidez]])+Tabla2[[#This Row],[Comunicación]])</f>
        <v>4.9491228850123097</v>
      </c>
      <c r="T872">
        <f ca="1">Tabla2[[#This Row],[Deuda actual]]*EXP(Tabla2[[#This Row],[Ki]]*Tabla2[[#This Row],[diferencia de días]])*(1+Tabla2[[#This Row],[Hg]])</f>
        <v>11008.803520938854</v>
      </c>
    </row>
    <row r="873" spans="1:20" ht="14.5" x14ac:dyDescent="0.35">
      <c r="A873" t="e">
        <f t="shared" si="143"/>
        <v>#VALUE!</v>
      </c>
      <c r="B873" s="21">
        <f t="shared" ca="1" si="144"/>
        <v>46118</v>
      </c>
      <c r="C873" s="21">
        <f t="shared" ca="1" si="145"/>
        <v>46157</v>
      </c>
      <c r="D873">
        <f t="shared" ca="1" si="146"/>
        <v>13</v>
      </c>
      <c r="E873">
        <f t="shared" ca="1" si="147"/>
        <v>0.61558148033227078</v>
      </c>
      <c r="F873" s="47">
        <f t="shared" ca="1" si="148"/>
        <v>2256.7199999999998</v>
      </c>
      <c r="G873" s="32" t="str">
        <f t="shared" ca="1" si="149"/>
        <v>personal</v>
      </c>
      <c r="H87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73" t="str">
        <f t="shared" ca="1" si="150"/>
        <v>Sí</v>
      </c>
      <c r="J87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73" s="32">
        <f ca="1">IF(Tabla2[[#This Row],[¿cliente deuda abierta?]]="Sí", Tabla2[[#This Row],[Deuda actual]]*Tabla2[[#This Row],[diferencia de días]], "0")</f>
        <v>29337.359999999997</v>
      </c>
      <c r="L87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7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7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73">
        <f t="shared" ca="1" si="151"/>
        <v>1491.17</v>
      </c>
      <c r="P873">
        <f t="shared" ca="1" si="152"/>
        <v>376323.54</v>
      </c>
      <c r="Q873">
        <f t="shared" ca="1" si="153"/>
        <v>0</v>
      </c>
      <c r="R873">
        <f ca="1">((Tabla2[[#This Row],[Fantasma Comunicación]]+1)/(Tabla2[[#This Row],[Fantasma Comunicación]]+RANDBETWEEN(0,5)+2))-0.5</f>
        <v>-0.33333333333333337</v>
      </c>
      <c r="S873" s="51">
        <f ca="1">1+MAX(0,Tabla2[[#This Row],[Deuda actual]]/Tabla2[[#This Row],[Liquidez]]+Tabla2[[#This Row],[Liquidez]]/(Tabla2[[#This Row],[Activos]]+Tabla2[[#This Row],[Liquidez]])+Tabla2[[#This Row],[Comunicación]])</f>
        <v>2.1840023110174687</v>
      </c>
      <c r="T873">
        <f ca="1">Tabla2[[#This Row],[Deuda actual]]*EXP(Tabla2[[#This Row],[Ki]]*Tabla2[[#This Row],[diferencia de días]])*(1+Tabla2[[#This Row],[Hg]])</f>
        <v>2375.7248616450138</v>
      </c>
    </row>
    <row r="874" spans="1:20" ht="14.5" x14ac:dyDescent="0.35">
      <c r="A874" t="e">
        <f t="shared" si="143"/>
        <v>#VALUE!</v>
      </c>
      <c r="B874" s="21">
        <f t="shared" ca="1" si="144"/>
        <v>46089</v>
      </c>
      <c r="C874" s="21">
        <f t="shared" ca="1" si="145"/>
        <v>46157</v>
      </c>
      <c r="D874">
        <f t="shared" ca="1" si="146"/>
        <v>15</v>
      </c>
      <c r="E874">
        <f t="shared" ca="1" si="147"/>
        <v>0.82709280051982836</v>
      </c>
      <c r="F874" s="47">
        <f t="shared" ca="1" si="148"/>
        <v>44.89</v>
      </c>
      <c r="G874" s="32" t="str">
        <f t="shared" ca="1" si="149"/>
        <v>hipotecario</v>
      </c>
      <c r="H87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74" t="str">
        <f t="shared" ca="1" si="150"/>
        <v>Sí</v>
      </c>
      <c r="J87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74" s="32">
        <f ca="1">IF(Tabla2[[#This Row],[¿cliente deuda abierta?]]="Sí", Tabla2[[#This Row],[Deuda actual]]*Tabla2[[#This Row],[diferencia de días]], "0")</f>
        <v>673.35</v>
      </c>
      <c r="L87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7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7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74">
        <f t="shared" ca="1" si="151"/>
        <v>1610.85</v>
      </c>
      <c r="P874">
        <f t="shared" ca="1" si="152"/>
        <v>242939.07</v>
      </c>
      <c r="Q874">
        <f t="shared" ca="1" si="153"/>
        <v>4</v>
      </c>
      <c r="R874">
        <f ca="1">((Tabla2[[#This Row],[Fantasma Comunicación]]+1)/(Tabla2[[#This Row],[Fantasma Comunicación]]+RANDBETWEEN(0,5)+2))-0.5</f>
        <v>0</v>
      </c>
      <c r="S874" s="51">
        <f ca="1">1+MAX(0,Tabla2[[#This Row],[Deuda actual]]/Tabla2[[#This Row],[Liquidez]]+Tabla2[[#This Row],[Liquidez]]/(Tabla2[[#This Row],[Activos]]+Tabla2[[#This Row],[Liquidez]])+Tabla2[[#This Row],[Comunicación]])</f>
        <v>1.0344542737201701</v>
      </c>
      <c r="T874">
        <f ca="1">Tabla2[[#This Row],[Deuda actual]]*EXP(Tabla2[[#This Row],[Ki]]*Tabla2[[#This Row],[diferencia de días]])*(1+Tabla2[[#This Row],[Hg]])</f>
        <v>47.418157120390326</v>
      </c>
    </row>
    <row r="875" spans="1:20" ht="14.5" x14ac:dyDescent="0.35">
      <c r="A875" t="e">
        <f t="shared" si="143"/>
        <v>#VALUE!</v>
      </c>
      <c r="B875" s="21">
        <f t="shared" ca="1" si="144"/>
        <v>46104</v>
      </c>
      <c r="C875" s="21">
        <f t="shared" ca="1" si="145"/>
        <v>46157</v>
      </c>
      <c r="D875">
        <f t="shared" ca="1" si="146"/>
        <v>2</v>
      </c>
      <c r="E875">
        <f t="shared" ca="1" si="147"/>
        <v>0.48178475135884835</v>
      </c>
      <c r="F875" s="47">
        <f t="shared" ca="1" si="148"/>
        <v>690.17</v>
      </c>
      <c r="G875" s="32" t="str">
        <f t="shared" ca="1" si="149"/>
        <v>personal</v>
      </c>
      <c r="H87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75" t="str">
        <f t="shared" ca="1" si="150"/>
        <v>No</v>
      </c>
      <c r="J87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11998.372147990365</v>
      </c>
      <c r="K875" s="32" t="str">
        <f ca="1">IF(Tabla2[[#This Row],[¿cliente deuda abierta?]]="Sí", Tabla2[[#This Row],[Deuda actual]]*Tabla2[[#This Row],[diferencia de días]], "0")</f>
        <v>0</v>
      </c>
      <c r="L87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7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87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875">
        <f t="shared" ca="1" si="151"/>
        <v>1730.06</v>
      </c>
      <c r="P875">
        <f t="shared" ca="1" si="152"/>
        <v>250837.42</v>
      </c>
      <c r="Q875">
        <f t="shared" ca="1" si="153"/>
        <v>4</v>
      </c>
      <c r="R875">
        <f ca="1">((Tabla2[[#This Row],[Fantasma Comunicación]]+1)/(Tabla2[[#This Row],[Fantasma Comunicación]]+RANDBETWEEN(0,5)+2))-0.5</f>
        <v>0.33333333333333337</v>
      </c>
      <c r="S875" s="51">
        <f ca="1">1+MAX(0,Tabla2[[#This Row],[Deuda actual]]/Tabla2[[#This Row],[Liquidez]]+Tabla2[[#This Row],[Liquidez]]/(Tabla2[[#This Row],[Activos]]+Tabla2[[#This Row],[Liquidez]])+Tabla2[[#This Row],[Comunicación]])</f>
        <v>1.7391115863549844</v>
      </c>
      <c r="T875">
        <f ca="1">Tabla2[[#This Row],[Deuda actual]]*EXP(Tabla2[[#This Row],[Ki]]*Tabla2[[#This Row],[diferencia de días]])*(1+Tabla2[[#This Row],[Hg]])</f>
        <v>621.40151089886638</v>
      </c>
    </row>
    <row r="876" spans="1:20" ht="14.5" x14ac:dyDescent="0.35">
      <c r="A876" t="e">
        <f t="shared" si="143"/>
        <v>#VALUE!</v>
      </c>
      <c r="B876" s="21">
        <f t="shared" ca="1" si="144"/>
        <v>46087</v>
      </c>
      <c r="C876" s="21">
        <f t="shared" ca="1" si="145"/>
        <v>46157</v>
      </c>
      <c r="D876">
        <f t="shared" ca="1" si="146"/>
        <v>14</v>
      </c>
      <c r="E876">
        <f t="shared" ca="1" si="147"/>
        <v>0.39494298595729849</v>
      </c>
      <c r="F876" s="47">
        <f t="shared" ca="1" si="148"/>
        <v>730.34</v>
      </c>
      <c r="G876" s="32" t="str">
        <f t="shared" ca="1" si="149"/>
        <v>personal</v>
      </c>
      <c r="H87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76" t="str">
        <f t="shared" ca="1" si="150"/>
        <v>Sí</v>
      </c>
      <c r="J87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76" s="32">
        <f ca="1">IF(Tabla2[[#This Row],[¿cliente deuda abierta?]]="Sí", Tabla2[[#This Row],[Deuda actual]]*Tabla2[[#This Row],[diferencia de días]], "0")</f>
        <v>10224.76</v>
      </c>
      <c r="L87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7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7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76">
        <f t="shared" ca="1" si="151"/>
        <v>1354.36</v>
      </c>
      <c r="P876">
        <f t="shared" ca="1" si="152"/>
        <v>87284.23</v>
      </c>
      <c r="Q876">
        <f t="shared" ca="1" si="153"/>
        <v>2</v>
      </c>
      <c r="R876">
        <f ca="1">((Tabla2[[#This Row],[Fantasma Comunicación]]+1)/(Tabla2[[#This Row],[Fantasma Comunicación]]+RANDBETWEEN(0,5)+2))-0.5</f>
        <v>9.9999999999999978E-2</v>
      </c>
      <c r="S876" s="51">
        <f ca="1">1+MAX(0,Tabla2[[#This Row],[Deuda actual]]/Tabla2[[#This Row],[Liquidez]]+Tabla2[[#This Row],[Liquidez]]/(Tabla2[[#This Row],[Activos]]+Tabla2[[#This Row],[Liquidez]])+Tabla2[[#This Row],[Comunicación]])</f>
        <v>1.654530586730663</v>
      </c>
      <c r="T876">
        <f ca="1">Tabla2[[#This Row],[Deuda actual]]*EXP(Tabla2[[#This Row],[Ki]]*Tabla2[[#This Row],[diferencia de días]])*(1+Tabla2[[#This Row],[Hg]])</f>
        <v>769.00720848707931</v>
      </c>
    </row>
    <row r="877" spans="1:20" ht="14.5" x14ac:dyDescent="0.35">
      <c r="A877" t="e">
        <f t="shared" si="143"/>
        <v>#VALUE!</v>
      </c>
      <c r="B877" s="21">
        <f t="shared" ca="1" si="144"/>
        <v>46115</v>
      </c>
      <c r="C877" s="21">
        <f t="shared" ca="1" si="145"/>
        <v>46157</v>
      </c>
      <c r="D877">
        <f t="shared" ca="1" si="146"/>
        <v>7</v>
      </c>
      <c r="E877">
        <f t="shared" ca="1" si="147"/>
        <v>0.86506999374717142</v>
      </c>
      <c r="F877" s="47">
        <f t="shared" ca="1" si="148"/>
        <v>731.02</v>
      </c>
      <c r="G877" s="32" t="str">
        <f t="shared" ca="1" si="149"/>
        <v>hipotecario</v>
      </c>
      <c r="H87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77" t="str">
        <f t="shared" ca="1" si="150"/>
        <v>No</v>
      </c>
      <c r="J87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164999.20971483231</v>
      </c>
      <c r="K877" s="32" t="str">
        <f ca="1">IF(Tabla2[[#This Row],[¿cliente deuda abierta?]]="Sí", Tabla2[[#This Row],[Deuda actual]]*Tabla2[[#This Row],[diferencia de días]], "0")</f>
        <v>0</v>
      </c>
      <c r="L87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7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87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877">
        <f t="shared" ca="1" si="151"/>
        <v>2454.42</v>
      </c>
      <c r="P877">
        <f t="shared" ca="1" si="152"/>
        <v>201241.93</v>
      </c>
      <c r="Q877">
        <f t="shared" ca="1" si="153"/>
        <v>3</v>
      </c>
      <c r="R877">
        <f ca="1">((Tabla2[[#This Row],[Fantasma Comunicación]]+1)/(Tabla2[[#This Row],[Fantasma Comunicación]]+RANDBETWEEN(0,5)+2))-0.5</f>
        <v>0.30000000000000004</v>
      </c>
      <c r="S877" s="51">
        <f ca="1">1+MAX(0,Tabla2[[#This Row],[Deuda actual]]/Tabla2[[#This Row],[Liquidez]]+Tabla2[[#This Row],[Liquidez]]/(Tabla2[[#This Row],[Activos]]+Tabla2[[#This Row],[Liquidez]])+Tabla2[[#This Row],[Comunicación]])</f>
        <v>1.6098875916962143</v>
      </c>
      <c r="T877">
        <f ca="1">Tabla2[[#This Row],[Deuda actual]]*EXP(Tabla2[[#This Row],[Ki]]*Tabla2[[#This Row],[diferencia de días]])*(1+Tabla2[[#This Row],[Hg]])</f>
        <v>585.6353157872295</v>
      </c>
    </row>
    <row r="878" spans="1:20" ht="14.5" x14ac:dyDescent="0.35">
      <c r="A878" t="e">
        <f t="shared" si="143"/>
        <v>#VALUE!</v>
      </c>
      <c r="B878" s="21">
        <f t="shared" ca="1" si="144"/>
        <v>46093</v>
      </c>
      <c r="C878" s="21">
        <f t="shared" ca="1" si="145"/>
        <v>46157</v>
      </c>
      <c r="D878">
        <f t="shared" ca="1" si="146"/>
        <v>14</v>
      </c>
      <c r="E878">
        <f t="shared" ca="1" si="147"/>
        <v>0.90586838102871758</v>
      </c>
      <c r="F878" s="47">
        <f t="shared" ca="1" si="148"/>
        <v>1239.9100000000001</v>
      </c>
      <c r="G878" s="32" t="str">
        <f t="shared" ca="1" si="149"/>
        <v>hipotecario</v>
      </c>
      <c r="H87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78" t="str">
        <f t="shared" ca="1" si="150"/>
        <v>Sí</v>
      </c>
      <c r="J87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78" s="32">
        <f ca="1">IF(Tabla2[[#This Row],[¿cliente deuda abierta?]]="Sí", Tabla2[[#This Row],[Deuda actual]]*Tabla2[[#This Row],[diferencia de días]], "0")</f>
        <v>17358.740000000002</v>
      </c>
      <c r="L87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7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7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78">
        <f t="shared" ca="1" si="151"/>
        <v>1630.83</v>
      </c>
      <c r="P878">
        <f t="shared" ca="1" si="152"/>
        <v>453077.73</v>
      </c>
      <c r="Q878">
        <f t="shared" ca="1" si="153"/>
        <v>1</v>
      </c>
      <c r="R878">
        <f ca="1">((Tabla2[[#This Row],[Fantasma Comunicación]]+1)/(Tabla2[[#This Row],[Fantasma Comunicación]]+RANDBETWEEN(0,5)+2))-0.5</f>
        <v>-0.25</v>
      </c>
      <c r="S878" s="51">
        <f ca="1">1+MAX(0,Tabla2[[#This Row],[Deuda actual]]/Tabla2[[#This Row],[Liquidez]]+Tabla2[[#This Row],[Liquidez]]/(Tabla2[[#This Row],[Activos]]+Tabla2[[#This Row],[Liquidez]])+Tabla2[[#This Row],[Comunicación]])</f>
        <v>1.5138803771420013</v>
      </c>
      <c r="T878">
        <f ca="1">Tabla2[[#This Row],[Deuda actual]]*EXP(Tabla2[[#This Row],[Ki]]*Tabla2[[#This Row],[diferencia de días]])*(1+Tabla2[[#This Row],[Hg]])</f>
        <v>1305.5559436361345</v>
      </c>
    </row>
    <row r="879" spans="1:20" ht="14.5" x14ac:dyDescent="0.35">
      <c r="A879" t="e">
        <f t="shared" si="143"/>
        <v>#VALUE!</v>
      </c>
      <c r="B879" s="21">
        <f t="shared" ca="1" si="144"/>
        <v>46117</v>
      </c>
      <c r="C879" s="21">
        <f t="shared" ca="1" si="145"/>
        <v>46157</v>
      </c>
      <c r="D879">
        <f t="shared" ca="1" si="146"/>
        <v>6</v>
      </c>
      <c r="E879">
        <f t="shared" ca="1" si="147"/>
        <v>0.91384381154916416</v>
      </c>
      <c r="F879" s="47">
        <f t="shared" ca="1" si="148"/>
        <v>1682.43</v>
      </c>
      <c r="G879" s="32" t="str">
        <f t="shared" ca="1" si="149"/>
        <v>hipotecario</v>
      </c>
      <c r="H87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79" t="str">
        <f t="shared" ca="1" si="150"/>
        <v>Sí</v>
      </c>
      <c r="J87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79" s="32">
        <f ca="1">IF(Tabla2[[#This Row],[¿cliente deuda abierta?]]="Sí", Tabla2[[#This Row],[Deuda actual]]*Tabla2[[#This Row],[diferencia de días]], "0")</f>
        <v>10094.58</v>
      </c>
      <c r="L87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7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7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79">
        <f t="shared" ca="1" si="151"/>
        <v>2079.17</v>
      </c>
      <c r="P879">
        <f t="shared" ca="1" si="152"/>
        <v>546785.81999999995</v>
      </c>
      <c r="Q879">
        <f t="shared" ca="1" si="153"/>
        <v>3</v>
      </c>
      <c r="R879">
        <f ca="1">((Tabla2[[#This Row],[Fantasma Comunicación]]+1)/(Tabla2[[#This Row],[Fantasma Comunicación]]+RANDBETWEEN(0,5)+2))-0.5</f>
        <v>7.1428571428571397E-2</v>
      </c>
      <c r="S879" s="51">
        <f ca="1">1+MAX(0,Tabla2[[#This Row],[Deuda actual]]/Tabla2[[#This Row],[Liquidez]]+Tabla2[[#This Row],[Liquidez]]/(Tabla2[[#This Row],[Activos]]+Tabla2[[#This Row],[Liquidez]])+Tabla2[[#This Row],[Comunicación]])</f>
        <v>1.8844001701548465</v>
      </c>
      <c r="T879">
        <f ca="1">Tabla2[[#This Row],[Deuda actual]]*EXP(Tabla2[[#This Row],[Ki]]*Tabla2[[#This Row],[diferencia de días]])*(1+Tabla2[[#This Row],[Hg]])</f>
        <v>1768.6726342259997</v>
      </c>
    </row>
    <row r="880" spans="1:20" ht="14.5" x14ac:dyDescent="0.35">
      <c r="A880" t="e">
        <f t="shared" si="143"/>
        <v>#VALUE!</v>
      </c>
      <c r="B880" s="21">
        <f t="shared" ca="1" si="144"/>
        <v>46109</v>
      </c>
      <c r="C880" s="21">
        <f t="shared" ca="1" si="145"/>
        <v>46157</v>
      </c>
      <c r="D880">
        <f t="shared" ca="1" si="146"/>
        <v>18</v>
      </c>
      <c r="E880">
        <f t="shared" ca="1" si="147"/>
        <v>0.55345421391976812</v>
      </c>
      <c r="F880" s="47">
        <f t="shared" ca="1" si="148"/>
        <v>2198.52</v>
      </c>
      <c r="G880" s="32" t="str">
        <f t="shared" ca="1" si="149"/>
        <v>hipotecario</v>
      </c>
      <c r="H88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80" t="str">
        <f t="shared" ca="1" si="150"/>
        <v>Sí</v>
      </c>
      <c r="J88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80" s="32">
        <f ca="1">IF(Tabla2[[#This Row],[¿cliente deuda abierta?]]="Sí", Tabla2[[#This Row],[Deuda actual]]*Tabla2[[#This Row],[diferencia de días]], "0")</f>
        <v>39573.360000000001</v>
      </c>
      <c r="L88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88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80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880">
        <f t="shared" ca="1" si="151"/>
        <v>2030.43</v>
      </c>
      <c r="P880">
        <f t="shared" ca="1" si="152"/>
        <v>362915.68</v>
      </c>
      <c r="Q880">
        <f t="shared" ca="1" si="153"/>
        <v>2</v>
      </c>
      <c r="R880">
        <f ca="1">((Tabla2[[#This Row],[Fantasma Comunicación]]+1)/(Tabla2[[#This Row],[Fantasma Comunicación]]+RANDBETWEEN(0,5)+2))-0.5</f>
        <v>0.25</v>
      </c>
      <c r="S880" s="51">
        <f ca="1">1+MAX(0,Tabla2[[#This Row],[Deuda actual]]/Tabla2[[#This Row],[Liquidez]]+Tabla2[[#This Row],[Liquidez]]/(Tabla2[[#This Row],[Activos]]+Tabla2[[#This Row],[Liquidez]])+Tabla2[[#This Row],[Comunicación]])</f>
        <v>2.3383490631926307</v>
      </c>
      <c r="T880">
        <f ca="1">Tabla2[[#This Row],[Deuda actual]]*EXP(Tabla2[[#This Row],[Ki]]*Tabla2[[#This Row],[diferencia de días]])*(1+Tabla2[[#This Row],[Hg]])</f>
        <v>2435.8471133155117</v>
      </c>
    </row>
    <row r="881" spans="1:20" ht="14.5" x14ac:dyDescent="0.35">
      <c r="A881" t="e">
        <f t="shared" si="143"/>
        <v>#VALUE!</v>
      </c>
      <c r="B881" s="21">
        <f t="shared" ca="1" si="144"/>
        <v>46141</v>
      </c>
      <c r="C881" s="21">
        <f t="shared" ca="1" si="145"/>
        <v>46157</v>
      </c>
      <c r="D881">
        <f t="shared" ca="1" si="146"/>
        <v>1</v>
      </c>
      <c r="E881">
        <f t="shared" ca="1" si="147"/>
        <v>0.79315754472004518</v>
      </c>
      <c r="F881" s="47">
        <f t="shared" ca="1" si="148"/>
        <v>1109.6199999999999</v>
      </c>
      <c r="G881" s="32" t="str">
        <f t="shared" ca="1" si="149"/>
        <v>personal</v>
      </c>
      <c r="H88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81" t="str">
        <f t="shared" ca="1" si="150"/>
        <v>Sí</v>
      </c>
      <c r="J88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81" s="32">
        <f ca="1">IF(Tabla2[[#This Row],[¿cliente deuda abierta?]]="Sí", Tabla2[[#This Row],[Deuda actual]]*Tabla2[[#This Row],[diferencia de días]], "0")</f>
        <v>1109.6199999999999</v>
      </c>
      <c r="L88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8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8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81">
        <f t="shared" ca="1" si="151"/>
        <v>1464.09</v>
      </c>
      <c r="P881">
        <f t="shared" ca="1" si="152"/>
        <v>99670.8</v>
      </c>
      <c r="Q881">
        <f t="shared" ca="1" si="153"/>
        <v>0</v>
      </c>
      <c r="R881">
        <f ca="1">((Tabla2[[#This Row],[Fantasma Comunicación]]+1)/(Tabla2[[#This Row],[Fantasma Comunicación]]+RANDBETWEEN(0,5)+2))-0.5</f>
        <v>-0.16666666666666669</v>
      </c>
      <c r="S881" s="51">
        <f ca="1">1+MAX(0,Tabla2[[#This Row],[Deuda actual]]/Tabla2[[#This Row],[Liquidez]]+Tabla2[[#This Row],[Liquidez]]/(Tabla2[[#This Row],[Activos]]+Tabla2[[#This Row],[Liquidez]])+Tabla2[[#This Row],[Comunicación]])</f>
        <v>1.6057005066112313</v>
      </c>
      <c r="T881">
        <f ca="1">Tabla2[[#This Row],[Deuda actual]]*EXP(Tabla2[[#This Row],[Ki]]*Tabla2[[#This Row],[diferencia de días]])*(1+Tabla2[[#This Row],[Hg]])</f>
        <v>1165.3340435035734</v>
      </c>
    </row>
    <row r="882" spans="1:20" ht="14.5" x14ac:dyDescent="0.35">
      <c r="A882" t="e">
        <f t="shared" si="143"/>
        <v>#VALUE!</v>
      </c>
      <c r="B882" s="21">
        <f t="shared" ca="1" si="144"/>
        <v>46130</v>
      </c>
      <c r="C882" s="21">
        <f t="shared" ca="1" si="145"/>
        <v>46157</v>
      </c>
      <c r="D882">
        <f t="shared" ca="1" si="146"/>
        <v>20</v>
      </c>
      <c r="E882">
        <f t="shared" ca="1" si="147"/>
        <v>6.0627765453937443E-2</v>
      </c>
      <c r="F882" s="47">
        <f t="shared" ca="1" si="148"/>
        <v>67.59</v>
      </c>
      <c r="G882" s="32" t="str">
        <f t="shared" ca="1" si="149"/>
        <v>hipotecario</v>
      </c>
      <c r="H88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82" t="str">
        <f t="shared" ca="1" si="150"/>
        <v>Sí</v>
      </c>
      <c r="J88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82" s="32">
        <f ca="1">IF(Tabla2[[#This Row],[¿cliente deuda abierta?]]="Sí", Tabla2[[#This Row],[Deuda actual]]*Tabla2[[#This Row],[diferencia de días]], "0")</f>
        <v>1351.8000000000002</v>
      </c>
      <c r="L88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8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8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82">
        <f t="shared" ca="1" si="151"/>
        <v>1715.43</v>
      </c>
      <c r="P882">
        <f t="shared" ca="1" si="152"/>
        <v>309038.67</v>
      </c>
      <c r="Q882">
        <f t="shared" ca="1" si="153"/>
        <v>0</v>
      </c>
      <c r="R882">
        <f ca="1">((Tabla2[[#This Row],[Fantasma Comunicación]]+1)/(Tabla2[[#This Row],[Fantasma Comunicación]]+RANDBETWEEN(0,5)+2))-0.5</f>
        <v>-0.3</v>
      </c>
      <c r="S882" s="51">
        <f ca="1">1+MAX(0,Tabla2[[#This Row],[Deuda actual]]/Tabla2[[#This Row],[Liquidez]]+Tabla2[[#This Row],[Liquidez]]/(Tabla2[[#This Row],[Activos]]+Tabla2[[#This Row],[Liquidez]])+Tabla2[[#This Row],[Comunicación]])</f>
        <v>1</v>
      </c>
      <c r="T882">
        <f ca="1">Tabla2[[#This Row],[Deuda actual]]*EXP(Tabla2[[#This Row],[Ki]]*Tabla2[[#This Row],[diferencia de días]])*(1+Tabla2[[#This Row],[Hg]])</f>
        <v>71.539533092195541</v>
      </c>
    </row>
    <row r="883" spans="1:20" ht="14.5" x14ac:dyDescent="0.35">
      <c r="A883">
        <f>1</f>
        <v>1</v>
      </c>
      <c r="B883" s="21">
        <f t="shared" ca="1" si="144"/>
        <v>46142</v>
      </c>
      <c r="C883" s="21">
        <f t="shared" ca="1" si="145"/>
        <v>46157</v>
      </c>
      <c r="D883">
        <f t="shared" ca="1" si="146"/>
        <v>8</v>
      </c>
      <c r="E883">
        <f t="shared" ca="1" si="147"/>
        <v>0.76986115269669053</v>
      </c>
      <c r="F883" s="45">
        <f t="shared" ca="1" si="148"/>
        <v>3983.48</v>
      </c>
      <c r="G883" s="32" t="str">
        <f t="shared" ca="1" si="149"/>
        <v>hipotecario</v>
      </c>
      <c r="H88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83" t="str">
        <f t="shared" ca="1" si="150"/>
        <v>No</v>
      </c>
      <c r="J88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164999.87813749592</v>
      </c>
      <c r="K883" s="32" t="str">
        <f ca="1">IF(Tabla2[[#This Row],[¿cliente deuda abierta?]]="Sí", Tabla2[[#This Row],[Deuda actual]]*Tabla2[[#This Row],[diferencia de días]], "0")</f>
        <v>0</v>
      </c>
      <c r="L88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8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88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883">
        <f t="shared" ca="1" si="151"/>
        <v>1688.22</v>
      </c>
      <c r="P883">
        <f t="shared" ca="1" si="152"/>
        <v>108631.32</v>
      </c>
      <c r="Q883">
        <f t="shared" ca="1" si="153"/>
        <v>4</v>
      </c>
      <c r="R883">
        <f ca="1">((Tabla2[[#This Row],[Fantasma Comunicación]]+1)/(Tabla2[[#This Row],[Fantasma Comunicación]]+RANDBETWEEN(0,5)+2))-0.5</f>
        <v>5.555555555555558E-2</v>
      </c>
      <c r="S883" s="51">
        <f ca="1">1+MAX(0,Tabla2[[#This Row],[Deuda actual]]/Tabla2[[#This Row],[Liquidez]]+Tabla2[[#This Row],[Liquidez]]/(Tabla2[[#This Row],[Activos]]+Tabla2[[#This Row],[Liquidez]])+Tabla2[[#This Row],[Comunicación]])</f>
        <v>3.4304325454471289</v>
      </c>
      <c r="T883">
        <f ca="1">Tabla2[[#This Row],[Deuda actual]]*EXP(Tabla2[[#This Row],[Ki]]*Tabla2[[#This Row],[diferencia de días]])*(1+Tabla2[[#This Row],[Hg]])</f>
        <v>3191.8869356599016</v>
      </c>
    </row>
    <row r="884" spans="1:20" ht="14.5" x14ac:dyDescent="0.35">
      <c r="A884">
        <f t="shared" ref="A884:A915" si="154">A883+1</f>
        <v>2</v>
      </c>
      <c r="B884" s="21">
        <f t="shared" ca="1" si="144"/>
        <v>46143</v>
      </c>
      <c r="C884" s="21">
        <f t="shared" ca="1" si="145"/>
        <v>46157</v>
      </c>
      <c r="D884">
        <f t="shared" ca="1" si="146"/>
        <v>21</v>
      </c>
      <c r="E884">
        <f t="shared" ca="1" si="147"/>
        <v>0.95158635783464485</v>
      </c>
      <c r="F884" s="47">
        <f t="shared" ca="1" si="148"/>
        <v>10000</v>
      </c>
      <c r="G884" s="32" t="str">
        <f t="shared" ca="1" si="149"/>
        <v>personal</v>
      </c>
      <c r="H88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84" t="str">
        <f t="shared" ca="1" si="150"/>
        <v>No</v>
      </c>
      <c r="J88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11999.839448028415</v>
      </c>
      <c r="K884" s="32" t="str">
        <f ca="1">IF(Tabla2[[#This Row],[¿cliente deuda abierta?]]="Sí", Tabla2[[#This Row],[Deuda actual]]*Tabla2[[#This Row],[diferencia de días]], "0")</f>
        <v>0</v>
      </c>
      <c r="L88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8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88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884">
        <f t="shared" ca="1" si="151"/>
        <v>1781.75</v>
      </c>
      <c r="P884">
        <f t="shared" ca="1" si="152"/>
        <v>114564.22</v>
      </c>
      <c r="Q884">
        <f t="shared" ca="1" si="153"/>
        <v>3</v>
      </c>
      <c r="R884">
        <f ca="1">((Tabla2[[#This Row],[Fantasma Comunicación]]+1)/(Tabla2[[#This Row],[Fantasma Comunicación]]+RANDBETWEEN(0,5)+2))-0.5</f>
        <v>-9.9999999999999978E-2</v>
      </c>
      <c r="S884" s="51">
        <f ca="1">1+MAX(0,Tabla2[[#This Row],[Deuda actual]]/Tabla2[[#This Row],[Liquidez]]+Tabla2[[#This Row],[Liquidez]]/(Tabla2[[#This Row],[Activos]]+Tabla2[[#This Row],[Liquidez]])+Tabla2[[#This Row],[Comunicación]])</f>
        <v>6.5277738995212529</v>
      </c>
      <c r="T884">
        <f ca="1">Tabla2[[#This Row],[Deuda actual]]*EXP(Tabla2[[#This Row],[Ki]]*Tabla2[[#This Row],[diferencia de días]])*(1+Tabla2[[#This Row],[Hg]])</f>
        <v>9075.9184109261605</v>
      </c>
    </row>
    <row r="885" spans="1:20" ht="14.5" x14ac:dyDescent="0.35">
      <c r="A885">
        <f t="shared" si="154"/>
        <v>3</v>
      </c>
      <c r="B885" s="21">
        <f t="shared" ca="1" si="144"/>
        <v>46135</v>
      </c>
      <c r="C885" s="21">
        <f t="shared" ca="1" si="145"/>
        <v>46157</v>
      </c>
      <c r="D885">
        <f t="shared" ca="1" si="146"/>
        <v>12</v>
      </c>
      <c r="E885">
        <f t="shared" ca="1" si="147"/>
        <v>0.59158029456083983</v>
      </c>
      <c r="F885" s="47">
        <f t="shared" ca="1" si="148"/>
        <v>272.45</v>
      </c>
      <c r="G885" s="32" t="str">
        <f t="shared" ca="1" si="149"/>
        <v>personal</v>
      </c>
      <c r="H88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85" t="str">
        <f t="shared" ca="1" si="150"/>
        <v>Sí</v>
      </c>
      <c r="J88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85" s="32">
        <f ca="1">IF(Tabla2[[#This Row],[¿cliente deuda abierta?]]="Sí", Tabla2[[#This Row],[Deuda actual]]*Tabla2[[#This Row],[diferencia de días]], "0")</f>
        <v>3269.3999999999996</v>
      </c>
      <c r="L88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8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8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85">
        <f t="shared" ca="1" si="151"/>
        <v>1809.13</v>
      </c>
      <c r="P885">
        <f t="shared" ca="1" si="152"/>
        <v>140354.35</v>
      </c>
      <c r="Q885">
        <f t="shared" ca="1" si="153"/>
        <v>0</v>
      </c>
      <c r="R885">
        <f ca="1">((Tabla2[[#This Row],[Fantasma Comunicación]]+1)/(Tabla2[[#This Row],[Fantasma Comunicación]]+RANDBETWEEN(0,5)+2))-0.5</f>
        <v>-0.25</v>
      </c>
      <c r="S885" s="51">
        <f ca="1">1+MAX(0,Tabla2[[#This Row],[Deuda actual]]/Tabla2[[#This Row],[Liquidez]]+Tabla2[[#This Row],[Liquidez]]/(Tabla2[[#This Row],[Activos]]+Tabla2[[#This Row],[Liquidez]])+Tabla2[[#This Row],[Comunicación]])</f>
        <v>1</v>
      </c>
      <c r="T885">
        <f ca="1">Tabla2[[#This Row],[Deuda actual]]*EXP(Tabla2[[#This Row],[Ki]]*Tabla2[[#This Row],[diferencia de días]])*(1+Tabla2[[#This Row],[Hg]])</f>
        <v>286.75989854830669</v>
      </c>
    </row>
    <row r="886" spans="1:20" ht="14.5" x14ac:dyDescent="0.35">
      <c r="A886">
        <f t="shared" si="154"/>
        <v>4</v>
      </c>
      <c r="B886" s="21">
        <f t="shared" ca="1" si="144"/>
        <v>46121</v>
      </c>
      <c r="C886" s="21">
        <f t="shared" ca="1" si="145"/>
        <v>46157</v>
      </c>
      <c r="D886">
        <f t="shared" ca="1" si="146"/>
        <v>31</v>
      </c>
      <c r="E886">
        <f t="shared" ca="1" si="147"/>
        <v>0.9037798411550052</v>
      </c>
      <c r="F886" s="47">
        <f t="shared" ca="1" si="148"/>
        <v>1065.03</v>
      </c>
      <c r="G886" s="32" t="str">
        <f t="shared" ca="1" si="149"/>
        <v>personal</v>
      </c>
      <c r="H88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886" t="str">
        <f t="shared" ca="1" si="150"/>
        <v>Sí</v>
      </c>
      <c r="J88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86" s="32">
        <f ca="1">IF(Tabla2[[#This Row],[¿cliente deuda abierta?]]="Sí", Tabla2[[#This Row],[Deuda actual]]*Tabla2[[#This Row],[diferencia de días]], "0")</f>
        <v>33015.93</v>
      </c>
      <c r="L88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88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86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886">
        <f t="shared" ca="1" si="151"/>
        <v>1647.82</v>
      </c>
      <c r="P886">
        <f t="shared" ca="1" si="152"/>
        <v>116631.94</v>
      </c>
      <c r="Q886">
        <f t="shared" ca="1" si="153"/>
        <v>0</v>
      </c>
      <c r="R886">
        <f ca="1">((Tabla2[[#This Row],[Fantasma Comunicación]]+1)/(Tabla2[[#This Row],[Fantasma Comunicación]]+RANDBETWEEN(0,5)+2))-0.5</f>
        <v>0</v>
      </c>
      <c r="S886" s="51">
        <f ca="1">1+MAX(0,Tabla2[[#This Row],[Deuda actual]]/Tabla2[[#This Row],[Liquidez]]+Tabla2[[#This Row],[Liquidez]]/(Tabla2[[#This Row],[Activos]]+Tabla2[[#This Row],[Liquidez]])+Tabla2[[#This Row],[Comunicación]])</f>
        <v>1.6602582085917965</v>
      </c>
      <c r="T886">
        <f ca="1">Tabla2[[#This Row],[Deuda actual]]*EXP(Tabla2[[#This Row],[Ki]]*Tabla2[[#This Row],[diferencia de días]])*(1+Tabla2[[#This Row],[Hg]])</f>
        <v>1208.4193068246898</v>
      </c>
    </row>
    <row r="887" spans="1:20" ht="14.5" x14ac:dyDescent="0.35">
      <c r="A887">
        <f t="shared" si="154"/>
        <v>5</v>
      </c>
      <c r="B887" s="21">
        <f t="shared" ca="1" si="144"/>
        <v>46102</v>
      </c>
      <c r="C887" s="21">
        <f t="shared" ca="1" si="145"/>
        <v>46157</v>
      </c>
      <c r="D887">
        <f t="shared" ca="1" si="146"/>
        <v>6</v>
      </c>
      <c r="E887">
        <f t="shared" ca="1" si="147"/>
        <v>0.46126983384145814</v>
      </c>
      <c r="F887" s="47">
        <f t="shared" ca="1" si="148"/>
        <v>139.19</v>
      </c>
      <c r="G887" s="32" t="str">
        <f t="shared" ca="1" si="149"/>
        <v>personal</v>
      </c>
      <c r="H88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87" t="str">
        <f t="shared" ca="1" si="150"/>
        <v>No</v>
      </c>
      <c r="J88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11999.758661673401</v>
      </c>
      <c r="K887" s="32" t="str">
        <f ca="1">IF(Tabla2[[#This Row],[¿cliente deuda abierta?]]="Sí", Tabla2[[#This Row],[Deuda actual]]*Tabla2[[#This Row],[diferencia de días]], "0")</f>
        <v>0</v>
      </c>
      <c r="L88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8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88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887">
        <f t="shared" ca="1" si="151"/>
        <v>1217.3</v>
      </c>
      <c r="P887">
        <f t="shared" ca="1" si="152"/>
        <v>271589.06</v>
      </c>
      <c r="Q887">
        <f t="shared" ca="1" si="153"/>
        <v>2</v>
      </c>
      <c r="R887">
        <f ca="1">((Tabla2[[#This Row],[Fantasma Comunicación]]+1)/(Tabla2[[#This Row],[Fantasma Comunicación]]+RANDBETWEEN(0,5)+2))-0.5</f>
        <v>0.25</v>
      </c>
      <c r="S887" s="51">
        <f ca="1">1+MAX(0,Tabla2[[#This Row],[Deuda actual]]/Tabla2[[#This Row],[Liquidez]]+Tabla2[[#This Row],[Liquidez]]/(Tabla2[[#This Row],[Activos]]+Tabla2[[#This Row],[Liquidez]])+Tabla2[[#This Row],[Comunicación]])</f>
        <v>1.3688053579709483</v>
      </c>
      <c r="T887">
        <f ca="1">Tabla2[[#This Row],[Deuda actual]]*EXP(Tabla2[[#This Row],[Ki]]*Tabla2[[#This Row],[diferencia de días]])*(1+Tabla2[[#This Row],[Hg]])</f>
        <v>125.42141543120886</v>
      </c>
    </row>
    <row r="888" spans="1:20" ht="14.5" x14ac:dyDescent="0.35">
      <c r="A888">
        <f t="shared" si="154"/>
        <v>6</v>
      </c>
      <c r="B888" s="21">
        <f t="shared" ca="1" si="144"/>
        <v>46141</v>
      </c>
      <c r="C888" s="21">
        <f t="shared" ca="1" si="145"/>
        <v>46157</v>
      </c>
      <c r="D888">
        <f t="shared" ca="1" si="146"/>
        <v>19</v>
      </c>
      <c r="E888">
        <f t="shared" ca="1" si="147"/>
        <v>0.42174662418040898</v>
      </c>
      <c r="F888" s="47">
        <f t="shared" ca="1" si="148"/>
        <v>134.49</v>
      </c>
      <c r="G888" s="32" t="str">
        <f t="shared" ca="1" si="149"/>
        <v>hipotecario</v>
      </c>
      <c r="H88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88" t="str">
        <f t="shared" ca="1" si="150"/>
        <v>No</v>
      </c>
      <c r="J88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165000.12802353417</v>
      </c>
      <c r="K888" s="32" t="str">
        <f ca="1">IF(Tabla2[[#This Row],[¿cliente deuda abierta?]]="Sí", Tabla2[[#This Row],[Deuda actual]]*Tabla2[[#This Row],[diferencia de días]], "0")</f>
        <v>0</v>
      </c>
      <c r="L88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8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88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888">
        <f t="shared" ca="1" si="151"/>
        <v>1599.99</v>
      </c>
      <c r="P888">
        <f t="shared" ca="1" si="152"/>
        <v>98206.77</v>
      </c>
      <c r="Q888">
        <f t="shared" ca="1" si="153"/>
        <v>0</v>
      </c>
      <c r="R888">
        <f ca="1">((Tabla2[[#This Row],[Fantasma Comunicación]]+1)/(Tabla2[[#This Row],[Fantasma Comunicación]]+RANDBETWEEN(0,5)+2))-0.5</f>
        <v>0</v>
      </c>
      <c r="S888" s="51">
        <f ca="1">1+MAX(0,Tabla2[[#This Row],[Deuda actual]]/Tabla2[[#This Row],[Liquidez]]+Tabla2[[#This Row],[Liquidez]]/(Tabla2[[#This Row],[Activos]]+Tabla2[[#This Row],[Liquidez]])+Tabla2[[#This Row],[Comunicación]])</f>
        <v>1.1000876534236261</v>
      </c>
      <c r="T888">
        <f ca="1">Tabla2[[#This Row],[Deuda actual]]*EXP(Tabla2[[#This Row],[Ki]]*Tabla2[[#This Row],[diferencia de días]])*(1+Tabla2[[#This Row],[Hg]])</f>
        <v>108.41281434365668</v>
      </c>
    </row>
    <row r="889" spans="1:20" ht="14.5" x14ac:dyDescent="0.35">
      <c r="A889">
        <f t="shared" si="154"/>
        <v>7</v>
      </c>
      <c r="B889" s="21">
        <f t="shared" ca="1" si="144"/>
        <v>46120</v>
      </c>
      <c r="C889" s="21">
        <f t="shared" ca="1" si="145"/>
        <v>46157</v>
      </c>
      <c r="D889">
        <f t="shared" ca="1" si="146"/>
        <v>4</v>
      </c>
      <c r="E889">
        <f t="shared" ca="1" si="147"/>
        <v>0.78961331845603733</v>
      </c>
      <c r="F889" s="47">
        <f t="shared" ca="1" si="148"/>
        <v>123.6</v>
      </c>
      <c r="G889" s="32" t="str">
        <f t="shared" ca="1" si="149"/>
        <v>hipotecario</v>
      </c>
      <c r="H88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89" t="str">
        <f t="shared" ca="1" si="150"/>
        <v>Sí</v>
      </c>
      <c r="J88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89" s="32">
        <f ca="1">IF(Tabla2[[#This Row],[¿cliente deuda abierta?]]="Sí", Tabla2[[#This Row],[Deuda actual]]*Tabla2[[#This Row],[diferencia de días]], "0")</f>
        <v>494.4</v>
      </c>
      <c r="L88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8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8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89">
        <f t="shared" ca="1" si="151"/>
        <v>1509.1</v>
      </c>
      <c r="P889">
        <f t="shared" ca="1" si="152"/>
        <v>234484.59</v>
      </c>
      <c r="Q889">
        <f t="shared" ca="1" si="153"/>
        <v>4</v>
      </c>
      <c r="R889">
        <f ca="1">((Tabla2[[#This Row],[Fantasma Comunicación]]+1)/(Tabla2[[#This Row],[Fantasma Comunicación]]+RANDBETWEEN(0,5)+2))-0.5</f>
        <v>0</v>
      </c>
      <c r="S889" s="51">
        <f ca="1">1+MAX(0,Tabla2[[#This Row],[Deuda actual]]/Tabla2[[#This Row],[Liquidez]]+Tabla2[[#This Row],[Liquidez]]/(Tabla2[[#This Row],[Activos]]+Tabla2[[#This Row],[Liquidez]])+Tabla2[[#This Row],[Comunicación]])</f>
        <v>1.0882977835668932</v>
      </c>
      <c r="T889">
        <f ca="1">Tabla2[[#This Row],[Deuda actual]]*EXP(Tabla2[[#This Row],[Ki]]*Tabla2[[#This Row],[diferencia de días]])*(1+Tabla2[[#This Row],[Hg]])</f>
        <v>129.88386554067677</v>
      </c>
    </row>
    <row r="890" spans="1:20" ht="14.5" x14ac:dyDescent="0.35">
      <c r="A890">
        <f t="shared" si="154"/>
        <v>8</v>
      </c>
      <c r="B890" s="21">
        <f t="shared" ca="1" si="144"/>
        <v>46142</v>
      </c>
      <c r="C890" s="21">
        <f t="shared" ca="1" si="145"/>
        <v>46157</v>
      </c>
      <c r="D890">
        <f t="shared" ca="1" si="146"/>
        <v>3</v>
      </c>
      <c r="E890">
        <f t="shared" ca="1" si="147"/>
        <v>0.769140975449918</v>
      </c>
      <c r="F890" s="47">
        <f t="shared" ca="1" si="148"/>
        <v>6828.58</v>
      </c>
      <c r="G890" s="32" t="str">
        <f t="shared" ca="1" si="149"/>
        <v>hipotecario</v>
      </c>
      <c r="H89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90" t="str">
        <f t="shared" ca="1" si="150"/>
        <v>No</v>
      </c>
      <c r="J89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165000.38501840265</v>
      </c>
      <c r="K890" s="32" t="str">
        <f ca="1">IF(Tabla2[[#This Row],[¿cliente deuda abierta?]]="Sí", Tabla2[[#This Row],[Deuda actual]]*Tabla2[[#This Row],[diferencia de días]], "0")</f>
        <v>0</v>
      </c>
      <c r="L89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9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89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890">
        <f t="shared" ca="1" si="151"/>
        <v>1930.78</v>
      </c>
      <c r="P890">
        <f t="shared" ca="1" si="152"/>
        <v>151099.35</v>
      </c>
      <c r="Q890">
        <f t="shared" ca="1" si="153"/>
        <v>4</v>
      </c>
      <c r="R890">
        <f ca="1">((Tabla2[[#This Row],[Fantasma Comunicación]]+1)/(Tabla2[[#This Row],[Fantasma Comunicación]]+RANDBETWEEN(0,5)+2))-0.5</f>
        <v>-4.545454545454547E-2</v>
      </c>
      <c r="S890" s="51">
        <f ca="1">1+MAX(0,Tabla2[[#This Row],[Deuda actual]]/Tabla2[[#This Row],[Liquidez]]+Tabla2[[#This Row],[Liquidez]]/(Tabla2[[#This Row],[Activos]]+Tabla2[[#This Row],[Liquidez]])+Tabla2[[#This Row],[Comunicación]])</f>
        <v>4.503857461479341</v>
      </c>
      <c r="T890">
        <f ca="1">Tabla2[[#This Row],[Deuda actual]]*EXP(Tabla2[[#This Row],[Ki]]*Tabla2[[#This Row],[diferencia de días]])*(1+Tabla2[[#This Row],[Hg]])</f>
        <v>5466.1427019122129</v>
      </c>
    </row>
    <row r="891" spans="1:20" ht="14.5" x14ac:dyDescent="0.35">
      <c r="A891">
        <f t="shared" si="154"/>
        <v>9</v>
      </c>
      <c r="B891" s="21">
        <f t="shared" ca="1" si="144"/>
        <v>46091</v>
      </c>
      <c r="C891" s="21">
        <f t="shared" ca="1" si="145"/>
        <v>46157</v>
      </c>
      <c r="D891">
        <f t="shared" ca="1" si="146"/>
        <v>1</v>
      </c>
      <c r="E891">
        <f t="shared" ca="1" si="147"/>
        <v>0.58920823459783067</v>
      </c>
      <c r="F891" s="47">
        <f t="shared" ca="1" si="148"/>
        <v>1819.26</v>
      </c>
      <c r="G891" s="32" t="str">
        <f t="shared" ca="1" si="149"/>
        <v>hipotecario</v>
      </c>
      <c r="H89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91" t="str">
        <f t="shared" ca="1" si="150"/>
        <v>Sí</v>
      </c>
      <c r="J89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91" s="32">
        <f ca="1">IF(Tabla2[[#This Row],[¿cliente deuda abierta?]]="Sí", Tabla2[[#This Row],[Deuda actual]]*Tabla2[[#This Row],[diferencia de días]], "0")</f>
        <v>1819.26</v>
      </c>
      <c r="L89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9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9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91">
        <f t="shared" ca="1" si="151"/>
        <v>1198.73</v>
      </c>
      <c r="P891">
        <f t="shared" ca="1" si="152"/>
        <v>148969.32999999999</v>
      </c>
      <c r="Q891">
        <f t="shared" ca="1" si="153"/>
        <v>0</v>
      </c>
      <c r="R891">
        <f ca="1">((Tabla2[[#This Row],[Fantasma Comunicación]]+1)/(Tabla2[[#This Row],[Fantasma Comunicación]]+RANDBETWEEN(0,5)+2))-0.5</f>
        <v>-0.25</v>
      </c>
      <c r="S891" s="51">
        <f ca="1">1+MAX(0,Tabla2[[#This Row],[Deuda actual]]/Tabla2[[#This Row],[Liquidez]]+Tabla2[[#This Row],[Liquidez]]/(Tabla2[[#This Row],[Activos]]+Tabla2[[#This Row],[Liquidez]])+Tabla2[[#This Row],[Comunicación]])</f>
        <v>2.2756387757702221</v>
      </c>
      <c r="T891">
        <f ca="1">Tabla2[[#This Row],[Deuda actual]]*EXP(Tabla2[[#This Row],[Ki]]*Tabla2[[#This Row],[diferencia de días]])*(1+Tabla2[[#This Row],[Hg]])</f>
        <v>1910.6050828070072</v>
      </c>
    </row>
    <row r="892" spans="1:20" ht="14.5" x14ac:dyDescent="0.35">
      <c r="A892">
        <f t="shared" si="154"/>
        <v>10</v>
      </c>
      <c r="B892" s="21">
        <f t="shared" ca="1" si="144"/>
        <v>46129</v>
      </c>
      <c r="C892" s="21">
        <f t="shared" ca="1" si="145"/>
        <v>46157</v>
      </c>
      <c r="D892">
        <f t="shared" ca="1" si="146"/>
        <v>44</v>
      </c>
      <c r="E892">
        <f t="shared" ca="1" si="147"/>
        <v>5.8695012050629547E-2</v>
      </c>
      <c r="F892" s="47">
        <f t="shared" ca="1" si="148"/>
        <v>292.8</v>
      </c>
      <c r="G892" s="32" t="str">
        <f t="shared" ca="1" si="149"/>
        <v>hipotecario</v>
      </c>
      <c r="H89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892" t="str">
        <f t="shared" ca="1" si="150"/>
        <v>No</v>
      </c>
      <c r="J89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165000.22827083344</v>
      </c>
      <c r="K892" s="32" t="str">
        <f ca="1">IF(Tabla2[[#This Row],[¿cliente deuda abierta?]]="Sí", Tabla2[[#This Row],[Deuda actual]]*Tabla2[[#This Row],[diferencia de días]], "0")</f>
        <v>0</v>
      </c>
      <c r="L89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9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89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892">
        <f t="shared" ca="1" si="151"/>
        <v>1737.31</v>
      </c>
      <c r="P892">
        <f t="shared" ca="1" si="152"/>
        <v>130690.08</v>
      </c>
      <c r="Q892">
        <f t="shared" ca="1" si="153"/>
        <v>5</v>
      </c>
      <c r="R892">
        <f ca="1">((Tabla2[[#This Row],[Fantasma Comunicación]]+1)/(Tabla2[[#This Row],[Fantasma Comunicación]]+RANDBETWEEN(0,5)+2))-0.5</f>
        <v>0</v>
      </c>
      <c r="S892" s="51">
        <f ca="1">1+MAX(0,Tabla2[[#This Row],[Deuda actual]]/Tabla2[[#This Row],[Liquidez]]+Tabla2[[#This Row],[Liquidez]]/(Tabla2[[#This Row],[Activos]]+Tabla2[[#This Row],[Liquidez]])+Tabla2[[#This Row],[Comunicación]])</f>
        <v>1.1816553782694244</v>
      </c>
      <c r="T892">
        <f ca="1">Tabla2[[#This Row],[Deuda actual]]*EXP(Tabla2[[#This Row],[Ki]]*Tabla2[[#This Row],[diferencia de días]])*(1+Tabla2[[#This Row],[Hg]])</f>
        <v>244.7766668090691</v>
      </c>
    </row>
    <row r="893" spans="1:20" ht="14.5" x14ac:dyDescent="0.35">
      <c r="A893">
        <f t="shared" si="154"/>
        <v>11</v>
      </c>
      <c r="B893" s="21">
        <f t="shared" ca="1" si="144"/>
        <v>46089</v>
      </c>
      <c r="C893" s="21">
        <f t="shared" ca="1" si="145"/>
        <v>46157</v>
      </c>
      <c r="D893">
        <f t="shared" ca="1" si="146"/>
        <v>45</v>
      </c>
      <c r="E893">
        <f t="shared" ca="1" si="147"/>
        <v>3.7693545871153256E-2</v>
      </c>
      <c r="F893" s="47">
        <f t="shared" ca="1" si="148"/>
        <v>1499.62</v>
      </c>
      <c r="G893" s="32" t="str">
        <f t="shared" ca="1" si="149"/>
        <v>hipotecario</v>
      </c>
      <c r="H89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893" t="str">
        <f t="shared" ca="1" si="150"/>
        <v>Sí</v>
      </c>
      <c r="J89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93" s="32">
        <f ca="1">IF(Tabla2[[#This Row],[¿cliente deuda abierta?]]="Sí", Tabla2[[#This Row],[Deuda actual]]*Tabla2[[#This Row],[diferencia de días]], "0")</f>
        <v>67482.899999999994</v>
      </c>
      <c r="L89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89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93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893">
        <f t="shared" ca="1" si="151"/>
        <v>1895.74</v>
      </c>
      <c r="P893">
        <f t="shared" ca="1" si="152"/>
        <v>41761.01</v>
      </c>
      <c r="Q893">
        <f t="shared" ca="1" si="153"/>
        <v>1</v>
      </c>
      <c r="R893">
        <f ca="1">((Tabla2[[#This Row],[Fantasma Comunicación]]+1)/(Tabla2[[#This Row],[Fantasma Comunicación]]+RANDBETWEEN(0,5)+2))-0.5</f>
        <v>-0.2142857142857143</v>
      </c>
      <c r="S893" s="51">
        <f ca="1">1+MAX(0,Tabla2[[#This Row],[Deuda actual]]/Tabla2[[#This Row],[Liquidez]]+Tabla2[[#This Row],[Liquidez]]/(Tabla2[[#This Row],[Activos]]+Tabla2[[#This Row],[Liquidez]])+Tabla2[[#This Row],[Comunicación]])</f>
        <v>1.6201853358607932</v>
      </c>
      <c r="T893">
        <f ca="1">Tabla2[[#This Row],[Deuda actual]]*EXP(Tabla2[[#This Row],[Ki]]*Tabla2[[#This Row],[diferencia de días]])*(1+Tabla2[[#This Row],[Hg]])</f>
        <v>1803.9409441677562</v>
      </c>
    </row>
    <row r="894" spans="1:20" ht="14.5" x14ac:dyDescent="0.35">
      <c r="A894">
        <f t="shared" si="154"/>
        <v>12</v>
      </c>
      <c r="B894" s="21">
        <f t="shared" ca="1" si="144"/>
        <v>46093</v>
      </c>
      <c r="C894" s="21">
        <f t="shared" ca="1" si="145"/>
        <v>46157</v>
      </c>
      <c r="D894">
        <f t="shared" ca="1" si="146"/>
        <v>6</v>
      </c>
      <c r="E894">
        <f t="shared" ca="1" si="147"/>
        <v>0.73406633011937061</v>
      </c>
      <c r="F894" s="47">
        <f t="shared" ca="1" si="148"/>
        <v>1778.99</v>
      </c>
      <c r="G894" s="32" t="str">
        <f t="shared" ca="1" si="149"/>
        <v>personal</v>
      </c>
      <c r="H89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94" t="str">
        <f t="shared" ca="1" si="150"/>
        <v>Sí</v>
      </c>
      <c r="J89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94" s="32">
        <f ca="1">IF(Tabla2[[#This Row],[¿cliente deuda abierta?]]="Sí", Tabla2[[#This Row],[Deuda actual]]*Tabla2[[#This Row],[diferencia de días]], "0")</f>
        <v>10673.94</v>
      </c>
      <c r="L89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9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9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94">
        <f t="shared" ca="1" si="151"/>
        <v>1243.26</v>
      </c>
      <c r="P894">
        <f t="shared" ca="1" si="152"/>
        <v>93881.93</v>
      </c>
      <c r="Q894">
        <f t="shared" ca="1" si="153"/>
        <v>3</v>
      </c>
      <c r="R894">
        <f ca="1">((Tabla2[[#This Row],[Fantasma Comunicación]]+1)/(Tabla2[[#This Row],[Fantasma Comunicación]]+RANDBETWEEN(0,5)+2))-0.5</f>
        <v>0.30000000000000004</v>
      </c>
      <c r="S894" s="51">
        <f ca="1">1+MAX(0,Tabla2[[#This Row],[Deuda actual]]/Tabla2[[#This Row],[Liquidez]]+Tabla2[[#This Row],[Liquidez]]/(Tabla2[[#This Row],[Activos]]+Tabla2[[#This Row],[Liquidez]])+Tabla2[[#This Row],[Comunicación]])</f>
        <v>2.7439771772099188</v>
      </c>
      <c r="T894">
        <f ca="1">Tabla2[[#This Row],[Deuda actual]]*EXP(Tabla2[[#This Row],[Ki]]*Tabla2[[#This Row],[diferencia de días]])*(1+Tabla2[[#This Row],[Hg]])</f>
        <v>1870.182372854568</v>
      </c>
    </row>
    <row r="895" spans="1:20" ht="14.5" x14ac:dyDescent="0.35">
      <c r="A895">
        <f t="shared" si="154"/>
        <v>13</v>
      </c>
      <c r="B895" s="21">
        <f t="shared" ca="1" si="144"/>
        <v>46093</v>
      </c>
      <c r="C895" s="21">
        <f t="shared" ca="1" si="145"/>
        <v>46157</v>
      </c>
      <c r="D895">
        <f t="shared" ca="1" si="146"/>
        <v>5</v>
      </c>
      <c r="E895">
        <f t="shared" ca="1" si="147"/>
        <v>0.19671125437985737</v>
      </c>
      <c r="F895" s="47">
        <f t="shared" ca="1" si="148"/>
        <v>1501.13</v>
      </c>
      <c r="G895" s="32" t="str">
        <f t="shared" ca="1" si="149"/>
        <v>personal</v>
      </c>
      <c r="H89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95" t="str">
        <f t="shared" ca="1" si="150"/>
        <v>No</v>
      </c>
      <c r="J89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12001.341544886487</v>
      </c>
      <c r="K895" s="32" t="str">
        <f ca="1">IF(Tabla2[[#This Row],[¿cliente deuda abierta?]]="Sí", Tabla2[[#This Row],[Deuda actual]]*Tabla2[[#This Row],[diferencia de días]], "0")</f>
        <v>0</v>
      </c>
      <c r="L89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89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89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895">
        <f t="shared" ca="1" si="151"/>
        <v>1407.76</v>
      </c>
      <c r="P895">
        <f t="shared" ca="1" si="152"/>
        <v>185325.73</v>
      </c>
      <c r="Q895">
        <f t="shared" ca="1" si="153"/>
        <v>2</v>
      </c>
      <c r="R895">
        <f ca="1">((Tabla2[[#This Row],[Fantasma Comunicación]]+1)/(Tabla2[[#This Row],[Fantasma Comunicación]]+RANDBETWEEN(0,5)+2))-0.5</f>
        <v>9.9999999999999978E-2</v>
      </c>
      <c r="S895" s="51">
        <f ca="1">1+MAX(0,Tabla2[[#This Row],[Deuda actual]]/Tabla2[[#This Row],[Liquidez]]+Tabla2[[#This Row],[Liquidez]]/(Tabla2[[#This Row],[Activos]]+Tabla2[[#This Row],[Liquidez]])+Tabla2[[#This Row],[Comunicación]])</f>
        <v>2.1738640985375635</v>
      </c>
      <c r="T895">
        <f ca="1">Tabla2[[#This Row],[Deuda actual]]*EXP(Tabla2[[#This Row],[Ki]]*Tabla2[[#This Row],[diferencia de días]])*(1+Tabla2[[#This Row],[Hg]])</f>
        <v>1352.368692733726</v>
      </c>
    </row>
    <row r="896" spans="1:20" ht="14.5" x14ac:dyDescent="0.35">
      <c r="A896">
        <f t="shared" si="154"/>
        <v>14</v>
      </c>
      <c r="B896" s="21">
        <f t="shared" ca="1" si="144"/>
        <v>46091</v>
      </c>
      <c r="C896" s="21">
        <f t="shared" ca="1" si="145"/>
        <v>46157</v>
      </c>
      <c r="D896">
        <f t="shared" ca="1" si="146"/>
        <v>25</v>
      </c>
      <c r="E896">
        <f t="shared" ca="1" si="147"/>
        <v>0.90026572301744601</v>
      </c>
      <c r="F896" s="47">
        <f t="shared" ca="1" si="148"/>
        <v>2033.65</v>
      </c>
      <c r="G896" s="32" t="str">
        <f t="shared" ca="1" si="149"/>
        <v>hipotecario</v>
      </c>
      <c r="H89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896" t="str">
        <f t="shared" ca="1" si="150"/>
        <v>Sí</v>
      </c>
      <c r="J89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96" s="32">
        <f ca="1">IF(Tabla2[[#This Row],[¿cliente deuda abierta?]]="Sí", Tabla2[[#This Row],[Deuda actual]]*Tabla2[[#This Row],[diferencia de días]], "0")</f>
        <v>50841.25</v>
      </c>
      <c r="L89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89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96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896">
        <f t="shared" ca="1" si="151"/>
        <v>1387.26</v>
      </c>
      <c r="P896">
        <f t="shared" ca="1" si="152"/>
        <v>256798.19</v>
      </c>
      <c r="Q896">
        <f t="shared" ca="1" si="153"/>
        <v>1</v>
      </c>
      <c r="R896">
        <f ca="1">((Tabla2[[#This Row],[Fantasma Comunicación]]+1)/(Tabla2[[#This Row],[Fantasma Comunicación]]+RANDBETWEEN(0,5)+2))-0.5</f>
        <v>-0.25</v>
      </c>
      <c r="S896" s="51">
        <f ca="1">1+MAX(0,Tabla2[[#This Row],[Deuda actual]]/Tabla2[[#This Row],[Liquidez]]+Tabla2[[#This Row],[Liquidez]]/(Tabla2[[#This Row],[Activos]]+Tabla2[[#This Row],[Liquidez]])+Tabla2[[#This Row],[Comunicación]])</f>
        <v>2.2213203775077601</v>
      </c>
      <c r="T896">
        <f ca="1">Tabla2[[#This Row],[Deuda actual]]*EXP(Tabla2[[#This Row],[Ki]]*Tabla2[[#This Row],[diferencia de días]])*(1+Tabla2[[#This Row],[Hg]])</f>
        <v>2259.4973745197904</v>
      </c>
    </row>
    <row r="897" spans="1:20" ht="14.5" x14ac:dyDescent="0.35">
      <c r="A897">
        <f t="shared" si="154"/>
        <v>15</v>
      </c>
      <c r="B897" s="21">
        <f t="shared" ca="1" si="144"/>
        <v>46088</v>
      </c>
      <c r="C897" s="21">
        <f t="shared" ca="1" si="145"/>
        <v>46157</v>
      </c>
      <c r="D897">
        <f t="shared" ca="1" si="146"/>
        <v>4</v>
      </c>
      <c r="E897">
        <f t="shared" ca="1" si="147"/>
        <v>0.77019449125338768</v>
      </c>
      <c r="F897" s="47">
        <f t="shared" ca="1" si="148"/>
        <v>3437.12</v>
      </c>
      <c r="G897" s="32" t="str">
        <f t="shared" ca="1" si="149"/>
        <v>personal</v>
      </c>
      <c r="H89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97" t="str">
        <f t="shared" ca="1" si="150"/>
        <v>Sí</v>
      </c>
      <c r="J89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97" s="32">
        <f ca="1">IF(Tabla2[[#This Row],[¿cliente deuda abierta?]]="Sí", Tabla2[[#This Row],[Deuda actual]]*Tabla2[[#This Row],[diferencia de días]], "0")</f>
        <v>13748.48</v>
      </c>
      <c r="L89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9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9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97">
        <f t="shared" ca="1" si="151"/>
        <v>1300.93</v>
      </c>
      <c r="P897">
        <f t="shared" ca="1" si="152"/>
        <v>110295.82</v>
      </c>
      <c r="Q897">
        <f t="shared" ca="1" si="153"/>
        <v>5</v>
      </c>
      <c r="R897">
        <f ca="1">((Tabla2[[#This Row],[Fantasma Comunicación]]+1)/(Tabla2[[#This Row],[Fantasma Comunicación]]+RANDBETWEEN(0,5)+2))-0.5</f>
        <v>0.25</v>
      </c>
      <c r="S897" s="51">
        <f ca="1">1+MAX(0,Tabla2[[#This Row],[Deuda actual]]/Tabla2[[#This Row],[Liquidez]]+Tabla2[[#This Row],[Liquidez]]/(Tabla2[[#This Row],[Activos]]+Tabla2[[#This Row],[Liquidez]])+Tabla2[[#This Row],[Comunicación]])</f>
        <v>3.9037057991125494</v>
      </c>
      <c r="T897">
        <f ca="1">Tabla2[[#This Row],[Deuda actual]]*EXP(Tabla2[[#This Row],[Ki]]*Tabla2[[#This Row],[diferencia de días]])*(1+Tabla2[[#This Row],[Hg]])</f>
        <v>3611.8643359803473</v>
      </c>
    </row>
    <row r="898" spans="1:20" ht="14.5" x14ac:dyDescent="0.35">
      <c r="A898">
        <f t="shared" si="154"/>
        <v>16</v>
      </c>
      <c r="B898" s="21">
        <f t="shared" ref="B898:B961" ca="1" si="155">RANDBETWEEN(DATE(2026,3,1), DATE(2026,5,1))</f>
        <v>46100</v>
      </c>
      <c r="C898" s="21">
        <f t="shared" ref="C898:C961" ca="1" si="156">TODAY()</f>
        <v>46157</v>
      </c>
      <c r="D898">
        <f t="shared" ref="D898:D961" ca="1" si="157">ROUND((-(15) * LN(RAND())),0)</f>
        <v>4</v>
      </c>
      <c r="E898">
        <f t="shared" ref="E898:E961" ca="1" si="158">RAND()</f>
        <v>0.35417473881543371</v>
      </c>
      <c r="F898" s="47">
        <f t="shared" ref="F898:F961" ca="1" si="159">ROUND(MIN(10000, _xlfn.LOGNORM.INV(RAND(), 69/10, 13/10)),2)</f>
        <v>344.11</v>
      </c>
      <c r="G898" s="32" t="str">
        <f t="shared" ref="G898:G961" ca="1" si="160">IF(RAND()&lt;=0.5,"personal","hipotecario")</f>
        <v>personal</v>
      </c>
      <c r="H89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98" t="str">
        <f t="shared" ref="I898:I961" ca="1" si="161">IF(RAND()&lt;=0.65, "Sí", "No")</f>
        <v>Sí</v>
      </c>
      <c r="J89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98" s="32">
        <f ca="1">IF(Tabla2[[#This Row],[¿cliente deuda abierta?]]="Sí", Tabla2[[#This Row],[Deuda actual]]*Tabla2[[#This Row],[diferencia de días]], "0")</f>
        <v>1376.44</v>
      </c>
      <c r="L89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9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9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98">
        <f t="shared" ref="O898:O961" ca="1" si="162">ROUND(1000*(_xlfn.LOGNORM.INV(RAND(), 0.5, 0.2)),2)</f>
        <v>1720.59</v>
      </c>
      <c r="P898">
        <f t="shared" ref="P898:P961" ca="1" si="163">ROUND(50000*(_xlfn.LOGNORM.INV(RAND(), 1, 0.75)),2)</f>
        <v>136479.41</v>
      </c>
      <c r="Q898">
        <f t="shared" ref="Q898:Q961" ca="1" si="164">RANDBETWEEN(0,5)</f>
        <v>5</v>
      </c>
      <c r="R898">
        <f ca="1">((Tabla2[[#This Row],[Fantasma Comunicación]]+1)/(Tabla2[[#This Row],[Fantasma Comunicación]]+RANDBETWEEN(0,5)+2))-0.5</f>
        <v>0.3571428571428571</v>
      </c>
      <c r="S898" s="51">
        <f ca="1">1+MAX(0,Tabla2[[#This Row],[Deuda actual]]/Tabla2[[#This Row],[Liquidez]]+Tabla2[[#This Row],[Liquidez]]/(Tabla2[[#This Row],[Activos]]+Tabla2[[#This Row],[Liquidez]])+Tabla2[[#This Row],[Comunicación]])</f>
        <v>1.5695882075749763</v>
      </c>
      <c r="T898">
        <f ca="1">Tabla2[[#This Row],[Deuda actual]]*EXP(Tabla2[[#This Row],[Ki]]*Tabla2[[#This Row],[diferencia de días]])*(1+Tabla2[[#This Row],[Hg]])</f>
        <v>361.60466805179846</v>
      </c>
    </row>
    <row r="899" spans="1:20" ht="14.5" x14ac:dyDescent="0.35">
      <c r="A899">
        <f t="shared" si="154"/>
        <v>17</v>
      </c>
      <c r="B899" s="21">
        <f t="shared" ca="1" si="155"/>
        <v>46096</v>
      </c>
      <c r="C899" s="21">
        <f t="shared" ca="1" si="156"/>
        <v>46157</v>
      </c>
      <c r="D899">
        <f t="shared" ca="1" si="157"/>
        <v>10</v>
      </c>
      <c r="E899">
        <f t="shared" ca="1" si="158"/>
        <v>0.3665910741927173</v>
      </c>
      <c r="F899" s="47">
        <f t="shared" ca="1" si="159"/>
        <v>919.66</v>
      </c>
      <c r="G899" s="32" t="str">
        <f t="shared" ca="1" si="160"/>
        <v>personal</v>
      </c>
      <c r="H89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899" t="str">
        <f t="shared" ca="1" si="161"/>
        <v>Sí</v>
      </c>
      <c r="J89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899" s="32">
        <f ca="1">IF(Tabla2[[#This Row],[¿cliente deuda abierta?]]="Sí", Tabla2[[#This Row],[Deuda actual]]*Tabla2[[#This Row],[diferencia de días]], "0")</f>
        <v>9196.6</v>
      </c>
      <c r="L89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89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89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899">
        <f t="shared" ca="1" si="162"/>
        <v>1435.6</v>
      </c>
      <c r="P899">
        <f t="shared" ca="1" si="163"/>
        <v>60633.85</v>
      </c>
      <c r="Q899">
        <f t="shared" ca="1" si="164"/>
        <v>3</v>
      </c>
      <c r="R899">
        <f ca="1">((Tabla2[[#This Row],[Fantasma Comunicación]]+1)/(Tabla2[[#This Row],[Fantasma Comunicación]]+RANDBETWEEN(0,5)+2))-0.5</f>
        <v>0.30000000000000004</v>
      </c>
      <c r="S899" s="51">
        <f ca="1">1+MAX(0,Tabla2[[#This Row],[Deuda actual]]/Tabla2[[#This Row],[Liquidez]]+Tabla2[[#This Row],[Liquidez]]/(Tabla2[[#This Row],[Activos]]+Tabla2[[#This Row],[Liquidez]])+Tabla2[[#This Row],[Comunicación]])</f>
        <v>1.9637391284036512</v>
      </c>
      <c r="T899">
        <f ca="1">Tabla2[[#This Row],[Deuda actual]]*EXP(Tabla2[[#This Row],[Ki]]*Tabla2[[#This Row],[diferencia de días]])*(1+Tabla2[[#This Row],[Hg]])</f>
        <v>967.57621857416802</v>
      </c>
    </row>
    <row r="900" spans="1:20" ht="14.5" x14ac:dyDescent="0.35">
      <c r="A900">
        <f t="shared" si="154"/>
        <v>18</v>
      </c>
      <c r="B900" s="21">
        <f t="shared" ca="1" si="155"/>
        <v>46082</v>
      </c>
      <c r="C900" s="21">
        <f t="shared" ca="1" si="156"/>
        <v>46157</v>
      </c>
      <c r="D900">
        <f t="shared" ca="1" si="157"/>
        <v>76</v>
      </c>
      <c r="E900">
        <f t="shared" ca="1" si="158"/>
        <v>0.74967929975768577</v>
      </c>
      <c r="F900" s="47">
        <f t="shared" ca="1" si="159"/>
        <v>3725.37</v>
      </c>
      <c r="G900" s="32" t="str">
        <f t="shared" ca="1" si="160"/>
        <v>hipotecario</v>
      </c>
      <c r="H90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900" t="str">
        <f t="shared" ca="1" si="161"/>
        <v>No</v>
      </c>
      <c r="J90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164999.17925388529</v>
      </c>
      <c r="K900" s="32" t="str">
        <f ca="1">IF(Tabla2[[#This Row],[¿cliente deuda abierta?]]="Sí", Tabla2[[#This Row],[Deuda actual]]*Tabla2[[#This Row],[diferencia de días]], "0")</f>
        <v>0</v>
      </c>
      <c r="L90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0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90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900">
        <f t="shared" ca="1" si="162"/>
        <v>2065.25</v>
      </c>
      <c r="P900">
        <f t="shared" ca="1" si="163"/>
        <v>393492.47</v>
      </c>
      <c r="Q900">
        <f t="shared" ca="1" si="164"/>
        <v>5</v>
      </c>
      <c r="R900">
        <f ca="1">((Tabla2[[#This Row],[Fantasma Comunicación]]+1)/(Tabla2[[#This Row],[Fantasma Comunicación]]+RANDBETWEEN(0,5)+2))-0.5</f>
        <v>0</v>
      </c>
      <c r="S900" s="51">
        <f ca="1">1+MAX(0,Tabla2[[#This Row],[Deuda actual]]/Tabla2[[#This Row],[Liquidez]]+Tabla2[[#This Row],[Liquidez]]/(Tabla2[[#This Row],[Activos]]+Tabla2[[#This Row],[Liquidez]])+Tabla2[[#This Row],[Comunicación]])</f>
        <v>2.8090559958885866</v>
      </c>
      <c r="T900">
        <f ca="1">Tabla2[[#This Row],[Deuda actual]]*EXP(Tabla2[[#This Row],[Ki]]*Tabla2[[#This Row],[diferencia de días]])*(1+Tabla2[[#This Row],[Hg]])</f>
        <v>3215.6278439106568</v>
      </c>
    </row>
    <row r="901" spans="1:20" ht="14.5" x14ac:dyDescent="0.35">
      <c r="A901">
        <f t="shared" si="154"/>
        <v>19</v>
      </c>
      <c r="B901" s="21">
        <f t="shared" ca="1" si="155"/>
        <v>46082</v>
      </c>
      <c r="C901" s="21">
        <f t="shared" ca="1" si="156"/>
        <v>46157</v>
      </c>
      <c r="D901">
        <f t="shared" ca="1" si="157"/>
        <v>20</v>
      </c>
      <c r="E901">
        <f t="shared" ca="1" si="158"/>
        <v>0.96401971647925377</v>
      </c>
      <c r="F901" s="47">
        <f t="shared" ca="1" si="159"/>
        <v>1607.48</v>
      </c>
      <c r="G901" s="32" t="str">
        <f t="shared" ca="1" si="160"/>
        <v>hipotecario</v>
      </c>
      <c r="H90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901" t="str">
        <f t="shared" ca="1" si="161"/>
        <v>Sí</v>
      </c>
      <c r="J90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01" s="32">
        <f ca="1">IF(Tabla2[[#This Row],[¿cliente deuda abierta?]]="Sí", Tabla2[[#This Row],[Deuda actual]]*Tabla2[[#This Row],[diferencia de días]], "0")</f>
        <v>32149.599999999999</v>
      </c>
      <c r="L90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90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01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901">
        <f t="shared" ca="1" si="162"/>
        <v>2821.03</v>
      </c>
      <c r="P901">
        <f t="shared" ca="1" si="163"/>
        <v>31677.06</v>
      </c>
      <c r="Q901">
        <f t="shared" ca="1" si="164"/>
        <v>1</v>
      </c>
      <c r="R901">
        <f ca="1">((Tabla2[[#This Row],[Fantasma Comunicación]]+1)/(Tabla2[[#This Row],[Fantasma Comunicación]]+RANDBETWEEN(0,5)+2))-0.5</f>
        <v>-9.9999999999999978E-2</v>
      </c>
      <c r="S901" s="51">
        <f ca="1">1+MAX(0,Tabla2[[#This Row],[Deuda actual]]/Tabla2[[#This Row],[Liquidez]]+Tabla2[[#This Row],[Liquidez]]/(Tabla2[[#This Row],[Activos]]+Tabla2[[#This Row],[Liquidez]])+Tabla2[[#This Row],[Comunicación]])</f>
        <v>1.5515937556394324</v>
      </c>
      <c r="T901">
        <f ca="1">Tabla2[[#This Row],[Deuda actual]]*EXP(Tabla2[[#This Row],[Ki]]*Tabla2[[#This Row],[diferencia de días]])*(1+Tabla2[[#This Row],[Hg]])</f>
        <v>1782.4305584870506</v>
      </c>
    </row>
    <row r="902" spans="1:20" ht="14.5" x14ac:dyDescent="0.35">
      <c r="A902">
        <f t="shared" si="154"/>
        <v>20</v>
      </c>
      <c r="B902" s="21">
        <f t="shared" ca="1" si="155"/>
        <v>46139</v>
      </c>
      <c r="C902" s="21">
        <f t="shared" ca="1" si="156"/>
        <v>46157</v>
      </c>
      <c r="D902">
        <f t="shared" ca="1" si="157"/>
        <v>27</v>
      </c>
      <c r="E902">
        <f t="shared" ca="1" si="158"/>
        <v>0.32353699194814378</v>
      </c>
      <c r="F902" s="47">
        <f t="shared" ca="1" si="159"/>
        <v>475.53</v>
      </c>
      <c r="G902" s="32" t="str">
        <f t="shared" ca="1" si="160"/>
        <v>personal</v>
      </c>
      <c r="H90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902" t="str">
        <f t="shared" ca="1" si="161"/>
        <v>No</v>
      </c>
      <c r="J90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12001.455191053481</v>
      </c>
      <c r="K902" s="32" t="str">
        <f ca="1">IF(Tabla2[[#This Row],[¿cliente deuda abierta?]]="Sí", Tabla2[[#This Row],[Deuda actual]]*Tabla2[[#This Row],[diferencia de días]], "0")</f>
        <v>0</v>
      </c>
      <c r="L90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0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90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902">
        <f t="shared" ca="1" si="162"/>
        <v>1559.54</v>
      </c>
      <c r="P902">
        <f t="shared" ca="1" si="163"/>
        <v>228081.45</v>
      </c>
      <c r="Q902">
        <f t="shared" ca="1" si="164"/>
        <v>1</v>
      </c>
      <c r="R902">
        <f ca="1">((Tabla2[[#This Row],[Fantasma Comunicación]]+1)/(Tabla2[[#This Row],[Fantasma Comunicación]]+RANDBETWEEN(0,5)+2))-0.5</f>
        <v>-0.2142857142857143</v>
      </c>
      <c r="S902" s="51">
        <f ca="1">1+MAX(0,Tabla2[[#This Row],[Deuda actual]]/Tabla2[[#This Row],[Liquidez]]+Tabla2[[#This Row],[Liquidez]]/(Tabla2[[#This Row],[Activos]]+Tabla2[[#This Row],[Liquidez]])+Tabla2[[#This Row],[Comunicación]])</f>
        <v>1.0974223293481165</v>
      </c>
      <c r="T902">
        <f ca="1">Tabla2[[#This Row],[Deuda actual]]*EXP(Tabla2[[#This Row],[Ki]]*Tabla2[[#This Row],[diferencia de días]])*(1+Tabla2[[#This Row],[Hg]])</f>
        <v>432.62420131639954</v>
      </c>
    </row>
    <row r="903" spans="1:20" ht="14.5" x14ac:dyDescent="0.35">
      <c r="A903">
        <f t="shared" si="154"/>
        <v>21</v>
      </c>
      <c r="B903" s="21">
        <f t="shared" ca="1" si="155"/>
        <v>46135</v>
      </c>
      <c r="C903" s="21">
        <f t="shared" ca="1" si="156"/>
        <v>46157</v>
      </c>
      <c r="D903">
        <f t="shared" ca="1" si="157"/>
        <v>2</v>
      </c>
      <c r="E903">
        <f t="shared" ca="1" si="158"/>
        <v>0.10688622427750816</v>
      </c>
      <c r="F903" s="47">
        <f t="shared" ca="1" si="159"/>
        <v>1539.39</v>
      </c>
      <c r="G903" s="32" t="str">
        <f t="shared" ca="1" si="160"/>
        <v>personal</v>
      </c>
      <c r="H90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03" t="str">
        <f t="shared" ca="1" si="161"/>
        <v>Sí</v>
      </c>
      <c r="J90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03" s="32">
        <f ca="1">IF(Tabla2[[#This Row],[¿cliente deuda abierta?]]="Sí", Tabla2[[#This Row],[Deuda actual]]*Tabla2[[#This Row],[diferencia de días]], "0")</f>
        <v>3078.78</v>
      </c>
      <c r="L90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0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0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03">
        <f t="shared" ca="1" si="162"/>
        <v>1675.16</v>
      </c>
      <c r="P903">
        <f t="shared" ca="1" si="163"/>
        <v>123863.95</v>
      </c>
      <c r="Q903">
        <f t="shared" ca="1" si="164"/>
        <v>0</v>
      </c>
      <c r="R903">
        <f ca="1">((Tabla2[[#This Row],[Fantasma Comunicación]]+1)/(Tabla2[[#This Row],[Fantasma Comunicación]]+RANDBETWEEN(0,5)+2))-0.5</f>
        <v>-0.25</v>
      </c>
      <c r="S903" s="51">
        <f ca="1">1+MAX(0,Tabla2[[#This Row],[Deuda actual]]/Tabla2[[#This Row],[Liquidez]]+Tabla2[[#This Row],[Liquidez]]/(Tabla2[[#This Row],[Activos]]+Tabla2[[#This Row],[Liquidez]])+Tabla2[[#This Row],[Comunicación]])</f>
        <v>1.6822947556670316</v>
      </c>
      <c r="T903">
        <f ca="1">Tabla2[[#This Row],[Deuda actual]]*EXP(Tabla2[[#This Row],[Ki]]*Tabla2[[#This Row],[diferencia de días]])*(1+Tabla2[[#This Row],[Hg]])</f>
        <v>1617.0061731260032</v>
      </c>
    </row>
    <row r="904" spans="1:20" ht="14.5" x14ac:dyDescent="0.35">
      <c r="A904">
        <f t="shared" si="154"/>
        <v>22</v>
      </c>
      <c r="B904" s="21">
        <f t="shared" ca="1" si="155"/>
        <v>46100</v>
      </c>
      <c r="C904" s="21">
        <f t="shared" ca="1" si="156"/>
        <v>46157</v>
      </c>
      <c r="D904">
        <f t="shared" ca="1" si="157"/>
        <v>50</v>
      </c>
      <c r="E904">
        <f t="shared" ca="1" si="158"/>
        <v>0.5698946118810081</v>
      </c>
      <c r="F904" s="47">
        <f t="shared" ca="1" si="159"/>
        <v>1383.05</v>
      </c>
      <c r="G904" s="32" t="str">
        <f t="shared" ca="1" si="160"/>
        <v>hipotecario</v>
      </c>
      <c r="H90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1.5E-3</v>
      </c>
      <c r="I904" t="str">
        <f t="shared" ca="1" si="161"/>
        <v>Sí</v>
      </c>
      <c r="J90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04" s="32">
        <f ca="1">IF(Tabla2[[#This Row],[¿cliente deuda abierta?]]="Sí", Tabla2[[#This Row],[Deuda actual]]*Tabla2[[#This Row],[diferencia de días]], "0")</f>
        <v>69152.5</v>
      </c>
      <c r="L90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90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04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904">
        <f t="shared" ca="1" si="162"/>
        <v>1306.99</v>
      </c>
      <c r="P904">
        <f t="shared" ca="1" si="163"/>
        <v>80951.42</v>
      </c>
      <c r="Q904">
        <f t="shared" ca="1" si="164"/>
        <v>2</v>
      </c>
      <c r="R904">
        <f ca="1">((Tabla2[[#This Row],[Fantasma Comunicación]]+1)/(Tabla2[[#This Row],[Fantasma Comunicación]]+RANDBETWEEN(0,5)+2))-0.5</f>
        <v>-0.125</v>
      </c>
      <c r="S904" s="51">
        <f ca="1">1+MAX(0,Tabla2[[#This Row],[Deuda actual]]/Tabla2[[#This Row],[Liquidez]]+Tabla2[[#This Row],[Liquidez]]/(Tabla2[[#This Row],[Activos]]+Tabla2[[#This Row],[Liquidez]])+Tabla2[[#This Row],[Comunicación]])</f>
        <v>1.9490836147398154</v>
      </c>
      <c r="T904">
        <f ca="1">Tabla2[[#This Row],[Deuda actual]]*EXP(Tabla2[[#This Row],[Ki]]*Tabla2[[#This Row],[diferencia de días]])*(1+Tabla2[[#This Row],[Hg]])</f>
        <v>1714.3828261131378</v>
      </c>
    </row>
    <row r="905" spans="1:20" ht="14.5" x14ac:dyDescent="0.35">
      <c r="A905">
        <f t="shared" si="154"/>
        <v>23</v>
      </c>
      <c r="B905" s="21">
        <f t="shared" ca="1" si="155"/>
        <v>46101</v>
      </c>
      <c r="C905" s="21">
        <f t="shared" ca="1" si="156"/>
        <v>46157</v>
      </c>
      <c r="D905">
        <f t="shared" ca="1" si="157"/>
        <v>4</v>
      </c>
      <c r="E905">
        <f t="shared" ca="1" si="158"/>
        <v>0.7338419677602589</v>
      </c>
      <c r="F905" s="47">
        <f t="shared" ca="1" si="159"/>
        <v>649.59</v>
      </c>
      <c r="G905" s="32" t="str">
        <f t="shared" ca="1" si="160"/>
        <v>hipotecario</v>
      </c>
      <c r="H90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05" t="str">
        <f t="shared" ca="1" si="161"/>
        <v>Sí</v>
      </c>
      <c r="J90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05" s="32">
        <f ca="1">IF(Tabla2[[#This Row],[¿cliente deuda abierta?]]="Sí", Tabla2[[#This Row],[Deuda actual]]*Tabla2[[#This Row],[diferencia de días]], "0")</f>
        <v>2598.36</v>
      </c>
      <c r="L90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0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0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05">
        <f t="shared" ca="1" si="162"/>
        <v>1290.96</v>
      </c>
      <c r="P905">
        <f t="shared" ca="1" si="163"/>
        <v>57099.040000000001</v>
      </c>
      <c r="Q905">
        <f t="shared" ca="1" si="164"/>
        <v>2</v>
      </c>
      <c r="R905">
        <f ca="1">((Tabla2[[#This Row],[Fantasma Comunicación]]+1)/(Tabla2[[#This Row],[Fantasma Comunicación]]+RANDBETWEEN(0,5)+2))-0.5</f>
        <v>-0.16666666666666669</v>
      </c>
      <c r="S905" s="51">
        <f ca="1">1+MAX(0,Tabla2[[#This Row],[Deuda actual]]/Tabla2[[#This Row],[Liquidez]]+Tabla2[[#This Row],[Liquidez]]/(Tabla2[[#This Row],[Activos]]+Tabla2[[#This Row],[Liquidez]])+Tabla2[[#This Row],[Comunicación]])</f>
        <v>1.3586262758819168</v>
      </c>
      <c r="T905">
        <f ca="1">Tabla2[[#This Row],[Deuda actual]]*EXP(Tabla2[[#This Row],[Ki]]*Tabla2[[#This Row],[diferencia de días]])*(1+Tabla2[[#This Row],[Hg]])</f>
        <v>682.615373920455</v>
      </c>
    </row>
    <row r="906" spans="1:20" ht="14.5" x14ac:dyDescent="0.35">
      <c r="A906">
        <f t="shared" si="154"/>
        <v>24</v>
      </c>
      <c r="B906" s="21">
        <f t="shared" ca="1" si="155"/>
        <v>46086</v>
      </c>
      <c r="C906" s="21">
        <f t="shared" ca="1" si="156"/>
        <v>46157</v>
      </c>
      <c r="D906">
        <f t="shared" ca="1" si="157"/>
        <v>5</v>
      </c>
      <c r="E906">
        <f t="shared" ca="1" si="158"/>
        <v>0.4901577534258722</v>
      </c>
      <c r="F906" s="47">
        <f t="shared" ca="1" si="159"/>
        <v>3716.62</v>
      </c>
      <c r="G906" s="32" t="str">
        <f t="shared" ca="1" si="160"/>
        <v>hipotecario</v>
      </c>
      <c r="H90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06" t="str">
        <f t="shared" ca="1" si="161"/>
        <v>Sí</v>
      </c>
      <c r="J90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06" s="32">
        <f ca="1">IF(Tabla2[[#This Row],[¿cliente deuda abierta?]]="Sí", Tabla2[[#This Row],[Deuda actual]]*Tabla2[[#This Row],[diferencia de días]], "0")</f>
        <v>18583.099999999999</v>
      </c>
      <c r="L90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0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0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06">
        <f t="shared" ca="1" si="162"/>
        <v>2187.3200000000002</v>
      </c>
      <c r="P906">
        <f t="shared" ca="1" si="163"/>
        <v>47995.59</v>
      </c>
      <c r="Q906">
        <f t="shared" ca="1" si="164"/>
        <v>3</v>
      </c>
      <c r="R906">
        <f ca="1">((Tabla2[[#This Row],[Fantasma Comunicación]]+1)/(Tabla2[[#This Row],[Fantasma Comunicación]]+RANDBETWEEN(0,5)+2))-0.5</f>
        <v>0</v>
      </c>
      <c r="S906" s="51">
        <f ca="1">1+MAX(0,Tabla2[[#This Row],[Deuda actual]]/Tabla2[[#This Row],[Liquidez]]+Tabla2[[#This Row],[Liquidez]]/(Tabla2[[#This Row],[Activos]]+Tabla2[[#This Row],[Liquidez]])+Tabla2[[#This Row],[Comunicación]])</f>
        <v>2.742753053029455</v>
      </c>
      <c r="T906">
        <f ca="1">Tabla2[[#This Row],[Deuda actual]]*EXP(Tabla2[[#This Row],[Ki]]*Tabla2[[#This Row],[diferencia de días]])*(1+Tabla2[[#This Row],[Hg]])</f>
        <v>3906.3554028760714</v>
      </c>
    </row>
    <row r="907" spans="1:20" ht="14.5" x14ac:dyDescent="0.35">
      <c r="A907">
        <f t="shared" si="154"/>
        <v>25</v>
      </c>
      <c r="B907" s="21">
        <f t="shared" ca="1" si="155"/>
        <v>46091</v>
      </c>
      <c r="C907" s="21">
        <f t="shared" ca="1" si="156"/>
        <v>46157</v>
      </c>
      <c r="D907">
        <f t="shared" ca="1" si="157"/>
        <v>38</v>
      </c>
      <c r="E907">
        <f t="shared" ca="1" si="158"/>
        <v>0.80034705819714536</v>
      </c>
      <c r="F907" s="47">
        <f t="shared" ca="1" si="159"/>
        <v>2142.4699999999998</v>
      </c>
      <c r="G907" s="32" t="str">
        <f t="shared" ca="1" si="160"/>
        <v>hipotecario</v>
      </c>
      <c r="H90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907" t="str">
        <f t="shared" ca="1" si="161"/>
        <v>Sí</v>
      </c>
      <c r="J90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07" s="32">
        <f ca="1">IF(Tabla2[[#This Row],[¿cliente deuda abierta?]]="Sí", Tabla2[[#This Row],[Deuda actual]]*Tabla2[[#This Row],[diferencia de días]], "0")</f>
        <v>81413.859999999986</v>
      </c>
      <c r="L90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90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07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907">
        <f t="shared" ca="1" si="162"/>
        <v>2111.09</v>
      </c>
      <c r="P907">
        <f t="shared" ca="1" si="163"/>
        <v>88527.92</v>
      </c>
      <c r="Q907">
        <f t="shared" ca="1" si="164"/>
        <v>5</v>
      </c>
      <c r="R907">
        <f ca="1">((Tabla2[[#This Row],[Fantasma Comunicación]]+1)/(Tabla2[[#This Row],[Fantasma Comunicación]]+RANDBETWEEN(0,5)+2))-0.5</f>
        <v>9.9999999999999978E-2</v>
      </c>
      <c r="S907" s="51">
        <f ca="1">1+MAX(0,Tabla2[[#This Row],[Deuda actual]]/Tabla2[[#This Row],[Liquidez]]+Tabla2[[#This Row],[Liquidez]]/(Tabla2[[#This Row],[Activos]]+Tabla2[[#This Row],[Liquidez]])+Tabla2[[#This Row],[Comunicación]])</f>
        <v>2.1381555447201466</v>
      </c>
      <c r="T907">
        <f ca="1">Tabla2[[#This Row],[Deuda actual]]*EXP(Tabla2[[#This Row],[Ki]]*Tabla2[[#This Row],[diferencia de días]])*(1+Tabla2[[#This Row],[Hg]])</f>
        <v>2559.2680801809738</v>
      </c>
    </row>
    <row r="908" spans="1:20" ht="14.5" x14ac:dyDescent="0.35">
      <c r="A908">
        <f t="shared" si="154"/>
        <v>26</v>
      </c>
      <c r="B908" s="21">
        <f t="shared" ca="1" si="155"/>
        <v>46102</v>
      </c>
      <c r="C908" s="21">
        <f t="shared" ca="1" si="156"/>
        <v>46157</v>
      </c>
      <c r="D908">
        <f t="shared" ca="1" si="157"/>
        <v>8</v>
      </c>
      <c r="E908">
        <f t="shared" ca="1" si="158"/>
        <v>0.50606529626729579</v>
      </c>
      <c r="F908" s="47">
        <f t="shared" ca="1" si="159"/>
        <v>406.19</v>
      </c>
      <c r="G908" s="32" t="str">
        <f t="shared" ca="1" si="160"/>
        <v>personal</v>
      </c>
      <c r="H90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08" t="str">
        <f t="shared" ca="1" si="161"/>
        <v>Sí</v>
      </c>
      <c r="J90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08" s="32">
        <f ca="1">IF(Tabla2[[#This Row],[¿cliente deuda abierta?]]="Sí", Tabla2[[#This Row],[Deuda actual]]*Tabla2[[#This Row],[diferencia de días]], "0")</f>
        <v>3249.52</v>
      </c>
      <c r="L90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0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0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08">
        <f t="shared" ca="1" si="162"/>
        <v>1865.81</v>
      </c>
      <c r="P908">
        <f t="shared" ca="1" si="163"/>
        <v>428787.06</v>
      </c>
      <c r="Q908">
        <f t="shared" ca="1" si="164"/>
        <v>2</v>
      </c>
      <c r="R908">
        <f ca="1">((Tabla2[[#This Row],[Fantasma Comunicación]]+1)/(Tabla2[[#This Row],[Fantasma Comunicación]]+RANDBETWEEN(0,5)+2))-0.5</f>
        <v>0</v>
      </c>
      <c r="S908" s="51">
        <f ca="1">1+MAX(0,Tabla2[[#This Row],[Deuda actual]]/Tabla2[[#This Row],[Liquidez]]+Tabla2[[#This Row],[Liquidez]]/(Tabla2[[#This Row],[Activos]]+Tabla2[[#This Row],[Liquidez]])+Tabla2[[#This Row],[Comunicación]])</f>
        <v>1.2220342101980037</v>
      </c>
      <c r="T908">
        <f ca="1">Tabla2[[#This Row],[Deuda actual]]*EXP(Tabla2[[#This Row],[Ki]]*Tabla2[[#This Row],[diferencia de días]])*(1+Tabla2[[#This Row],[Hg]])</f>
        <v>427.18244541063348</v>
      </c>
    </row>
    <row r="909" spans="1:20" ht="14.5" x14ac:dyDescent="0.35">
      <c r="A909">
        <f t="shared" si="154"/>
        <v>27</v>
      </c>
      <c r="B909" s="21">
        <f t="shared" ca="1" si="155"/>
        <v>46093</v>
      </c>
      <c r="C909" s="21">
        <f t="shared" ca="1" si="156"/>
        <v>46157</v>
      </c>
      <c r="D909">
        <f t="shared" ca="1" si="157"/>
        <v>2</v>
      </c>
      <c r="E909">
        <f t="shared" ca="1" si="158"/>
        <v>0.24515335006498828</v>
      </c>
      <c r="F909" s="47">
        <f t="shared" ca="1" si="159"/>
        <v>819.87</v>
      </c>
      <c r="G909" s="32" t="str">
        <f t="shared" ca="1" si="160"/>
        <v>personal</v>
      </c>
      <c r="H90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09" t="str">
        <f t="shared" ca="1" si="161"/>
        <v>Sí</v>
      </c>
      <c r="J90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09" s="32">
        <f ca="1">IF(Tabla2[[#This Row],[¿cliente deuda abierta?]]="Sí", Tabla2[[#This Row],[Deuda actual]]*Tabla2[[#This Row],[diferencia de días]], "0")</f>
        <v>1639.74</v>
      </c>
      <c r="L90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0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0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09">
        <f t="shared" ca="1" si="162"/>
        <v>2033.53</v>
      </c>
      <c r="P909">
        <f t="shared" ca="1" si="163"/>
        <v>58114.37</v>
      </c>
      <c r="Q909">
        <f t="shared" ca="1" si="164"/>
        <v>2</v>
      </c>
      <c r="R909">
        <f ca="1">((Tabla2[[#This Row],[Fantasma Comunicación]]+1)/(Tabla2[[#This Row],[Fantasma Comunicación]]+RANDBETWEEN(0,5)+2))-0.5</f>
        <v>-7.1428571428571452E-2</v>
      </c>
      <c r="S909" s="51">
        <f ca="1">1+MAX(0,Tabla2[[#This Row],[Deuda actual]]/Tabla2[[#This Row],[Liquidez]]+Tabla2[[#This Row],[Liquidez]]/(Tabla2[[#This Row],[Activos]]+Tabla2[[#This Row],[Liquidez]])+Tabla2[[#This Row],[Comunicación]])</f>
        <v>1.3655560148875594</v>
      </c>
      <c r="T909">
        <f ca="1">Tabla2[[#This Row],[Deuda actual]]*EXP(Tabla2[[#This Row],[Ki]]*Tabla2[[#This Row],[diferencia de días]])*(1+Tabla2[[#This Row],[Hg]])</f>
        <v>861.20791427826362</v>
      </c>
    </row>
    <row r="910" spans="1:20" ht="14.5" x14ac:dyDescent="0.35">
      <c r="A910">
        <f t="shared" si="154"/>
        <v>28</v>
      </c>
      <c r="B910" s="21">
        <f t="shared" ca="1" si="155"/>
        <v>46094</v>
      </c>
      <c r="C910" s="21">
        <f t="shared" ca="1" si="156"/>
        <v>46157</v>
      </c>
      <c r="D910">
        <f t="shared" ca="1" si="157"/>
        <v>25</v>
      </c>
      <c r="E910">
        <f t="shared" ca="1" si="158"/>
        <v>0.32779670238650638</v>
      </c>
      <c r="F910" s="47">
        <f t="shared" ca="1" si="159"/>
        <v>1308.57</v>
      </c>
      <c r="G910" s="32" t="str">
        <f t="shared" ca="1" si="160"/>
        <v>personal</v>
      </c>
      <c r="H91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910" t="str">
        <f t="shared" ca="1" si="161"/>
        <v>Sí</v>
      </c>
      <c r="J91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10" s="32">
        <f ca="1">IF(Tabla2[[#This Row],[¿cliente deuda abierta?]]="Sí", Tabla2[[#This Row],[Deuda actual]]*Tabla2[[#This Row],[diferencia de días]], "0")</f>
        <v>32714.25</v>
      </c>
      <c r="L91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91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10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910">
        <f t="shared" ca="1" si="162"/>
        <v>1286.17</v>
      </c>
      <c r="P910">
        <f t="shared" ca="1" si="163"/>
        <v>93927.01</v>
      </c>
      <c r="Q910">
        <f t="shared" ca="1" si="164"/>
        <v>1</v>
      </c>
      <c r="R910">
        <f ca="1">((Tabla2[[#This Row],[Fantasma Comunicación]]+1)/(Tabla2[[#This Row],[Fantasma Comunicación]]+RANDBETWEEN(0,5)+2))-0.5</f>
        <v>0.16666666666666663</v>
      </c>
      <c r="S910" s="51">
        <f ca="1">1+MAX(0,Tabla2[[#This Row],[Deuda actual]]/Tabla2[[#This Row],[Liquidez]]+Tabla2[[#This Row],[Liquidez]]/(Tabla2[[#This Row],[Activos]]+Tabla2[[#This Row],[Liquidez]])+Tabla2[[#This Row],[Comunicación]])</f>
        <v>2.1975910347783159</v>
      </c>
      <c r="T910">
        <f ca="1">Tabla2[[#This Row],[Deuda actual]]*EXP(Tabla2[[#This Row],[Ki]]*Tabla2[[#This Row],[diferencia de días]])*(1+Tabla2[[#This Row],[Hg]])</f>
        <v>1453.8934818554626</v>
      </c>
    </row>
    <row r="911" spans="1:20" ht="14.5" x14ac:dyDescent="0.35">
      <c r="A911">
        <f t="shared" si="154"/>
        <v>29</v>
      </c>
      <c r="B911" s="21">
        <f t="shared" ca="1" si="155"/>
        <v>46117</v>
      </c>
      <c r="C911" s="21">
        <f t="shared" ca="1" si="156"/>
        <v>46157</v>
      </c>
      <c r="D911">
        <f t="shared" ca="1" si="157"/>
        <v>23</v>
      </c>
      <c r="E911">
        <f t="shared" ca="1" si="158"/>
        <v>0.57796135170654017</v>
      </c>
      <c r="F911" s="47">
        <f t="shared" ca="1" si="159"/>
        <v>3274.49</v>
      </c>
      <c r="G911" s="32" t="str">
        <f t="shared" ca="1" si="160"/>
        <v>personal</v>
      </c>
      <c r="H91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911" t="str">
        <f t="shared" ca="1" si="161"/>
        <v>Sí</v>
      </c>
      <c r="J91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11" s="32">
        <f ca="1">IF(Tabla2[[#This Row],[¿cliente deuda abierta?]]="Sí", Tabla2[[#This Row],[Deuda actual]]*Tabla2[[#This Row],[diferencia de días]], "0")</f>
        <v>75313.26999999999</v>
      </c>
      <c r="L91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91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11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911">
        <f t="shared" ca="1" si="162"/>
        <v>1673.08</v>
      </c>
      <c r="P911">
        <f t="shared" ca="1" si="163"/>
        <v>25787.82</v>
      </c>
      <c r="Q911">
        <f t="shared" ca="1" si="164"/>
        <v>0</v>
      </c>
      <c r="R911">
        <f ca="1">((Tabla2[[#This Row],[Fantasma Comunicación]]+1)/(Tabla2[[#This Row],[Fantasma Comunicación]]+RANDBETWEEN(0,5)+2))-0.5</f>
        <v>-0.16666666666666669</v>
      </c>
      <c r="S911" s="51">
        <f ca="1">1+MAX(0,Tabla2[[#This Row],[Deuda actual]]/Tabla2[[#This Row],[Liquidez]]+Tabla2[[#This Row],[Liquidez]]/(Tabla2[[#This Row],[Activos]]+Tabla2[[#This Row],[Liquidez]])+Tabla2[[#This Row],[Comunicación]])</f>
        <v>2.8514220690121981</v>
      </c>
      <c r="T911">
        <f ca="1">Tabla2[[#This Row],[Deuda actual]]*EXP(Tabla2[[#This Row],[Ki]]*Tabla2[[#This Row],[diferencia de días]])*(1+Tabla2[[#This Row],[Hg]])</f>
        <v>3800.4674569182603</v>
      </c>
    </row>
    <row r="912" spans="1:20" ht="14.5" x14ac:dyDescent="0.35">
      <c r="A912">
        <f t="shared" si="154"/>
        <v>30</v>
      </c>
      <c r="B912" s="21">
        <f t="shared" ca="1" si="155"/>
        <v>46088</v>
      </c>
      <c r="C912" s="21">
        <f t="shared" ca="1" si="156"/>
        <v>46157</v>
      </c>
      <c r="D912">
        <f t="shared" ca="1" si="157"/>
        <v>38</v>
      </c>
      <c r="E912">
        <f t="shared" ca="1" si="158"/>
        <v>0.15572434357626586</v>
      </c>
      <c r="F912" s="47">
        <f t="shared" ca="1" si="159"/>
        <v>334.67</v>
      </c>
      <c r="G912" s="32" t="str">
        <f t="shared" ca="1" si="160"/>
        <v>hipotecario</v>
      </c>
      <c r="H91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912" t="str">
        <f t="shared" ca="1" si="161"/>
        <v>No</v>
      </c>
      <c r="J91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164999.92471654987</v>
      </c>
      <c r="K912" s="32" t="str">
        <f ca="1">IF(Tabla2[[#This Row],[¿cliente deuda abierta?]]="Sí", Tabla2[[#This Row],[Deuda actual]]*Tabla2[[#This Row],[diferencia de días]], "0")</f>
        <v>0</v>
      </c>
      <c r="L91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1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91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912">
        <f t="shared" ca="1" si="162"/>
        <v>1774.76</v>
      </c>
      <c r="P912">
        <f t="shared" ca="1" si="163"/>
        <v>176378.89</v>
      </c>
      <c r="Q912">
        <f t="shared" ca="1" si="164"/>
        <v>1</v>
      </c>
      <c r="R912">
        <f ca="1">((Tabla2[[#This Row],[Fantasma Comunicación]]+1)/(Tabla2[[#This Row],[Fantasma Comunicación]]+RANDBETWEEN(0,5)+2))-0.5</f>
        <v>0.16666666666666663</v>
      </c>
      <c r="S912" s="51">
        <f ca="1">1+MAX(0,Tabla2[[#This Row],[Deuda actual]]/Tabla2[[#This Row],[Liquidez]]+Tabla2[[#This Row],[Liquidez]]/(Tabla2[[#This Row],[Activos]]+Tabla2[[#This Row],[Liquidez]])+Tabla2[[#This Row],[Comunicación]])</f>
        <v>1.3652006052050485</v>
      </c>
      <c r="T912">
        <f ca="1">Tabla2[[#This Row],[Deuda actual]]*EXP(Tabla2[[#This Row],[Ki]]*Tabla2[[#This Row],[diferencia de días]])*(1+Tabla2[[#This Row],[Hg]])</f>
        <v>278.10574536595749</v>
      </c>
    </row>
    <row r="913" spans="1:20" ht="14.5" x14ac:dyDescent="0.35">
      <c r="A913">
        <f t="shared" si="154"/>
        <v>31</v>
      </c>
      <c r="B913" s="21">
        <f t="shared" ca="1" si="155"/>
        <v>46084</v>
      </c>
      <c r="C913" s="21">
        <f t="shared" ca="1" si="156"/>
        <v>46157</v>
      </c>
      <c r="D913">
        <f t="shared" ca="1" si="157"/>
        <v>11</v>
      </c>
      <c r="E913">
        <f t="shared" ca="1" si="158"/>
        <v>0.20560422076977469</v>
      </c>
      <c r="F913" s="47">
        <f t="shared" ca="1" si="159"/>
        <v>2997.19</v>
      </c>
      <c r="G913" s="32" t="str">
        <f t="shared" ca="1" si="160"/>
        <v>personal</v>
      </c>
      <c r="H91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13" t="str">
        <f t="shared" ca="1" si="161"/>
        <v>Sí</v>
      </c>
      <c r="J91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13" s="32">
        <f ca="1">IF(Tabla2[[#This Row],[¿cliente deuda abierta?]]="Sí", Tabla2[[#This Row],[Deuda actual]]*Tabla2[[#This Row],[diferencia de días]], "0")</f>
        <v>32969.090000000004</v>
      </c>
      <c r="L91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91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13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913">
        <f t="shared" ca="1" si="162"/>
        <v>1395.11</v>
      </c>
      <c r="P913">
        <f t="shared" ca="1" si="163"/>
        <v>136190.66</v>
      </c>
      <c r="Q913">
        <f t="shared" ca="1" si="164"/>
        <v>1</v>
      </c>
      <c r="R913">
        <f ca="1">((Tabla2[[#This Row],[Fantasma Comunicación]]+1)/(Tabla2[[#This Row],[Fantasma Comunicación]]+RANDBETWEEN(0,5)+2))-0.5</f>
        <v>-0.25</v>
      </c>
      <c r="S913" s="51">
        <f ca="1">1+MAX(0,Tabla2[[#This Row],[Deuda actual]]/Tabla2[[#This Row],[Liquidez]]+Tabla2[[#This Row],[Liquidez]]/(Tabla2[[#This Row],[Activos]]+Tabla2[[#This Row],[Liquidez]])+Tabla2[[#This Row],[Comunicación]])</f>
        <v>2.9084938226832246</v>
      </c>
      <c r="T913">
        <f ca="1">Tabla2[[#This Row],[Deuda actual]]*EXP(Tabla2[[#This Row],[Ki]]*Tabla2[[#This Row],[diferencia de días]])*(1+Tabla2[[#This Row],[Hg]])</f>
        <v>3304.1701841739141</v>
      </c>
    </row>
    <row r="914" spans="1:20" ht="14.5" x14ac:dyDescent="0.35">
      <c r="A914">
        <f t="shared" si="154"/>
        <v>32</v>
      </c>
      <c r="B914" s="21">
        <f t="shared" ca="1" si="155"/>
        <v>46122</v>
      </c>
      <c r="C914" s="21">
        <f t="shared" ca="1" si="156"/>
        <v>46157</v>
      </c>
      <c r="D914">
        <f t="shared" ca="1" si="157"/>
        <v>5</v>
      </c>
      <c r="E914">
        <f t="shared" ca="1" si="158"/>
        <v>0.62320635584609296</v>
      </c>
      <c r="F914" s="47">
        <f t="shared" ca="1" si="159"/>
        <v>2010.4</v>
      </c>
      <c r="G914" s="32" t="str">
        <f t="shared" ca="1" si="160"/>
        <v>hipotecario</v>
      </c>
      <c r="H91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14" t="str">
        <f t="shared" ca="1" si="161"/>
        <v>Sí</v>
      </c>
      <c r="J91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14" s="32">
        <f ca="1">IF(Tabla2[[#This Row],[¿cliente deuda abierta?]]="Sí", Tabla2[[#This Row],[Deuda actual]]*Tabla2[[#This Row],[diferencia de días]], "0")</f>
        <v>10052</v>
      </c>
      <c r="L91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1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1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14">
        <f t="shared" ca="1" si="162"/>
        <v>1910</v>
      </c>
      <c r="P914">
        <f t="shared" ca="1" si="163"/>
        <v>311818.59999999998</v>
      </c>
      <c r="Q914">
        <f t="shared" ca="1" si="164"/>
        <v>1</v>
      </c>
      <c r="R914">
        <f ca="1">((Tabla2[[#This Row],[Fantasma Comunicación]]+1)/(Tabla2[[#This Row],[Fantasma Comunicación]]+RANDBETWEEN(0,5)+2))-0.5</f>
        <v>0.16666666666666663</v>
      </c>
      <c r="S914" s="51">
        <f ca="1">1+MAX(0,Tabla2[[#This Row],[Deuda actual]]/Tabla2[[#This Row],[Liquidez]]+Tabla2[[#This Row],[Liquidez]]/(Tabla2[[#This Row],[Activos]]+Tabla2[[#This Row],[Liquidez]])+Tabla2[[#This Row],[Comunicación]])</f>
        <v>2.225320176344904</v>
      </c>
      <c r="T914">
        <f ca="1">Tabla2[[#This Row],[Deuda actual]]*EXP(Tabla2[[#This Row],[Ki]]*Tabla2[[#This Row],[diferencia de días]])*(1+Tabla2[[#This Row],[Hg]])</f>
        <v>2113.0319758119081</v>
      </c>
    </row>
    <row r="915" spans="1:20" ht="14.5" x14ac:dyDescent="0.35">
      <c r="A915">
        <f t="shared" si="154"/>
        <v>33</v>
      </c>
      <c r="B915" s="21">
        <f t="shared" ca="1" si="155"/>
        <v>46113</v>
      </c>
      <c r="C915" s="21">
        <f t="shared" ca="1" si="156"/>
        <v>46157</v>
      </c>
      <c r="D915">
        <f t="shared" ca="1" si="157"/>
        <v>2</v>
      </c>
      <c r="E915">
        <f t="shared" ca="1" si="158"/>
        <v>0.70933111180385278</v>
      </c>
      <c r="F915" s="47">
        <f t="shared" ca="1" si="159"/>
        <v>197.75</v>
      </c>
      <c r="G915" s="32" t="str">
        <f t="shared" ca="1" si="160"/>
        <v>personal</v>
      </c>
      <c r="H91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15" t="str">
        <f t="shared" ca="1" si="161"/>
        <v>No</v>
      </c>
      <c r="J91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12001.908818093512</v>
      </c>
      <c r="K915" s="32" t="str">
        <f ca="1">IF(Tabla2[[#This Row],[¿cliente deuda abierta?]]="Sí", Tabla2[[#This Row],[Deuda actual]]*Tabla2[[#This Row],[diferencia de días]], "0")</f>
        <v>0</v>
      </c>
      <c r="L91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1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91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915">
        <f t="shared" ca="1" si="162"/>
        <v>1049.77</v>
      </c>
      <c r="P915">
        <f t="shared" ca="1" si="163"/>
        <v>90819.69</v>
      </c>
      <c r="Q915">
        <f t="shared" ca="1" si="164"/>
        <v>0</v>
      </c>
      <c r="R915">
        <f ca="1">((Tabla2[[#This Row],[Fantasma Comunicación]]+1)/(Tabla2[[#This Row],[Fantasma Comunicación]]+RANDBETWEEN(0,5)+2))-0.5</f>
        <v>-0.16666666666666669</v>
      </c>
      <c r="S915" s="51">
        <f ca="1">1+MAX(0,Tabla2[[#This Row],[Deuda actual]]/Tabla2[[#This Row],[Liquidez]]+Tabla2[[#This Row],[Liquidez]]/(Tabla2[[#This Row],[Activos]]+Tabla2[[#This Row],[Liquidez]])+Tabla2[[#This Row],[Comunicación]])</f>
        <v>1.0331346867263718</v>
      </c>
      <c r="T915">
        <f ca="1">Tabla2[[#This Row],[Deuda actual]]*EXP(Tabla2[[#This Row],[Ki]]*Tabla2[[#This Row],[diferencia de días]])*(1+Tabla2[[#This Row],[Hg]])</f>
        <v>178.04620423989863</v>
      </c>
    </row>
    <row r="916" spans="1:20" ht="14.5" x14ac:dyDescent="0.35">
      <c r="A916">
        <f t="shared" ref="A916:A947" si="165">A915+1</f>
        <v>34</v>
      </c>
      <c r="B916" s="21">
        <f t="shared" ca="1" si="155"/>
        <v>46091</v>
      </c>
      <c r="C916" s="21">
        <f t="shared" ca="1" si="156"/>
        <v>46157</v>
      </c>
      <c r="D916">
        <f t="shared" ca="1" si="157"/>
        <v>15</v>
      </c>
      <c r="E916">
        <f t="shared" ca="1" si="158"/>
        <v>5.2421117378713689E-3</v>
      </c>
      <c r="F916" s="47">
        <f t="shared" ca="1" si="159"/>
        <v>2679.63</v>
      </c>
      <c r="G916" s="32" t="str">
        <f t="shared" ca="1" si="160"/>
        <v>hipotecario</v>
      </c>
      <c r="H91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916" t="str">
        <f t="shared" ca="1" si="161"/>
        <v>Sí</v>
      </c>
      <c r="J91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16" s="32">
        <f ca="1">IF(Tabla2[[#This Row],[¿cliente deuda abierta?]]="Sí", Tabla2[[#This Row],[Deuda actual]]*Tabla2[[#This Row],[diferencia de días]], "0")</f>
        <v>40194.450000000004</v>
      </c>
      <c r="L91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91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16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916">
        <f t="shared" ca="1" si="162"/>
        <v>1468.71</v>
      </c>
      <c r="P916">
        <f t="shared" ca="1" si="163"/>
        <v>182977.57</v>
      </c>
      <c r="Q916">
        <f t="shared" ca="1" si="164"/>
        <v>1</v>
      </c>
      <c r="R916">
        <f ca="1">((Tabla2[[#This Row],[Fantasma Comunicación]]+1)/(Tabla2[[#This Row],[Fantasma Comunicación]]+RANDBETWEEN(0,5)+2))-0.5</f>
        <v>0.16666666666666663</v>
      </c>
      <c r="S916" s="51">
        <f ca="1">1+MAX(0,Tabla2[[#This Row],[Deuda actual]]/Tabla2[[#This Row],[Liquidez]]+Tabla2[[#This Row],[Liquidez]]/(Tabla2[[#This Row],[Activos]]+Tabla2[[#This Row],[Liquidez]])+Tabla2[[#This Row],[Comunicación]])</f>
        <v>2.9991080970632211</v>
      </c>
      <c r="T916">
        <f ca="1">Tabla2[[#This Row],[Deuda actual]]*EXP(Tabla2[[#This Row],[Ki]]*Tabla2[[#This Row],[diferencia de días]])*(1+Tabla2[[#This Row],[Hg]])</f>
        <v>2965.33172094671</v>
      </c>
    </row>
    <row r="917" spans="1:20" ht="14.5" x14ac:dyDescent="0.35">
      <c r="A917">
        <f t="shared" si="165"/>
        <v>35</v>
      </c>
      <c r="B917" s="21">
        <f t="shared" ca="1" si="155"/>
        <v>46130</v>
      </c>
      <c r="C917" s="21">
        <f t="shared" ca="1" si="156"/>
        <v>46157</v>
      </c>
      <c r="D917">
        <f t="shared" ca="1" si="157"/>
        <v>13</v>
      </c>
      <c r="E917">
        <f t="shared" ca="1" si="158"/>
        <v>0.40831446548912242</v>
      </c>
      <c r="F917" s="47">
        <f t="shared" ca="1" si="159"/>
        <v>4210.01</v>
      </c>
      <c r="G917" s="32" t="str">
        <f t="shared" ca="1" si="160"/>
        <v>personal</v>
      </c>
      <c r="H91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17" t="str">
        <f t="shared" ca="1" si="161"/>
        <v>Sí</v>
      </c>
      <c r="J91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17" s="32">
        <f ca="1">IF(Tabla2[[#This Row],[¿cliente deuda abierta?]]="Sí", Tabla2[[#This Row],[Deuda actual]]*Tabla2[[#This Row],[diferencia de días]], "0")</f>
        <v>54730.130000000005</v>
      </c>
      <c r="L91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91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17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917">
        <f t="shared" ca="1" si="162"/>
        <v>1100.27</v>
      </c>
      <c r="P917">
        <f t="shared" ca="1" si="163"/>
        <v>264784.36</v>
      </c>
      <c r="Q917">
        <f t="shared" ca="1" si="164"/>
        <v>3</v>
      </c>
      <c r="R917">
        <f ca="1">((Tabla2[[#This Row],[Fantasma Comunicación]]+1)/(Tabla2[[#This Row],[Fantasma Comunicación]]+RANDBETWEEN(0,5)+2))-0.5</f>
        <v>0.30000000000000004</v>
      </c>
      <c r="S917" s="51">
        <f ca="1">1+MAX(0,Tabla2[[#This Row],[Deuda actual]]/Tabla2[[#This Row],[Liquidez]]+Tabla2[[#This Row],[Liquidez]]/(Tabla2[[#This Row],[Activos]]+Tabla2[[#This Row],[Liquidez]])+Tabla2[[#This Row],[Comunicación]])</f>
        <v>5.1304807731806061</v>
      </c>
      <c r="T917">
        <f ca="1">Tabla2[[#This Row],[Deuda actual]]*EXP(Tabla2[[#This Row],[Ki]]*Tabla2[[#This Row],[diferencia de días]])*(1+Tabla2[[#This Row],[Hg]])</f>
        <v>4643.067294991778</v>
      </c>
    </row>
    <row r="918" spans="1:20" ht="14.5" x14ac:dyDescent="0.35">
      <c r="A918">
        <f t="shared" si="165"/>
        <v>36</v>
      </c>
      <c r="B918" s="21">
        <f t="shared" ca="1" si="155"/>
        <v>46094</v>
      </c>
      <c r="C918" s="21">
        <f t="shared" ca="1" si="156"/>
        <v>46157</v>
      </c>
      <c r="D918">
        <f t="shared" ca="1" si="157"/>
        <v>1</v>
      </c>
      <c r="E918">
        <f t="shared" ca="1" si="158"/>
        <v>0.59569999486578473</v>
      </c>
      <c r="F918" s="47">
        <f t="shared" ca="1" si="159"/>
        <v>4921.79</v>
      </c>
      <c r="G918" s="32" t="str">
        <f t="shared" ca="1" si="160"/>
        <v>hipotecario</v>
      </c>
      <c r="H91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18" t="str">
        <f t="shared" ca="1" si="161"/>
        <v>Sí</v>
      </c>
      <c r="J91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18" s="32">
        <f ca="1">IF(Tabla2[[#This Row],[¿cliente deuda abierta?]]="Sí", Tabla2[[#This Row],[Deuda actual]]*Tabla2[[#This Row],[diferencia de días]], "0")</f>
        <v>4921.79</v>
      </c>
      <c r="L91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1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1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18">
        <f t="shared" ca="1" si="162"/>
        <v>1797.55</v>
      </c>
      <c r="P918">
        <f t="shared" ca="1" si="163"/>
        <v>177634.53</v>
      </c>
      <c r="Q918">
        <f t="shared" ca="1" si="164"/>
        <v>3</v>
      </c>
      <c r="R918">
        <f ca="1">((Tabla2[[#This Row],[Fantasma Comunicación]]+1)/(Tabla2[[#This Row],[Fantasma Comunicación]]+RANDBETWEEN(0,5)+2))-0.5</f>
        <v>0</v>
      </c>
      <c r="S918" s="51">
        <f ca="1">1+MAX(0,Tabla2[[#This Row],[Deuda actual]]/Tabla2[[#This Row],[Liquidez]]+Tabla2[[#This Row],[Liquidez]]/(Tabla2[[#This Row],[Activos]]+Tabla2[[#This Row],[Liquidez]])+Tabla2[[#This Row],[Comunicación]])</f>
        <v>3.7480725710635077</v>
      </c>
      <c r="T918">
        <f ca="1">Tabla2[[#This Row],[Deuda actual]]*EXP(Tabla2[[#This Row],[Ki]]*Tabla2[[#This Row],[diferencia de días]])*(1+Tabla2[[#This Row],[Hg]])</f>
        <v>5168.9131792644812</v>
      </c>
    </row>
    <row r="919" spans="1:20" ht="14.5" x14ac:dyDescent="0.35">
      <c r="A919">
        <f t="shared" si="165"/>
        <v>37</v>
      </c>
      <c r="B919" s="21">
        <f t="shared" ca="1" si="155"/>
        <v>46089</v>
      </c>
      <c r="C919" s="21">
        <f t="shared" ca="1" si="156"/>
        <v>46157</v>
      </c>
      <c r="D919">
        <f t="shared" ca="1" si="157"/>
        <v>2</v>
      </c>
      <c r="E919">
        <f t="shared" ca="1" si="158"/>
        <v>0.3283520696112282</v>
      </c>
      <c r="F919" s="47">
        <f t="shared" ca="1" si="159"/>
        <v>10000</v>
      </c>
      <c r="G919" s="32" t="str">
        <f t="shared" ca="1" si="160"/>
        <v>hipotecario</v>
      </c>
      <c r="H91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19" t="str">
        <f t="shared" ca="1" si="161"/>
        <v>No</v>
      </c>
      <c r="J91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165000.53783236086</v>
      </c>
      <c r="K919" s="32" t="str">
        <f ca="1">IF(Tabla2[[#This Row],[¿cliente deuda abierta?]]="Sí", Tabla2[[#This Row],[Deuda actual]]*Tabla2[[#This Row],[diferencia de días]], "0")</f>
        <v>0</v>
      </c>
      <c r="L91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1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91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919">
        <f t="shared" ca="1" si="162"/>
        <v>1727.22</v>
      </c>
      <c r="P919">
        <f t="shared" ca="1" si="163"/>
        <v>85674.37</v>
      </c>
      <c r="Q919">
        <f t="shared" ca="1" si="164"/>
        <v>0</v>
      </c>
      <c r="R919">
        <f ca="1">((Tabla2[[#This Row],[Fantasma Comunicación]]+1)/(Tabla2[[#This Row],[Fantasma Comunicación]]+RANDBETWEEN(0,5)+2))-0.5</f>
        <v>-0.25</v>
      </c>
      <c r="S919" s="51">
        <f ca="1">1+MAX(0,Tabla2[[#This Row],[Deuda actual]]/Tabla2[[#This Row],[Liquidez]]+Tabla2[[#This Row],[Liquidez]]/(Tabla2[[#This Row],[Activos]]+Tabla2[[#This Row],[Liquidez]])+Tabla2[[#This Row],[Comunicación]])</f>
        <v>6.5594123039579966</v>
      </c>
      <c r="T919">
        <f ca="1">Tabla2[[#This Row],[Deuda actual]]*EXP(Tabla2[[#This Row],[Ki]]*Tabla2[[#This Row],[diferencia de días]])*(1+Tabla2[[#This Row],[Hg]])</f>
        <v>8003.2006400853425</v>
      </c>
    </row>
    <row r="920" spans="1:20" ht="14.5" x14ac:dyDescent="0.35">
      <c r="A920">
        <f t="shared" si="165"/>
        <v>38</v>
      </c>
      <c r="B920" s="21">
        <f t="shared" ca="1" si="155"/>
        <v>46088</v>
      </c>
      <c r="C920" s="21">
        <f t="shared" ca="1" si="156"/>
        <v>46157</v>
      </c>
      <c r="D920">
        <f t="shared" ca="1" si="157"/>
        <v>17</v>
      </c>
      <c r="E920">
        <f t="shared" ca="1" si="158"/>
        <v>0.3397382513895667</v>
      </c>
      <c r="F920" s="47">
        <f t="shared" ca="1" si="159"/>
        <v>1018.54</v>
      </c>
      <c r="G920" s="32" t="str">
        <f t="shared" ca="1" si="160"/>
        <v>hipotecario</v>
      </c>
      <c r="H92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920" t="str">
        <f t="shared" ca="1" si="161"/>
        <v>Sí</v>
      </c>
      <c r="J92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20" s="32">
        <f ca="1">IF(Tabla2[[#This Row],[¿cliente deuda abierta?]]="Sí", Tabla2[[#This Row],[Deuda actual]]*Tabla2[[#This Row],[diferencia de días]], "0")</f>
        <v>17315.18</v>
      </c>
      <c r="L92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2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2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20">
        <f t="shared" ca="1" si="162"/>
        <v>1796.68</v>
      </c>
      <c r="P920">
        <f t="shared" ca="1" si="163"/>
        <v>63366.239999999998</v>
      </c>
      <c r="Q920">
        <f t="shared" ca="1" si="164"/>
        <v>1</v>
      </c>
      <c r="R920">
        <f ca="1">((Tabla2[[#This Row],[Fantasma Comunicación]]+1)/(Tabla2[[#This Row],[Fantasma Comunicación]]+RANDBETWEEN(0,5)+2))-0.5</f>
        <v>0</v>
      </c>
      <c r="S920" s="51">
        <f ca="1">1+MAX(0,Tabla2[[#This Row],[Deuda actual]]/Tabla2[[#This Row],[Liquidez]]+Tabla2[[#This Row],[Liquidez]]/(Tabla2[[#This Row],[Activos]]+Tabla2[[#This Row],[Liquidez]])+Tabla2[[#This Row],[Comunicación]])</f>
        <v>1.5944732955802912</v>
      </c>
      <c r="T920">
        <f ca="1">Tabla2[[#This Row],[Deuda actual]]*EXP(Tabla2[[#This Row],[Ki]]*Tabla2[[#This Row],[diferencia de días]])*(1+Tabla2[[#This Row],[Hg]])</f>
        <v>1076.7641578182224</v>
      </c>
    </row>
    <row r="921" spans="1:20" ht="14.5" x14ac:dyDescent="0.35">
      <c r="A921">
        <f t="shared" si="165"/>
        <v>39</v>
      </c>
      <c r="B921" s="21">
        <f t="shared" ca="1" si="155"/>
        <v>46084</v>
      </c>
      <c r="C921" s="21">
        <f t="shared" ca="1" si="156"/>
        <v>46157</v>
      </c>
      <c r="D921">
        <f t="shared" ca="1" si="157"/>
        <v>12</v>
      </c>
      <c r="E921">
        <f t="shared" ca="1" si="158"/>
        <v>0.38249790937968353</v>
      </c>
      <c r="F921" s="47">
        <f t="shared" ca="1" si="159"/>
        <v>1672.6</v>
      </c>
      <c r="G921" s="32" t="str">
        <f t="shared" ca="1" si="160"/>
        <v>personal</v>
      </c>
      <c r="H92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21" t="str">
        <f t="shared" ca="1" si="161"/>
        <v>No</v>
      </c>
      <c r="J92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12000.170925582548</v>
      </c>
      <c r="K921" s="32" t="str">
        <f ca="1">IF(Tabla2[[#This Row],[¿cliente deuda abierta?]]="Sí", Tabla2[[#This Row],[Deuda actual]]*Tabla2[[#This Row],[diferencia de días]], "0")</f>
        <v>0</v>
      </c>
      <c r="L92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2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92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921">
        <f t="shared" ca="1" si="162"/>
        <v>1649.58</v>
      </c>
      <c r="P921">
        <f t="shared" ca="1" si="163"/>
        <v>282303.73</v>
      </c>
      <c r="Q921">
        <f t="shared" ca="1" si="164"/>
        <v>1</v>
      </c>
      <c r="R921">
        <f ca="1">((Tabla2[[#This Row],[Fantasma Comunicación]]+1)/(Tabla2[[#This Row],[Fantasma Comunicación]]+RANDBETWEEN(0,5)+2))-0.5</f>
        <v>0</v>
      </c>
      <c r="S921" s="51">
        <f ca="1">1+MAX(0,Tabla2[[#This Row],[Deuda actual]]/Tabla2[[#This Row],[Liquidez]]+Tabla2[[#This Row],[Liquidez]]/(Tabla2[[#This Row],[Activos]]+Tabla2[[#This Row],[Liquidez]])+Tabla2[[#This Row],[Comunicación]])</f>
        <v>2.0197644026950803</v>
      </c>
      <c r="T921">
        <f ca="1">Tabla2[[#This Row],[Deuda actual]]*EXP(Tabla2[[#This Row],[Ki]]*Tabla2[[#This Row],[diferencia de días]])*(1+Tabla2[[#This Row],[Hg]])</f>
        <v>1508.9571548495851</v>
      </c>
    </row>
    <row r="922" spans="1:20" ht="14.5" x14ac:dyDescent="0.35">
      <c r="A922">
        <f t="shared" si="165"/>
        <v>40</v>
      </c>
      <c r="B922" s="21">
        <f t="shared" ca="1" si="155"/>
        <v>46136</v>
      </c>
      <c r="C922" s="21">
        <f t="shared" ca="1" si="156"/>
        <v>46157</v>
      </c>
      <c r="D922">
        <f t="shared" ca="1" si="157"/>
        <v>5</v>
      </c>
      <c r="E922">
        <f t="shared" ca="1" si="158"/>
        <v>0.15966744831902246</v>
      </c>
      <c r="F922" s="47">
        <f t="shared" ca="1" si="159"/>
        <v>1025.27</v>
      </c>
      <c r="G922" s="32" t="str">
        <f t="shared" ca="1" si="160"/>
        <v>hipotecario</v>
      </c>
      <c r="H92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22" t="str">
        <f t="shared" ca="1" si="161"/>
        <v>No</v>
      </c>
      <c r="J92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164998.60694025812</v>
      </c>
      <c r="K922" s="32" t="str">
        <f ca="1">IF(Tabla2[[#This Row],[¿cliente deuda abierta?]]="Sí", Tabla2[[#This Row],[Deuda actual]]*Tabla2[[#This Row],[diferencia de días]], "0")</f>
        <v>0</v>
      </c>
      <c r="L92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2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92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922">
        <f t="shared" ca="1" si="162"/>
        <v>1203.25</v>
      </c>
      <c r="P922">
        <f t="shared" ca="1" si="163"/>
        <v>47143.54</v>
      </c>
      <c r="Q922">
        <f t="shared" ca="1" si="164"/>
        <v>0</v>
      </c>
      <c r="R922">
        <f ca="1">((Tabla2[[#This Row],[Fantasma Comunicación]]+1)/(Tabla2[[#This Row],[Fantasma Comunicación]]+RANDBETWEEN(0,5)+2))-0.5</f>
        <v>-0.33333333333333337</v>
      </c>
      <c r="S922" s="51">
        <f ca="1">1+MAX(0,Tabla2[[#This Row],[Deuda actual]]/Tabla2[[#This Row],[Liquidez]]+Tabla2[[#This Row],[Liquidez]]/(Tabla2[[#This Row],[Activos]]+Tabla2[[#This Row],[Liquidez]])+Tabla2[[#This Row],[Comunicación]])</f>
        <v>1.5436385044496417</v>
      </c>
      <c r="T922">
        <f ca="1">Tabla2[[#This Row],[Deuda actual]]*EXP(Tabla2[[#This Row],[Ki]]*Tabla2[[#This Row],[diferencia de días]])*(1+Tabla2[[#This Row],[Hg]])</f>
        <v>821.03662624473691</v>
      </c>
    </row>
    <row r="923" spans="1:20" ht="14.5" x14ac:dyDescent="0.35">
      <c r="A923">
        <f t="shared" si="165"/>
        <v>41</v>
      </c>
      <c r="B923" s="21">
        <f t="shared" ca="1" si="155"/>
        <v>46129</v>
      </c>
      <c r="C923" s="21">
        <f t="shared" ca="1" si="156"/>
        <v>46157</v>
      </c>
      <c r="D923">
        <f t="shared" ca="1" si="157"/>
        <v>18</v>
      </c>
      <c r="E923">
        <f t="shared" ca="1" si="158"/>
        <v>0.97471723331662563</v>
      </c>
      <c r="F923" s="47">
        <f t="shared" ca="1" si="159"/>
        <v>54.92</v>
      </c>
      <c r="G923" s="32" t="str">
        <f t="shared" ca="1" si="160"/>
        <v>personal</v>
      </c>
      <c r="H92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923" t="str">
        <f t="shared" ca="1" si="161"/>
        <v>Sí</v>
      </c>
      <c r="J92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23" s="32">
        <f ca="1">IF(Tabla2[[#This Row],[¿cliente deuda abierta?]]="Sí", Tabla2[[#This Row],[Deuda actual]]*Tabla2[[#This Row],[diferencia de días]], "0")</f>
        <v>988.56000000000006</v>
      </c>
      <c r="L92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2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2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23">
        <f t="shared" ca="1" si="162"/>
        <v>1728.93</v>
      </c>
      <c r="P923">
        <f t="shared" ca="1" si="163"/>
        <v>113733.42</v>
      </c>
      <c r="Q923">
        <f t="shared" ca="1" si="164"/>
        <v>5</v>
      </c>
      <c r="R923">
        <f ca="1">((Tabla2[[#This Row],[Fantasma Comunicación]]+1)/(Tabla2[[#This Row],[Fantasma Comunicación]]+RANDBETWEEN(0,5)+2))-0.5</f>
        <v>9.9999999999999978E-2</v>
      </c>
      <c r="S923" s="51">
        <f ca="1">1+MAX(0,Tabla2[[#This Row],[Deuda actual]]/Tabla2[[#This Row],[Liquidez]]+Tabla2[[#This Row],[Liquidez]]/(Tabla2[[#This Row],[Activos]]+Tabla2[[#This Row],[Liquidez]])+Tabla2[[#This Row],[Comunicación]])</f>
        <v>1.1467392835282757</v>
      </c>
      <c r="T923">
        <f ca="1">Tabla2[[#This Row],[Deuda actual]]*EXP(Tabla2[[#This Row],[Ki]]*Tabla2[[#This Row],[diferencia de días]])*(1+Tabla2[[#This Row],[Hg]])</f>
        <v>58.082693496472963</v>
      </c>
    </row>
    <row r="924" spans="1:20" ht="14.5" x14ac:dyDescent="0.35">
      <c r="A924">
        <f t="shared" si="165"/>
        <v>42</v>
      </c>
      <c r="B924" s="21">
        <f t="shared" ca="1" si="155"/>
        <v>46136</v>
      </c>
      <c r="C924" s="21">
        <f t="shared" ca="1" si="156"/>
        <v>46157</v>
      </c>
      <c r="D924">
        <f t="shared" ca="1" si="157"/>
        <v>0</v>
      </c>
      <c r="E924">
        <f t="shared" ca="1" si="158"/>
        <v>0.5619229077481146</v>
      </c>
      <c r="F924" s="47">
        <f t="shared" ca="1" si="159"/>
        <v>573.54</v>
      </c>
      <c r="G924" s="32" t="str">
        <f t="shared" ca="1" si="160"/>
        <v>hipotecario</v>
      </c>
      <c r="H92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24" t="str">
        <f t="shared" ca="1" si="161"/>
        <v>Sí</v>
      </c>
      <c r="J92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24" s="32">
        <f ca="1">IF(Tabla2[[#This Row],[¿cliente deuda abierta?]]="Sí", Tabla2[[#This Row],[Deuda actual]]*Tabla2[[#This Row],[diferencia de días]], "0")</f>
        <v>0</v>
      </c>
      <c r="L92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2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24" s="32">
        <f ca="1">MAX(Tabla2[[#This Row],[VALORES DE Hg para actuales deudores]:[Valores de HG para deudores cerrados]])*IF(Tabla2[[#This Row],[VALORES DE Hg para actuales deudores]]&gt;Tabla2[[#This Row],[Valores de HG para deudores cerrados]],-1,1)</f>
        <v>0</v>
      </c>
      <c r="O924">
        <f t="shared" ca="1" si="162"/>
        <v>1695.19</v>
      </c>
      <c r="P924">
        <f t="shared" ca="1" si="163"/>
        <v>141579.21</v>
      </c>
      <c r="Q924">
        <f t="shared" ca="1" si="164"/>
        <v>1</v>
      </c>
      <c r="R924">
        <f ca="1">((Tabla2[[#This Row],[Fantasma Comunicación]]+1)/(Tabla2[[#This Row],[Fantasma Comunicación]]+RANDBETWEEN(0,5)+2))-0.5</f>
        <v>0.16666666666666663</v>
      </c>
      <c r="S924" s="51">
        <f ca="1">1+MAX(0,Tabla2[[#This Row],[Deuda actual]]/Tabla2[[#This Row],[Liquidez]]+Tabla2[[#This Row],[Liquidez]]/(Tabla2[[#This Row],[Activos]]+Tabla2[[#This Row],[Liquidez]])+Tabla2[[#This Row],[Comunicación]])</f>
        <v>1.5168321945258434</v>
      </c>
      <c r="T924">
        <f ca="1">Tabla2[[#This Row],[Deuda actual]]*EXP(Tabla2[[#This Row],[Ki]]*Tabla2[[#This Row],[diferencia de días]])*(1+Tabla2[[#This Row],[Hg]])</f>
        <v>573.54</v>
      </c>
    </row>
    <row r="925" spans="1:20" ht="14.5" x14ac:dyDescent="0.35">
      <c r="A925">
        <f t="shared" si="165"/>
        <v>43</v>
      </c>
      <c r="B925" s="21">
        <f t="shared" ca="1" si="155"/>
        <v>46101</v>
      </c>
      <c r="C925" s="21">
        <f t="shared" ca="1" si="156"/>
        <v>46157</v>
      </c>
      <c r="D925">
        <f t="shared" ca="1" si="157"/>
        <v>41</v>
      </c>
      <c r="E925">
        <f t="shared" ca="1" si="158"/>
        <v>0.73061224517844525</v>
      </c>
      <c r="F925" s="47">
        <f t="shared" ca="1" si="159"/>
        <v>2759.17</v>
      </c>
      <c r="G925" s="32" t="str">
        <f t="shared" ca="1" si="160"/>
        <v>hipotecario</v>
      </c>
      <c r="H92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925" t="str">
        <f t="shared" ca="1" si="161"/>
        <v>Sí</v>
      </c>
      <c r="J92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25" s="32">
        <f ca="1">IF(Tabla2[[#This Row],[¿cliente deuda abierta?]]="Sí", Tabla2[[#This Row],[Deuda actual]]*Tabla2[[#This Row],[diferencia de días]], "0")</f>
        <v>113125.97</v>
      </c>
      <c r="L92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92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25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925">
        <f t="shared" ca="1" si="162"/>
        <v>1323.69</v>
      </c>
      <c r="P925">
        <f t="shared" ca="1" si="163"/>
        <v>118331.7</v>
      </c>
      <c r="Q925">
        <f t="shared" ca="1" si="164"/>
        <v>2</v>
      </c>
      <c r="R925">
        <f ca="1">((Tabla2[[#This Row],[Fantasma Comunicación]]+1)/(Tabla2[[#This Row],[Fantasma Comunicación]]+RANDBETWEEN(0,5)+2))-0.5</f>
        <v>0.25</v>
      </c>
      <c r="S925" s="51">
        <f ca="1">1+MAX(0,Tabla2[[#This Row],[Deuda actual]]/Tabla2[[#This Row],[Liquidez]]+Tabla2[[#This Row],[Liquidez]]/(Tabla2[[#This Row],[Activos]]+Tabla2[[#This Row],[Liquidez]])+Tabla2[[#This Row],[Comunicación]])</f>
        <v>3.3455158273424481</v>
      </c>
      <c r="T925">
        <f ca="1">Tabla2[[#This Row],[Deuda actual]]*EXP(Tabla2[[#This Row],[Ki]]*Tabla2[[#This Row],[diferencia de días]])*(1+Tabla2[[#This Row],[Hg]])</f>
        <v>3305.8441351666083</v>
      </c>
    </row>
    <row r="926" spans="1:20" ht="14.5" x14ac:dyDescent="0.35">
      <c r="A926">
        <f t="shared" si="165"/>
        <v>44</v>
      </c>
      <c r="B926" s="21">
        <f t="shared" ca="1" si="155"/>
        <v>46088</v>
      </c>
      <c r="C926" s="21">
        <f t="shared" ca="1" si="156"/>
        <v>46157</v>
      </c>
      <c r="D926">
        <f t="shared" ca="1" si="157"/>
        <v>35</v>
      </c>
      <c r="E926">
        <f t="shared" ca="1" si="158"/>
        <v>0.31888242292950575</v>
      </c>
      <c r="F926" s="47">
        <f t="shared" ca="1" si="159"/>
        <v>294.27</v>
      </c>
      <c r="G926" s="32" t="str">
        <f t="shared" ca="1" si="160"/>
        <v>personal</v>
      </c>
      <c r="H92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926" t="str">
        <f t="shared" ca="1" si="161"/>
        <v>Sí</v>
      </c>
      <c r="J92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26" s="32">
        <f ca="1">IF(Tabla2[[#This Row],[¿cliente deuda abierta?]]="Sí", Tabla2[[#This Row],[Deuda actual]]*Tabla2[[#This Row],[diferencia de días]], "0")</f>
        <v>10299.449999999999</v>
      </c>
      <c r="L92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2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2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26">
        <f t="shared" ca="1" si="162"/>
        <v>1208.5899999999999</v>
      </c>
      <c r="P926">
        <f t="shared" ca="1" si="163"/>
        <v>386328.96</v>
      </c>
      <c r="Q926">
        <f t="shared" ca="1" si="164"/>
        <v>3</v>
      </c>
      <c r="R926">
        <f ca="1">((Tabla2[[#This Row],[Fantasma Comunicación]]+1)/(Tabla2[[#This Row],[Fantasma Comunicación]]+RANDBETWEEN(0,5)+2))-0.5</f>
        <v>0.16666666666666663</v>
      </c>
      <c r="S926" s="51">
        <f ca="1">1+MAX(0,Tabla2[[#This Row],[Deuda actual]]/Tabla2[[#This Row],[Liquidez]]+Tabla2[[#This Row],[Liquidez]]/(Tabla2[[#This Row],[Activos]]+Tabla2[[#This Row],[Liquidez]])+Tabla2[[#This Row],[Comunicación]])</f>
        <v>1.4132673805484255</v>
      </c>
      <c r="T926">
        <f ca="1">Tabla2[[#This Row],[Deuda actual]]*EXP(Tabla2[[#This Row],[Ki]]*Tabla2[[#This Row],[diferencia de días]])*(1+Tabla2[[#This Row],[Hg]])</f>
        <v>319.98940229388842</v>
      </c>
    </row>
    <row r="927" spans="1:20" ht="14.5" x14ac:dyDescent="0.35">
      <c r="A927">
        <f t="shared" si="165"/>
        <v>45</v>
      </c>
      <c r="B927" s="21">
        <f t="shared" ca="1" si="155"/>
        <v>46128</v>
      </c>
      <c r="C927" s="21">
        <f t="shared" ca="1" si="156"/>
        <v>46157</v>
      </c>
      <c r="D927">
        <f t="shared" ca="1" si="157"/>
        <v>0</v>
      </c>
      <c r="E927">
        <f t="shared" ca="1" si="158"/>
        <v>0.63463705589779174</v>
      </c>
      <c r="F927" s="47">
        <f t="shared" ca="1" si="159"/>
        <v>1522.68</v>
      </c>
      <c r="G927" s="32" t="str">
        <f t="shared" ca="1" si="160"/>
        <v>personal</v>
      </c>
      <c r="H92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27" t="str">
        <f t="shared" ca="1" si="161"/>
        <v>Sí</v>
      </c>
      <c r="J92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27" s="32">
        <f ca="1">IF(Tabla2[[#This Row],[¿cliente deuda abierta?]]="Sí", Tabla2[[#This Row],[Deuda actual]]*Tabla2[[#This Row],[diferencia de días]], "0")</f>
        <v>0</v>
      </c>
      <c r="L92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2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27" s="32">
        <f ca="1">MAX(Tabla2[[#This Row],[VALORES DE Hg para actuales deudores]:[Valores de HG para deudores cerrados]])*IF(Tabla2[[#This Row],[VALORES DE Hg para actuales deudores]]&gt;Tabla2[[#This Row],[Valores de HG para deudores cerrados]],-1,1)</f>
        <v>0</v>
      </c>
      <c r="O927">
        <f t="shared" ca="1" si="162"/>
        <v>2094.88</v>
      </c>
      <c r="P927">
        <f t="shared" ca="1" si="163"/>
        <v>47290.78</v>
      </c>
      <c r="Q927">
        <f t="shared" ca="1" si="164"/>
        <v>4</v>
      </c>
      <c r="R927">
        <f ca="1">((Tabla2[[#This Row],[Fantasma Comunicación]]+1)/(Tabla2[[#This Row],[Fantasma Comunicación]]+RANDBETWEEN(0,5)+2))-0.5</f>
        <v>0.33333333333333337</v>
      </c>
      <c r="S927" s="51">
        <f ca="1">1+MAX(0,Tabla2[[#This Row],[Deuda actual]]/Tabla2[[#This Row],[Liquidez]]+Tabla2[[#This Row],[Liquidez]]/(Tabla2[[#This Row],[Activos]]+Tabla2[[#This Row],[Liquidez]])+Tabla2[[#This Row],[Comunicación]])</f>
        <v>2.1026099875173143</v>
      </c>
      <c r="T927">
        <f ca="1">Tabla2[[#This Row],[Deuda actual]]*EXP(Tabla2[[#This Row],[Ki]]*Tabla2[[#This Row],[diferencia de días]])*(1+Tabla2[[#This Row],[Hg]])</f>
        <v>1522.68</v>
      </c>
    </row>
    <row r="928" spans="1:20" ht="14.5" x14ac:dyDescent="0.35">
      <c r="A928">
        <f t="shared" si="165"/>
        <v>46</v>
      </c>
      <c r="B928" s="21">
        <f t="shared" ca="1" si="155"/>
        <v>46091</v>
      </c>
      <c r="C928" s="21">
        <f t="shared" ca="1" si="156"/>
        <v>46157</v>
      </c>
      <c r="D928">
        <f t="shared" ca="1" si="157"/>
        <v>16</v>
      </c>
      <c r="E928">
        <f t="shared" ca="1" si="158"/>
        <v>0.16222606412950369</v>
      </c>
      <c r="F928" s="47">
        <f t="shared" ca="1" si="159"/>
        <v>1857.15</v>
      </c>
      <c r="G928" s="32" t="str">
        <f t="shared" ca="1" si="160"/>
        <v>hipotecario</v>
      </c>
      <c r="H92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928" t="str">
        <f t="shared" ca="1" si="161"/>
        <v>Sí</v>
      </c>
      <c r="J92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28" s="32">
        <f ca="1">IF(Tabla2[[#This Row],[¿cliente deuda abierta?]]="Sí", Tabla2[[#This Row],[Deuda actual]]*Tabla2[[#This Row],[diferencia de días]], "0")</f>
        <v>29714.400000000001</v>
      </c>
      <c r="L92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2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2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28">
        <f t="shared" ca="1" si="162"/>
        <v>1584.61</v>
      </c>
      <c r="P928">
        <f t="shared" ca="1" si="163"/>
        <v>123391.71</v>
      </c>
      <c r="Q928">
        <f t="shared" ca="1" si="164"/>
        <v>1</v>
      </c>
      <c r="R928">
        <f ca="1">((Tabla2[[#This Row],[Fantasma Comunicación]]+1)/(Tabla2[[#This Row],[Fantasma Comunicación]]+RANDBETWEEN(0,5)+2))-0.5</f>
        <v>-9.9999999999999978E-2</v>
      </c>
      <c r="S928" s="51">
        <f ca="1">1+MAX(0,Tabla2[[#This Row],[Deuda actual]]/Tabla2[[#This Row],[Liquidez]]+Tabla2[[#This Row],[Liquidez]]/(Tabla2[[#This Row],[Activos]]+Tabla2[[#This Row],[Liquidez]])+Tabla2[[#This Row],[Comunicación]])</f>
        <v>2.0846711285374111</v>
      </c>
      <c r="T928">
        <f ca="1">Tabla2[[#This Row],[Deuda actual]]*EXP(Tabla2[[#This Row],[Ki]]*Tabla2[[#This Row],[diferencia de días]])*(1+Tabla2[[#This Row],[Hg]])</f>
        <v>1962.5275694872182</v>
      </c>
    </row>
    <row r="929" spans="1:20" ht="14.5" x14ac:dyDescent="0.35">
      <c r="A929">
        <f t="shared" si="165"/>
        <v>47</v>
      </c>
      <c r="B929" s="21">
        <f t="shared" ca="1" si="155"/>
        <v>46109</v>
      </c>
      <c r="C929" s="21">
        <f t="shared" ca="1" si="156"/>
        <v>46157</v>
      </c>
      <c r="D929">
        <f t="shared" ca="1" si="157"/>
        <v>2</v>
      </c>
      <c r="E929">
        <f t="shared" ca="1" si="158"/>
        <v>0.74738912703534111</v>
      </c>
      <c r="F929" s="47">
        <f t="shared" ca="1" si="159"/>
        <v>386.87</v>
      </c>
      <c r="G929" s="32" t="str">
        <f t="shared" ca="1" si="160"/>
        <v>personal</v>
      </c>
      <c r="H92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29" t="str">
        <f t="shared" ca="1" si="161"/>
        <v>Sí</v>
      </c>
      <c r="J92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29" s="32">
        <f ca="1">IF(Tabla2[[#This Row],[¿cliente deuda abierta?]]="Sí", Tabla2[[#This Row],[Deuda actual]]*Tabla2[[#This Row],[diferencia de días]], "0")</f>
        <v>773.74</v>
      </c>
      <c r="L92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2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2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29">
        <f t="shared" ca="1" si="162"/>
        <v>2238.73</v>
      </c>
      <c r="P929">
        <f t="shared" ca="1" si="163"/>
        <v>298603.94</v>
      </c>
      <c r="Q929">
        <f t="shared" ca="1" si="164"/>
        <v>5</v>
      </c>
      <c r="R929">
        <f ca="1">((Tabla2[[#This Row],[Fantasma Comunicación]]+1)/(Tabla2[[#This Row],[Fantasma Comunicación]]+RANDBETWEEN(0,5)+2))-0.5</f>
        <v>0</v>
      </c>
      <c r="S929" s="51">
        <f ca="1">1+MAX(0,Tabla2[[#This Row],[Deuda actual]]/Tabla2[[#This Row],[Liquidez]]+Tabla2[[#This Row],[Liquidez]]/(Tabla2[[#This Row],[Activos]]+Tabla2[[#This Row],[Liquidez]])+Tabla2[[#This Row],[Comunicación]])</f>
        <v>1.1802493280953412</v>
      </c>
      <c r="T929">
        <f ca="1">Tabla2[[#This Row],[Deuda actual]]*EXP(Tabla2[[#This Row],[Ki]]*Tabla2[[#This Row],[diferencia de días]])*(1+Tabla2[[#This Row],[Hg]])</f>
        <v>406.37601790141349</v>
      </c>
    </row>
    <row r="930" spans="1:20" ht="14.5" x14ac:dyDescent="0.35">
      <c r="A930">
        <f t="shared" si="165"/>
        <v>48</v>
      </c>
      <c r="B930" s="21">
        <f t="shared" ca="1" si="155"/>
        <v>46114</v>
      </c>
      <c r="C930" s="21">
        <f t="shared" ca="1" si="156"/>
        <v>46157</v>
      </c>
      <c r="D930">
        <f t="shared" ca="1" si="157"/>
        <v>3</v>
      </c>
      <c r="E930">
        <f t="shared" ca="1" si="158"/>
        <v>0.94841229125462645</v>
      </c>
      <c r="F930" s="47">
        <f t="shared" ca="1" si="159"/>
        <v>116.07</v>
      </c>
      <c r="G930" s="32" t="str">
        <f t="shared" ca="1" si="160"/>
        <v>personal</v>
      </c>
      <c r="H93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30" t="str">
        <f t="shared" ca="1" si="161"/>
        <v>Sí</v>
      </c>
      <c r="J93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30" s="32">
        <f ca="1">IF(Tabla2[[#This Row],[¿cliente deuda abierta?]]="Sí", Tabla2[[#This Row],[Deuda actual]]*Tabla2[[#This Row],[diferencia de días]], "0")</f>
        <v>348.21</v>
      </c>
      <c r="L93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3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3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30">
        <f t="shared" ca="1" si="162"/>
        <v>1300.1300000000001</v>
      </c>
      <c r="P930">
        <f t="shared" ca="1" si="163"/>
        <v>196730.28</v>
      </c>
      <c r="Q930">
        <f t="shared" ca="1" si="164"/>
        <v>0</v>
      </c>
      <c r="R930">
        <f ca="1">((Tabla2[[#This Row],[Fantasma Comunicación]]+1)/(Tabla2[[#This Row],[Fantasma Comunicación]]+RANDBETWEEN(0,5)+2))-0.5</f>
        <v>-0.35714285714285715</v>
      </c>
      <c r="S930" s="51">
        <f ca="1">1+MAX(0,Tabla2[[#This Row],[Deuda actual]]/Tabla2[[#This Row],[Liquidez]]+Tabla2[[#This Row],[Liquidez]]/(Tabla2[[#This Row],[Activos]]+Tabla2[[#This Row],[Liquidez]])+Tabla2[[#This Row],[Comunicación]])</f>
        <v>1</v>
      </c>
      <c r="T930">
        <f ca="1">Tabla2[[#This Row],[Deuda actual]]*EXP(Tabla2[[#This Row],[Ki]]*Tabla2[[#This Row],[diferencia de días]])*(1+Tabla2[[#This Row],[Hg]])</f>
        <v>121.94664604161811</v>
      </c>
    </row>
    <row r="931" spans="1:20" ht="14.5" x14ac:dyDescent="0.35">
      <c r="A931">
        <f t="shared" si="165"/>
        <v>49</v>
      </c>
      <c r="B931" s="21">
        <f t="shared" ca="1" si="155"/>
        <v>46143</v>
      </c>
      <c r="C931" s="21">
        <f t="shared" ca="1" si="156"/>
        <v>46157</v>
      </c>
      <c r="D931">
        <f t="shared" ca="1" si="157"/>
        <v>10</v>
      </c>
      <c r="E931">
        <f t="shared" ca="1" si="158"/>
        <v>0.88840719801982437</v>
      </c>
      <c r="F931" s="47">
        <f t="shared" ca="1" si="159"/>
        <v>194.44</v>
      </c>
      <c r="G931" s="32" t="str">
        <f t="shared" ca="1" si="160"/>
        <v>hipotecario</v>
      </c>
      <c r="H93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31" t="str">
        <f t="shared" ca="1" si="161"/>
        <v>No</v>
      </c>
      <c r="J93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164998.5562311087</v>
      </c>
      <c r="K931" s="32" t="str">
        <f ca="1">IF(Tabla2[[#This Row],[¿cliente deuda abierta?]]="Sí", Tabla2[[#This Row],[Deuda actual]]*Tabla2[[#This Row],[diferencia de días]], "0")</f>
        <v>0</v>
      </c>
      <c r="L93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3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93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931">
        <f t="shared" ca="1" si="162"/>
        <v>1536.84</v>
      </c>
      <c r="P931">
        <f t="shared" ca="1" si="163"/>
        <v>308573.49</v>
      </c>
      <c r="Q931">
        <f t="shared" ca="1" si="164"/>
        <v>3</v>
      </c>
      <c r="R931">
        <f ca="1">((Tabla2[[#This Row],[Fantasma Comunicación]]+1)/(Tabla2[[#This Row],[Fantasma Comunicación]]+RANDBETWEEN(0,5)+2))-0.5</f>
        <v>7.1428571428571397E-2</v>
      </c>
      <c r="S931" s="51">
        <f ca="1">1+MAX(0,Tabla2[[#This Row],[Deuda actual]]/Tabla2[[#This Row],[Liquidez]]+Tabla2[[#This Row],[Liquidez]]/(Tabla2[[#This Row],[Activos]]+Tabla2[[#This Row],[Liquidez]])+Tabla2[[#This Row],[Comunicación]])</f>
        <v>1.2029037074323119</v>
      </c>
      <c r="T931">
        <f ca="1">Tabla2[[#This Row],[Deuda actual]]*EXP(Tabla2[[#This Row],[Ki]]*Tabla2[[#This Row],[diferencia de días]])*(1+Tabla2[[#This Row],[Hg]])</f>
        <v>155.86341531150643</v>
      </c>
    </row>
    <row r="932" spans="1:20" ht="14.5" x14ac:dyDescent="0.35">
      <c r="A932">
        <f t="shared" si="165"/>
        <v>50</v>
      </c>
      <c r="B932" s="21">
        <f t="shared" ca="1" si="155"/>
        <v>46141</v>
      </c>
      <c r="C932" s="21">
        <f t="shared" ca="1" si="156"/>
        <v>46157</v>
      </c>
      <c r="D932">
        <f t="shared" ca="1" si="157"/>
        <v>1</v>
      </c>
      <c r="E932">
        <f t="shared" ca="1" si="158"/>
        <v>0.40015045518710957</v>
      </c>
      <c r="F932" s="47">
        <f t="shared" ca="1" si="159"/>
        <v>271.43</v>
      </c>
      <c r="G932" s="32" t="str">
        <f t="shared" ca="1" si="160"/>
        <v>personal</v>
      </c>
      <c r="H93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32" t="str">
        <f t="shared" ca="1" si="161"/>
        <v>No</v>
      </c>
      <c r="J932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11998.748098773794</v>
      </c>
      <c r="K932" s="32" t="str">
        <f ca="1">IF(Tabla2[[#This Row],[¿cliente deuda abierta?]]="Sí", Tabla2[[#This Row],[Deuda actual]]*Tabla2[[#This Row],[diferencia de días]], "0")</f>
        <v>0</v>
      </c>
      <c r="L932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32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932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932">
        <f t="shared" ca="1" si="162"/>
        <v>1435.79</v>
      </c>
      <c r="P932">
        <f t="shared" ca="1" si="163"/>
        <v>61686.94</v>
      </c>
      <c r="Q932">
        <f t="shared" ca="1" si="164"/>
        <v>4</v>
      </c>
      <c r="R932">
        <f ca="1">((Tabla2[[#This Row],[Fantasma Comunicación]]+1)/(Tabla2[[#This Row],[Fantasma Comunicación]]+RANDBETWEEN(0,5)+2))-0.5</f>
        <v>0.33333333333333337</v>
      </c>
      <c r="S932" s="51">
        <f ca="1">1+MAX(0,Tabla2[[#This Row],[Deuda actual]]/Tabla2[[#This Row],[Liquidez]]+Tabla2[[#This Row],[Liquidez]]/(Tabla2[[#This Row],[Activos]]+Tabla2[[#This Row],[Liquidez]])+Tabla2[[#This Row],[Comunicación]])</f>
        <v>1.5451250912236054</v>
      </c>
      <c r="T932">
        <f ca="1">Tabla2[[#This Row],[Deuda actual]]*EXP(Tabla2[[#This Row],[Ki]]*Tabla2[[#This Row],[diferencia de días]])*(1+Tabla2[[#This Row],[Hg]])</f>
        <v>244.33586228606578</v>
      </c>
    </row>
    <row r="933" spans="1:20" ht="14.5" x14ac:dyDescent="0.35">
      <c r="A933">
        <f t="shared" si="165"/>
        <v>51</v>
      </c>
      <c r="B933" s="21">
        <f t="shared" ca="1" si="155"/>
        <v>46124</v>
      </c>
      <c r="C933" s="21">
        <f t="shared" ca="1" si="156"/>
        <v>46157</v>
      </c>
      <c r="D933">
        <f t="shared" ca="1" si="157"/>
        <v>19</v>
      </c>
      <c r="E933">
        <f t="shared" ca="1" si="158"/>
        <v>0.26948062674182582</v>
      </c>
      <c r="F933" s="47">
        <f t="shared" ca="1" si="159"/>
        <v>2217.75</v>
      </c>
      <c r="G933" s="32" t="str">
        <f t="shared" ca="1" si="160"/>
        <v>hipotecario</v>
      </c>
      <c r="H93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933" t="str">
        <f t="shared" ca="1" si="161"/>
        <v>Sí</v>
      </c>
      <c r="J93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33" s="32">
        <f ca="1">IF(Tabla2[[#This Row],[¿cliente deuda abierta?]]="Sí", Tabla2[[#This Row],[Deuda actual]]*Tabla2[[#This Row],[diferencia de días]], "0")</f>
        <v>42137.25</v>
      </c>
      <c r="L93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93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33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933">
        <f t="shared" ca="1" si="162"/>
        <v>1855.77</v>
      </c>
      <c r="P933">
        <f t="shared" ca="1" si="163"/>
        <v>119409.69</v>
      </c>
      <c r="Q933">
        <f t="shared" ca="1" si="164"/>
        <v>0</v>
      </c>
      <c r="R933">
        <f ca="1">((Tabla2[[#This Row],[Fantasma Comunicación]]+1)/(Tabla2[[#This Row],[Fantasma Comunicación]]+RANDBETWEEN(0,5)+2))-0.5</f>
        <v>-0.25</v>
      </c>
      <c r="S933" s="51">
        <f ca="1">1+MAX(0,Tabla2[[#This Row],[Deuda actual]]/Tabla2[[#This Row],[Liquidez]]+Tabla2[[#This Row],[Liquidez]]/(Tabla2[[#This Row],[Activos]]+Tabla2[[#This Row],[Liquidez]])+Tabla2[[#This Row],[Comunicación]])</f>
        <v>1.9603598677877294</v>
      </c>
      <c r="T933">
        <f ca="1">Tabla2[[#This Row],[Deuda actual]]*EXP(Tabla2[[#This Row],[Ki]]*Tabla2[[#This Row],[diferencia de días]])*(1+Tabla2[[#This Row],[Hg]])</f>
        <v>2458.1360223037868</v>
      </c>
    </row>
    <row r="934" spans="1:20" ht="14.5" x14ac:dyDescent="0.35">
      <c r="A934">
        <f t="shared" si="165"/>
        <v>52</v>
      </c>
      <c r="B934" s="21">
        <f t="shared" ca="1" si="155"/>
        <v>46086</v>
      </c>
      <c r="C934" s="21">
        <f t="shared" ca="1" si="156"/>
        <v>46157</v>
      </c>
      <c r="D934">
        <f t="shared" ca="1" si="157"/>
        <v>16</v>
      </c>
      <c r="E934">
        <f t="shared" ca="1" si="158"/>
        <v>0.66739963299828242</v>
      </c>
      <c r="F934" s="47">
        <f t="shared" ca="1" si="159"/>
        <v>1098.1500000000001</v>
      </c>
      <c r="G934" s="32" t="str">
        <f t="shared" ca="1" si="160"/>
        <v>personal</v>
      </c>
      <c r="H93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934" t="str">
        <f t="shared" ca="1" si="161"/>
        <v>No</v>
      </c>
      <c r="J93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12000.18333300827</v>
      </c>
      <c r="K934" s="32" t="str">
        <f ca="1">IF(Tabla2[[#This Row],[¿cliente deuda abierta?]]="Sí", Tabla2[[#This Row],[Deuda actual]]*Tabla2[[#This Row],[diferencia de días]], "0")</f>
        <v>0</v>
      </c>
      <c r="L93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3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93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934">
        <f t="shared" ca="1" si="162"/>
        <v>1378.63</v>
      </c>
      <c r="P934">
        <f t="shared" ca="1" si="163"/>
        <v>32561.73</v>
      </c>
      <c r="Q934">
        <f t="shared" ca="1" si="164"/>
        <v>2</v>
      </c>
      <c r="R934">
        <f ca="1">((Tabla2[[#This Row],[Fantasma Comunicación]]+1)/(Tabla2[[#This Row],[Fantasma Comunicación]]+RANDBETWEEN(0,5)+2))-0.5</f>
        <v>0.25</v>
      </c>
      <c r="S934" s="51">
        <f ca="1">1+MAX(0,Tabla2[[#This Row],[Deuda actual]]/Tabla2[[#This Row],[Liquidez]]+Tabla2[[#This Row],[Liquidez]]/(Tabla2[[#This Row],[Activos]]+Tabla2[[#This Row],[Liquidez]])+Tabla2[[#This Row],[Comunicación]])</f>
        <v>2.0871708411189176</v>
      </c>
      <c r="T934">
        <f ca="1">Tabla2[[#This Row],[Deuda actual]]*EXP(Tabla2[[#This Row],[Ki]]*Tabla2[[#This Row],[diferencia de días]])*(1+Tabla2[[#This Row],[Hg]])</f>
        <v>994.68062835099352</v>
      </c>
    </row>
    <row r="935" spans="1:20" ht="14.5" x14ac:dyDescent="0.35">
      <c r="A935">
        <f t="shared" si="165"/>
        <v>53</v>
      </c>
      <c r="B935" s="21">
        <f t="shared" ca="1" si="155"/>
        <v>46095</v>
      </c>
      <c r="C935" s="21">
        <f t="shared" ca="1" si="156"/>
        <v>46157</v>
      </c>
      <c r="D935">
        <f t="shared" ca="1" si="157"/>
        <v>3</v>
      </c>
      <c r="E935">
        <f t="shared" ca="1" si="158"/>
        <v>0.78628145855602882</v>
      </c>
      <c r="F935" s="47">
        <f t="shared" ca="1" si="159"/>
        <v>1278.6300000000001</v>
      </c>
      <c r="G935" s="32" t="str">
        <f t="shared" ca="1" si="160"/>
        <v>hipotecario</v>
      </c>
      <c r="H93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35" t="str">
        <f t="shared" ca="1" si="161"/>
        <v>No</v>
      </c>
      <c r="J93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164999.1197378962</v>
      </c>
      <c r="K935" s="32" t="str">
        <f ca="1">IF(Tabla2[[#This Row],[¿cliente deuda abierta?]]="Sí", Tabla2[[#This Row],[Deuda actual]]*Tabla2[[#This Row],[diferencia de días]], "0")</f>
        <v>0</v>
      </c>
      <c r="L93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3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93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935">
        <f t="shared" ca="1" si="162"/>
        <v>1368.4</v>
      </c>
      <c r="P935">
        <f t="shared" ca="1" si="163"/>
        <v>319139.37</v>
      </c>
      <c r="Q935">
        <f t="shared" ca="1" si="164"/>
        <v>2</v>
      </c>
      <c r="R935">
        <f ca="1">((Tabla2[[#This Row],[Fantasma Comunicación]]+1)/(Tabla2[[#This Row],[Fantasma Comunicación]]+RANDBETWEEN(0,5)+2))-0.5</f>
        <v>-0.125</v>
      </c>
      <c r="S935" s="51">
        <f ca="1">1+MAX(0,Tabla2[[#This Row],[Deuda actual]]/Tabla2[[#This Row],[Liquidez]]+Tabla2[[#This Row],[Liquidez]]/(Tabla2[[#This Row],[Activos]]+Tabla2[[#This Row],[Liquidez]])+Tabla2[[#This Row],[Comunicación]])</f>
        <v>1.8136673121664819</v>
      </c>
      <c r="T935">
        <f ca="1">Tabla2[[#This Row],[Deuda actual]]*EXP(Tabla2[[#This Row],[Ki]]*Tabla2[[#This Row],[diferencia de días]])*(1+Tabla2[[#This Row],[Hg]])</f>
        <v>1023.5179265595502</v>
      </c>
    </row>
    <row r="936" spans="1:20" ht="14.5" x14ac:dyDescent="0.35">
      <c r="A936">
        <f t="shared" si="165"/>
        <v>54</v>
      </c>
      <c r="B936" s="21">
        <f t="shared" ca="1" si="155"/>
        <v>46122</v>
      </c>
      <c r="C936" s="21">
        <f t="shared" ca="1" si="156"/>
        <v>46157</v>
      </c>
      <c r="D936">
        <f t="shared" ca="1" si="157"/>
        <v>3</v>
      </c>
      <c r="E936">
        <f t="shared" ca="1" si="158"/>
        <v>7.1479029792228754E-2</v>
      </c>
      <c r="F936" s="47">
        <f t="shared" ca="1" si="159"/>
        <v>384.13</v>
      </c>
      <c r="G936" s="32" t="str">
        <f t="shared" ca="1" si="160"/>
        <v>personal</v>
      </c>
      <c r="H93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36" t="str">
        <f t="shared" ca="1" si="161"/>
        <v>No</v>
      </c>
      <c r="J93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11999.681245561429</v>
      </c>
      <c r="K936" s="32" t="str">
        <f ca="1">IF(Tabla2[[#This Row],[¿cliente deuda abierta?]]="Sí", Tabla2[[#This Row],[Deuda actual]]*Tabla2[[#This Row],[diferencia de días]], "0")</f>
        <v>0</v>
      </c>
      <c r="L93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3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93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936">
        <f t="shared" ca="1" si="162"/>
        <v>2097.0300000000002</v>
      </c>
      <c r="P936">
        <f t="shared" ca="1" si="163"/>
        <v>144561.47</v>
      </c>
      <c r="Q936">
        <f t="shared" ca="1" si="164"/>
        <v>2</v>
      </c>
      <c r="R936">
        <f ca="1">((Tabla2[[#This Row],[Fantasma Comunicación]]+1)/(Tabla2[[#This Row],[Fantasma Comunicación]]+RANDBETWEEN(0,5)+2))-0.5</f>
        <v>-7.1428571428571452E-2</v>
      </c>
      <c r="S936" s="51">
        <f ca="1">1+MAX(0,Tabla2[[#This Row],[Deuda actual]]/Tabla2[[#This Row],[Liquidez]]+Tabla2[[#This Row],[Liquidez]]/(Tabla2[[#This Row],[Activos]]+Tabla2[[#This Row],[Liquidez]])+Tabla2[[#This Row],[Comunicación]])</f>
        <v>1.1260482703773598</v>
      </c>
      <c r="T936">
        <f ca="1">Tabla2[[#This Row],[Deuda actual]]*EXP(Tabla2[[#This Row],[Ki]]*Tabla2[[#This Row],[diferencia de días]])*(1+Tabla2[[#This Row],[Hg]])</f>
        <v>345.92449244150765</v>
      </c>
    </row>
    <row r="937" spans="1:20" ht="14.5" x14ac:dyDescent="0.35">
      <c r="A937">
        <f t="shared" si="165"/>
        <v>55</v>
      </c>
      <c r="B937" s="21">
        <f t="shared" ca="1" si="155"/>
        <v>46099</v>
      </c>
      <c r="C937" s="21">
        <f t="shared" ca="1" si="156"/>
        <v>46157</v>
      </c>
      <c r="D937">
        <f t="shared" ca="1" si="157"/>
        <v>11</v>
      </c>
      <c r="E937">
        <f t="shared" ca="1" si="158"/>
        <v>0.87563701276490435</v>
      </c>
      <c r="F937" s="47">
        <f t="shared" ca="1" si="159"/>
        <v>2981.6</v>
      </c>
      <c r="G937" s="32" t="str">
        <f t="shared" ca="1" si="160"/>
        <v>personal</v>
      </c>
      <c r="H93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37" t="str">
        <f t="shared" ca="1" si="161"/>
        <v>No</v>
      </c>
      <c r="J93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11998.762000547107</v>
      </c>
      <c r="K937" s="32" t="str">
        <f ca="1">IF(Tabla2[[#This Row],[¿cliente deuda abierta?]]="Sí", Tabla2[[#This Row],[Deuda actual]]*Tabla2[[#This Row],[diferencia de días]], "0")</f>
        <v>0</v>
      </c>
      <c r="L93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3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93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937">
        <f t="shared" ca="1" si="162"/>
        <v>2150.6999999999998</v>
      </c>
      <c r="P937">
        <f t="shared" ca="1" si="163"/>
        <v>106403.17</v>
      </c>
      <c r="Q937">
        <f t="shared" ca="1" si="164"/>
        <v>2</v>
      </c>
      <c r="R937">
        <f ca="1">((Tabla2[[#This Row],[Fantasma Comunicación]]+1)/(Tabla2[[#This Row],[Fantasma Comunicación]]+RANDBETWEEN(0,5)+2))-0.5</f>
        <v>0.25</v>
      </c>
      <c r="S937" s="51">
        <f ca="1">1+MAX(0,Tabla2[[#This Row],[Deuda actual]]/Tabla2[[#This Row],[Liquidez]]+Tabla2[[#This Row],[Liquidez]]/(Tabla2[[#This Row],[Activos]]+Tabla2[[#This Row],[Liquidez]])+Tabla2[[#This Row],[Comunicación]])</f>
        <v>2.6561516144432589</v>
      </c>
      <c r="T937">
        <f ca="1">Tabla2[[#This Row],[Deuda actual]]*EXP(Tabla2[[#This Row],[Ki]]*Tabla2[[#This Row],[diferencia de días]])*(1+Tabla2[[#This Row],[Hg]])</f>
        <v>2689.3500666896321</v>
      </c>
    </row>
    <row r="938" spans="1:20" ht="14.5" x14ac:dyDescent="0.35">
      <c r="A938">
        <f t="shared" si="165"/>
        <v>56</v>
      </c>
      <c r="B938" s="21">
        <f t="shared" ca="1" si="155"/>
        <v>46116</v>
      </c>
      <c r="C938" s="21">
        <f t="shared" ca="1" si="156"/>
        <v>46157</v>
      </c>
      <c r="D938">
        <f t="shared" ca="1" si="157"/>
        <v>5</v>
      </c>
      <c r="E938">
        <f t="shared" ca="1" si="158"/>
        <v>0.60101353830781035</v>
      </c>
      <c r="F938" s="47">
        <f t="shared" ca="1" si="159"/>
        <v>186.13</v>
      </c>
      <c r="G938" s="32" t="str">
        <f t="shared" ca="1" si="160"/>
        <v>hipotecario</v>
      </c>
      <c r="H93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38" t="str">
        <f t="shared" ca="1" si="161"/>
        <v>Sí</v>
      </c>
      <c r="J93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38" s="32">
        <f ca="1">IF(Tabla2[[#This Row],[¿cliente deuda abierta?]]="Sí", Tabla2[[#This Row],[Deuda actual]]*Tabla2[[#This Row],[diferencia de días]], "0")</f>
        <v>930.65</v>
      </c>
      <c r="L93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3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3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38">
        <f t="shared" ca="1" si="162"/>
        <v>1444.84</v>
      </c>
      <c r="P938">
        <f t="shared" ca="1" si="163"/>
        <v>25908.91</v>
      </c>
      <c r="Q938">
        <f t="shared" ca="1" si="164"/>
        <v>3</v>
      </c>
      <c r="R938">
        <f ca="1">((Tabla2[[#This Row],[Fantasma Comunicación]]+1)/(Tabla2[[#This Row],[Fantasma Comunicación]]+RANDBETWEEN(0,5)+2))-0.5</f>
        <v>0.30000000000000004</v>
      </c>
      <c r="S938" s="51">
        <f ca="1">1+MAX(0,Tabla2[[#This Row],[Deuda actual]]/Tabla2[[#This Row],[Liquidez]]+Tabla2[[#This Row],[Liquidez]]/(Tabla2[[#This Row],[Activos]]+Tabla2[[#This Row],[Liquidez]])+Tabla2[[#This Row],[Comunicación]])</f>
        <v>1.4816444984542536</v>
      </c>
      <c r="T938">
        <f ca="1">Tabla2[[#This Row],[Deuda actual]]*EXP(Tabla2[[#This Row],[Ki]]*Tabla2[[#This Row],[diferencia de días]])*(1+Tabla2[[#This Row],[Hg]])</f>
        <v>195.63203425083091</v>
      </c>
    </row>
    <row r="939" spans="1:20" ht="14.5" x14ac:dyDescent="0.35">
      <c r="A939">
        <f t="shared" si="165"/>
        <v>57</v>
      </c>
      <c r="B939" s="21">
        <f t="shared" ca="1" si="155"/>
        <v>46136</v>
      </c>
      <c r="C939" s="21">
        <f t="shared" ca="1" si="156"/>
        <v>46157</v>
      </c>
      <c r="D939">
        <f t="shared" ca="1" si="157"/>
        <v>6</v>
      </c>
      <c r="E939">
        <f t="shared" ca="1" si="158"/>
        <v>0.34341377716602328</v>
      </c>
      <c r="F939" s="47">
        <f t="shared" ca="1" si="159"/>
        <v>1000.75</v>
      </c>
      <c r="G939" s="32" t="str">
        <f t="shared" ca="1" si="160"/>
        <v>hipotecario</v>
      </c>
      <c r="H93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39" t="str">
        <f t="shared" ca="1" si="161"/>
        <v>Sí</v>
      </c>
      <c r="J93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39" s="32">
        <f ca="1">IF(Tabla2[[#This Row],[¿cliente deuda abierta?]]="Sí", Tabla2[[#This Row],[Deuda actual]]*Tabla2[[#This Row],[diferencia de días]], "0")</f>
        <v>6004.5</v>
      </c>
      <c r="L93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3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3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39">
        <f t="shared" ca="1" si="162"/>
        <v>1973.78</v>
      </c>
      <c r="P939">
        <f t="shared" ca="1" si="163"/>
        <v>205110.14</v>
      </c>
      <c r="Q939">
        <f t="shared" ca="1" si="164"/>
        <v>3</v>
      </c>
      <c r="R939">
        <f ca="1">((Tabla2[[#This Row],[Fantasma Comunicación]]+1)/(Tabla2[[#This Row],[Fantasma Comunicación]]+RANDBETWEEN(0,5)+2))-0.5</f>
        <v>0</v>
      </c>
      <c r="S939" s="51">
        <f ca="1">1+MAX(0,Tabla2[[#This Row],[Deuda actual]]/Tabla2[[#This Row],[Liquidez]]+Tabla2[[#This Row],[Liquidez]]/(Tabla2[[#This Row],[Activos]]+Tabla2[[#This Row],[Liquidez]])+Tabla2[[#This Row],[Comunicación]])</f>
        <v>1.5165533641858442</v>
      </c>
      <c r="T939">
        <f ca="1">Tabla2[[#This Row],[Deuda actual]]*EXP(Tabla2[[#This Row],[Ki]]*Tabla2[[#This Row],[diferencia de días]])*(1+Tabla2[[#This Row],[Hg]])</f>
        <v>1052.0492018697175</v>
      </c>
    </row>
    <row r="940" spans="1:20" ht="14.5" x14ac:dyDescent="0.35">
      <c r="A940">
        <f t="shared" si="165"/>
        <v>58</v>
      </c>
      <c r="B940" s="21">
        <f t="shared" ca="1" si="155"/>
        <v>46093</v>
      </c>
      <c r="C940" s="21">
        <f t="shared" ca="1" si="156"/>
        <v>46157</v>
      </c>
      <c r="D940">
        <f t="shared" ca="1" si="157"/>
        <v>11</v>
      </c>
      <c r="E940">
        <f t="shared" ca="1" si="158"/>
        <v>7.0455607214745197E-2</v>
      </c>
      <c r="F940" s="47">
        <f t="shared" ca="1" si="159"/>
        <v>1029.01</v>
      </c>
      <c r="G940" s="32" t="str">
        <f t="shared" ca="1" si="160"/>
        <v>personal</v>
      </c>
      <c r="H94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40" t="str">
        <f t="shared" ca="1" si="161"/>
        <v>Sí</v>
      </c>
      <c r="J94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40" s="32">
        <f ca="1">IF(Tabla2[[#This Row],[¿cliente deuda abierta?]]="Sí", Tabla2[[#This Row],[Deuda actual]]*Tabla2[[#This Row],[diferencia de días]], "0")</f>
        <v>11319.11</v>
      </c>
      <c r="L94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4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4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40">
        <f t="shared" ca="1" si="162"/>
        <v>1664.24</v>
      </c>
      <c r="P940">
        <f t="shared" ca="1" si="163"/>
        <v>237844.97</v>
      </c>
      <c r="Q940">
        <f t="shared" ca="1" si="164"/>
        <v>3</v>
      </c>
      <c r="R940">
        <f ca="1">((Tabla2[[#This Row],[Fantasma Comunicación]]+1)/(Tabla2[[#This Row],[Fantasma Comunicación]]+RANDBETWEEN(0,5)+2))-0.5</f>
        <v>0</v>
      </c>
      <c r="S940" s="51">
        <f ca="1">1+MAX(0,Tabla2[[#This Row],[Deuda actual]]/Tabla2[[#This Row],[Liquidez]]+Tabla2[[#This Row],[Liquidez]]/(Tabla2[[#This Row],[Activos]]+Tabla2[[#This Row],[Liquidez]])+Tabla2[[#This Row],[Comunicación]])</f>
        <v>1.6252547967195516</v>
      </c>
      <c r="T940">
        <f ca="1">Tabla2[[#This Row],[Deuda actual]]*EXP(Tabla2[[#This Row],[Ki]]*Tabla2[[#This Row],[diferencia de días]])*(1+Tabla2[[#This Row],[Hg]])</f>
        <v>1082.8401297329224</v>
      </c>
    </row>
    <row r="941" spans="1:20" ht="14.5" x14ac:dyDescent="0.35">
      <c r="A941">
        <f t="shared" si="165"/>
        <v>59</v>
      </c>
      <c r="B941" s="21">
        <f t="shared" ca="1" si="155"/>
        <v>46102</v>
      </c>
      <c r="C941" s="21">
        <f t="shared" ca="1" si="156"/>
        <v>46157</v>
      </c>
      <c r="D941">
        <f t="shared" ca="1" si="157"/>
        <v>11</v>
      </c>
      <c r="E941">
        <f t="shared" ca="1" si="158"/>
        <v>0.33457650884355539</v>
      </c>
      <c r="F941" s="47">
        <f t="shared" ca="1" si="159"/>
        <v>59.48</v>
      </c>
      <c r="G941" s="32" t="str">
        <f t="shared" ca="1" si="160"/>
        <v>personal</v>
      </c>
      <c r="H94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41" t="str">
        <f t="shared" ca="1" si="161"/>
        <v>Sí</v>
      </c>
      <c r="J94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41" s="32">
        <f ca="1">IF(Tabla2[[#This Row],[¿cliente deuda abierta?]]="Sí", Tabla2[[#This Row],[Deuda actual]]*Tabla2[[#This Row],[diferencia de días]], "0")</f>
        <v>654.28</v>
      </c>
      <c r="L94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4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4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41">
        <f t="shared" ca="1" si="162"/>
        <v>1717.33</v>
      </c>
      <c r="P941">
        <f t="shared" ca="1" si="163"/>
        <v>63607.29</v>
      </c>
      <c r="Q941">
        <f t="shared" ca="1" si="164"/>
        <v>5</v>
      </c>
      <c r="R941">
        <f ca="1">((Tabla2[[#This Row],[Fantasma Comunicación]]+1)/(Tabla2[[#This Row],[Fantasma Comunicación]]+RANDBETWEEN(0,5)+2))-0.5</f>
        <v>0.16666666666666663</v>
      </c>
      <c r="S941" s="51">
        <f ca="1">1+MAX(0,Tabla2[[#This Row],[Deuda actual]]/Tabla2[[#This Row],[Liquidez]]+Tabla2[[#This Row],[Liquidez]]/(Tabla2[[#This Row],[Activos]]+Tabla2[[#This Row],[Liquidez]])+Tabla2[[#This Row],[Comunicación]])</f>
        <v>1.2275909964430796</v>
      </c>
      <c r="T941">
        <f ca="1">Tabla2[[#This Row],[Deuda actual]]*EXP(Tabla2[[#This Row],[Ki]]*Tabla2[[#This Row],[diferencia de días]])*(1+Tabla2[[#This Row],[Hg]])</f>
        <v>62.591550049576014</v>
      </c>
    </row>
    <row r="942" spans="1:20" ht="14.5" x14ac:dyDescent="0.35">
      <c r="A942">
        <f t="shared" si="165"/>
        <v>60</v>
      </c>
      <c r="B942" s="21">
        <f t="shared" ca="1" si="155"/>
        <v>46108</v>
      </c>
      <c r="C942" s="21">
        <f t="shared" ca="1" si="156"/>
        <v>46157</v>
      </c>
      <c r="D942">
        <f t="shared" ca="1" si="157"/>
        <v>8</v>
      </c>
      <c r="E942">
        <f t="shared" ca="1" si="158"/>
        <v>0.89797481809744695</v>
      </c>
      <c r="F942" s="47">
        <f t="shared" ca="1" si="159"/>
        <v>8502.9699999999993</v>
      </c>
      <c r="G942" s="32" t="str">
        <f t="shared" ca="1" si="160"/>
        <v>personal</v>
      </c>
      <c r="H94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42" t="str">
        <f t="shared" ca="1" si="161"/>
        <v>Sí</v>
      </c>
      <c r="J94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42" s="32">
        <f ca="1">IF(Tabla2[[#This Row],[¿cliente deuda abierta?]]="Sí", Tabla2[[#This Row],[Deuda actual]]*Tabla2[[#This Row],[diferencia de días]], "0")</f>
        <v>68023.759999999995</v>
      </c>
      <c r="L94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94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42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942">
        <f t="shared" ca="1" si="162"/>
        <v>1456.66</v>
      </c>
      <c r="P942">
        <f t="shared" ca="1" si="163"/>
        <v>306709.44</v>
      </c>
      <c r="Q942">
        <f t="shared" ca="1" si="164"/>
        <v>5</v>
      </c>
      <c r="R942">
        <f ca="1">((Tabla2[[#This Row],[Fantasma Comunicación]]+1)/(Tabla2[[#This Row],[Fantasma Comunicación]]+RANDBETWEEN(0,5)+2))-0.5</f>
        <v>0</v>
      </c>
      <c r="S942" s="51">
        <f ca="1">1+MAX(0,Tabla2[[#This Row],[Deuda actual]]/Tabla2[[#This Row],[Liquidez]]+Tabla2[[#This Row],[Liquidez]]/(Tabla2[[#This Row],[Activos]]+Tabla2[[#This Row],[Liquidez]])+Tabla2[[#This Row],[Comunicación]])</f>
        <v>6.8420327580130076</v>
      </c>
      <c r="T942">
        <f ca="1">Tabla2[[#This Row],[Deuda actual]]*EXP(Tabla2[[#This Row],[Ki]]*Tabla2[[#This Row],[diferencia de días]])*(1+Tabla2[[#This Row],[Hg]])</f>
        <v>9794.0734878499061</v>
      </c>
    </row>
    <row r="943" spans="1:20" ht="14.5" x14ac:dyDescent="0.35">
      <c r="A943">
        <f t="shared" si="165"/>
        <v>61</v>
      </c>
      <c r="B943" s="21">
        <f t="shared" ca="1" si="155"/>
        <v>46135</v>
      </c>
      <c r="C943" s="21">
        <f t="shared" ca="1" si="156"/>
        <v>46157</v>
      </c>
      <c r="D943">
        <f t="shared" ca="1" si="157"/>
        <v>11</v>
      </c>
      <c r="E943">
        <f t="shared" ca="1" si="158"/>
        <v>0.52680299362928562</v>
      </c>
      <c r="F943" s="47">
        <f t="shared" ca="1" si="159"/>
        <v>820.02</v>
      </c>
      <c r="G943" s="32" t="str">
        <f t="shared" ca="1" si="160"/>
        <v>personal</v>
      </c>
      <c r="H94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43" t="str">
        <f t="shared" ca="1" si="161"/>
        <v>Sí</v>
      </c>
      <c r="J94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43" s="32">
        <f ca="1">IF(Tabla2[[#This Row],[¿cliente deuda abierta?]]="Sí", Tabla2[[#This Row],[Deuda actual]]*Tabla2[[#This Row],[diferencia de días]], "0")</f>
        <v>9020.2199999999993</v>
      </c>
      <c r="L94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4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4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43">
        <f t="shared" ca="1" si="162"/>
        <v>1812.58</v>
      </c>
      <c r="P943">
        <f t="shared" ca="1" si="163"/>
        <v>153046.76</v>
      </c>
      <c r="Q943">
        <f t="shared" ca="1" si="164"/>
        <v>0</v>
      </c>
      <c r="R943">
        <f ca="1">((Tabla2[[#This Row],[Fantasma Comunicación]]+1)/(Tabla2[[#This Row],[Fantasma Comunicación]]+RANDBETWEEN(0,5)+2))-0.5</f>
        <v>-0.25</v>
      </c>
      <c r="S943" s="51">
        <f ca="1">1+MAX(0,Tabla2[[#This Row],[Deuda actual]]/Tabla2[[#This Row],[Liquidez]]+Tabla2[[#This Row],[Liquidez]]/(Tabla2[[#This Row],[Activos]]+Tabla2[[#This Row],[Liquidez]])+Tabla2[[#This Row],[Comunicación]])</f>
        <v>1.2141095457019127</v>
      </c>
      <c r="T943">
        <f ca="1">Tabla2[[#This Row],[Deuda actual]]*EXP(Tabla2[[#This Row],[Ki]]*Tabla2[[#This Row],[diferencia de días]])*(1+Tabla2[[#This Row],[Hg]])</f>
        <v>862.91733139968608</v>
      </c>
    </row>
    <row r="944" spans="1:20" ht="14.5" x14ac:dyDescent="0.35">
      <c r="A944">
        <f t="shared" si="165"/>
        <v>62</v>
      </c>
      <c r="B944" s="21">
        <f t="shared" ca="1" si="155"/>
        <v>46139</v>
      </c>
      <c r="C944" s="21">
        <f t="shared" ca="1" si="156"/>
        <v>46157</v>
      </c>
      <c r="D944">
        <f t="shared" ca="1" si="157"/>
        <v>27</v>
      </c>
      <c r="E944">
        <f t="shared" ca="1" si="158"/>
        <v>0.72340731415786097</v>
      </c>
      <c r="F944" s="47">
        <f t="shared" ca="1" si="159"/>
        <v>2658.86</v>
      </c>
      <c r="G944" s="32" t="str">
        <f t="shared" ca="1" si="160"/>
        <v>hipotecario</v>
      </c>
      <c r="H94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944" t="str">
        <f t="shared" ca="1" si="161"/>
        <v>Sí</v>
      </c>
      <c r="J94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44" s="32">
        <f ca="1">IF(Tabla2[[#This Row],[¿cliente deuda abierta?]]="Sí", Tabla2[[#This Row],[Deuda actual]]*Tabla2[[#This Row],[diferencia de días]], "0")</f>
        <v>71789.22</v>
      </c>
      <c r="L94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94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44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944">
        <f t="shared" ca="1" si="162"/>
        <v>1431.42</v>
      </c>
      <c r="P944">
        <f t="shared" ca="1" si="163"/>
        <v>189093.02</v>
      </c>
      <c r="Q944">
        <f t="shared" ca="1" si="164"/>
        <v>0</v>
      </c>
      <c r="R944">
        <f ca="1">((Tabla2[[#This Row],[Fantasma Comunicación]]+1)/(Tabla2[[#This Row],[Fantasma Comunicación]]+RANDBETWEEN(0,5)+2))-0.5</f>
        <v>0</v>
      </c>
      <c r="S944" s="51">
        <f ca="1">1+MAX(0,Tabla2[[#This Row],[Deuda actual]]/Tabla2[[#This Row],[Liquidez]]+Tabla2[[#This Row],[Liquidez]]/(Tabla2[[#This Row],[Activos]]+Tabla2[[#This Row],[Liquidez]])+Tabla2[[#This Row],[Comunicación]])</f>
        <v>2.8650112005603403</v>
      </c>
      <c r="T944">
        <f ca="1">Tabla2[[#This Row],[Deuda actual]]*EXP(Tabla2[[#This Row],[Ki]]*Tabla2[[#This Row],[diferencia de días]])*(1+Tabla2[[#This Row],[Hg]])</f>
        <v>3090.8910093274649</v>
      </c>
    </row>
    <row r="945" spans="1:20" ht="14.5" x14ac:dyDescent="0.35">
      <c r="A945">
        <f t="shared" si="165"/>
        <v>63</v>
      </c>
      <c r="B945" s="21">
        <f t="shared" ca="1" si="155"/>
        <v>46128</v>
      </c>
      <c r="C945" s="21">
        <f t="shared" ca="1" si="156"/>
        <v>46157</v>
      </c>
      <c r="D945">
        <f t="shared" ca="1" si="157"/>
        <v>17</v>
      </c>
      <c r="E945">
        <f t="shared" ca="1" si="158"/>
        <v>0.88623833527606788</v>
      </c>
      <c r="F945" s="47">
        <f t="shared" ca="1" si="159"/>
        <v>1087.5</v>
      </c>
      <c r="G945" s="32" t="str">
        <f t="shared" ca="1" si="160"/>
        <v>personal</v>
      </c>
      <c r="H94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945" t="str">
        <f t="shared" ca="1" si="161"/>
        <v>No</v>
      </c>
      <c r="J94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12001.550454817756</v>
      </c>
      <c r="K945" s="32" t="str">
        <f ca="1">IF(Tabla2[[#This Row],[¿cliente deuda abierta?]]="Sí", Tabla2[[#This Row],[Deuda actual]]*Tabla2[[#This Row],[diferencia de días]], "0")</f>
        <v>0</v>
      </c>
      <c r="L94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4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94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945">
        <f t="shared" ca="1" si="162"/>
        <v>2354.52</v>
      </c>
      <c r="P945">
        <f t="shared" ca="1" si="163"/>
        <v>88053.04</v>
      </c>
      <c r="Q945">
        <f t="shared" ca="1" si="164"/>
        <v>1</v>
      </c>
      <c r="R945">
        <f ca="1">((Tabla2[[#This Row],[Fantasma Comunicación]]+1)/(Tabla2[[#This Row],[Fantasma Comunicación]]+RANDBETWEEN(0,5)+2))-0.5</f>
        <v>-0.2142857142857143</v>
      </c>
      <c r="S945" s="51">
        <f ca="1">1+MAX(0,Tabla2[[#This Row],[Deuda actual]]/Tabla2[[#This Row],[Liquidez]]+Tabla2[[#This Row],[Liquidez]]/(Tabla2[[#This Row],[Activos]]+Tabla2[[#This Row],[Liquidez]])+Tabla2[[#This Row],[Comunicación]])</f>
        <v>1.2736352631137255</v>
      </c>
      <c r="T945">
        <f ca="1">Tabla2[[#This Row],[Deuda actual]]*EXP(Tabla2[[#This Row],[Ki]]*Tabla2[[#This Row],[diferencia de días]])*(1+Tabla2[[#This Row],[Hg]])</f>
        <v>985.42818007903463</v>
      </c>
    </row>
    <row r="946" spans="1:20" ht="14.5" x14ac:dyDescent="0.35">
      <c r="A946">
        <f t="shared" si="165"/>
        <v>64</v>
      </c>
      <c r="B946" s="21">
        <f t="shared" ca="1" si="155"/>
        <v>46130</v>
      </c>
      <c r="C946" s="21">
        <f t="shared" ca="1" si="156"/>
        <v>46157</v>
      </c>
      <c r="D946">
        <f t="shared" ca="1" si="157"/>
        <v>6</v>
      </c>
      <c r="E946">
        <f t="shared" ca="1" si="158"/>
        <v>0.70169994122119805</v>
      </c>
      <c r="F946" s="47">
        <f t="shared" ca="1" si="159"/>
        <v>4190.47</v>
      </c>
      <c r="G946" s="32" t="str">
        <f t="shared" ca="1" si="160"/>
        <v>hipotecario</v>
      </c>
      <c r="H94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46" t="str">
        <f t="shared" ca="1" si="161"/>
        <v>No</v>
      </c>
      <c r="J94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164999.86443693712</v>
      </c>
      <c r="K946" s="32" t="str">
        <f ca="1">IF(Tabla2[[#This Row],[¿cliente deuda abierta?]]="Sí", Tabla2[[#This Row],[Deuda actual]]*Tabla2[[#This Row],[diferencia de días]], "0")</f>
        <v>0</v>
      </c>
      <c r="L94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4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94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946">
        <f t="shared" ca="1" si="162"/>
        <v>1658.44</v>
      </c>
      <c r="P946">
        <f t="shared" ca="1" si="163"/>
        <v>64684.56</v>
      </c>
      <c r="Q946">
        <f t="shared" ca="1" si="164"/>
        <v>2</v>
      </c>
      <c r="R946">
        <f ca="1">((Tabla2[[#This Row],[Fantasma Comunicación]]+1)/(Tabla2[[#This Row],[Fantasma Comunicación]]+RANDBETWEEN(0,5)+2))-0.5</f>
        <v>9.9999999999999978E-2</v>
      </c>
      <c r="S946" s="51">
        <f ca="1">1+MAX(0,Tabla2[[#This Row],[Deuda actual]]/Tabla2[[#This Row],[Liquidez]]+Tabla2[[#This Row],[Liquidez]]/(Tabla2[[#This Row],[Activos]]+Tabla2[[#This Row],[Liquidez]])+Tabla2[[#This Row],[Comunicación]])</f>
        <v>3.6517520231510989</v>
      </c>
      <c r="T946">
        <f ca="1">Tabla2[[#This Row],[Deuda actual]]*EXP(Tabla2[[#This Row],[Ki]]*Tabla2[[#This Row],[diferencia de días]])*(1+Tabla2[[#This Row],[Hg]])</f>
        <v>3356.4012658764946</v>
      </c>
    </row>
    <row r="947" spans="1:20" ht="14.5" x14ac:dyDescent="0.35">
      <c r="A947">
        <f t="shared" si="165"/>
        <v>65</v>
      </c>
      <c r="B947" s="21">
        <f t="shared" ca="1" si="155"/>
        <v>46096</v>
      </c>
      <c r="C947" s="21">
        <f t="shared" ca="1" si="156"/>
        <v>46157</v>
      </c>
      <c r="D947">
        <f t="shared" ca="1" si="157"/>
        <v>1</v>
      </c>
      <c r="E947">
        <f t="shared" ca="1" si="158"/>
        <v>0.99129699922617831</v>
      </c>
      <c r="F947" s="47">
        <f t="shared" ca="1" si="159"/>
        <v>3026.83</v>
      </c>
      <c r="G947" s="32" t="str">
        <f t="shared" ca="1" si="160"/>
        <v>hipotecario</v>
      </c>
      <c r="H94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47" t="str">
        <f t="shared" ca="1" si="161"/>
        <v>No</v>
      </c>
      <c r="J947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165001.40965236924</v>
      </c>
      <c r="K947" s="32" t="str">
        <f ca="1">IF(Tabla2[[#This Row],[¿cliente deuda abierta?]]="Sí", Tabla2[[#This Row],[Deuda actual]]*Tabla2[[#This Row],[diferencia de días]], "0")</f>
        <v>0</v>
      </c>
      <c r="L947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47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947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947">
        <f t="shared" ca="1" si="162"/>
        <v>1175.96</v>
      </c>
      <c r="P947">
        <f t="shared" ca="1" si="163"/>
        <v>75656.759999999995</v>
      </c>
      <c r="Q947">
        <f t="shared" ca="1" si="164"/>
        <v>2</v>
      </c>
      <c r="R947">
        <f ca="1">((Tabla2[[#This Row],[Fantasma Comunicación]]+1)/(Tabla2[[#This Row],[Fantasma Comunicación]]+RANDBETWEEN(0,5)+2))-0.5</f>
        <v>0.25</v>
      </c>
      <c r="S947" s="51">
        <f ca="1">1+MAX(0,Tabla2[[#This Row],[Deuda actual]]/Tabla2[[#This Row],[Liquidez]]+Tabla2[[#This Row],[Liquidez]]/(Tabla2[[#This Row],[Activos]]+Tabla2[[#This Row],[Liquidez]])+Tabla2[[#This Row],[Comunicación]])</f>
        <v>3.839228040804421</v>
      </c>
      <c r="T947">
        <f ca="1">Tabla2[[#This Row],[Deuda actual]]*EXP(Tabla2[[#This Row],[Ki]]*Tabla2[[#This Row],[diferencia de días]])*(1+Tabla2[[#This Row],[Hg]])</f>
        <v>2421.9483412325089</v>
      </c>
    </row>
    <row r="948" spans="1:20" ht="14.5" x14ac:dyDescent="0.35">
      <c r="A948">
        <f t="shared" ref="A948:A979" si="166">A947+1</f>
        <v>66</v>
      </c>
      <c r="B948" s="21">
        <f t="shared" ca="1" si="155"/>
        <v>46129</v>
      </c>
      <c r="C948" s="21">
        <f t="shared" ca="1" si="156"/>
        <v>46157</v>
      </c>
      <c r="D948">
        <f t="shared" ca="1" si="157"/>
        <v>9</v>
      </c>
      <c r="E948">
        <f t="shared" ca="1" si="158"/>
        <v>8.7761189542396756E-2</v>
      </c>
      <c r="F948" s="47">
        <f t="shared" ca="1" si="159"/>
        <v>1352.95</v>
      </c>
      <c r="G948" s="32" t="str">
        <f t="shared" ca="1" si="160"/>
        <v>personal</v>
      </c>
      <c r="H94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48" t="str">
        <f t="shared" ca="1" si="161"/>
        <v>No</v>
      </c>
      <c r="J94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12000.04947857496</v>
      </c>
      <c r="K948" s="32" t="str">
        <f ca="1">IF(Tabla2[[#This Row],[¿cliente deuda abierta?]]="Sí", Tabla2[[#This Row],[Deuda actual]]*Tabla2[[#This Row],[diferencia de días]], "0")</f>
        <v>0</v>
      </c>
      <c r="L94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4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94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948">
        <f t="shared" ca="1" si="162"/>
        <v>1684.06</v>
      </c>
      <c r="P948">
        <f t="shared" ca="1" si="163"/>
        <v>98201.29</v>
      </c>
      <c r="Q948">
        <f t="shared" ca="1" si="164"/>
        <v>1</v>
      </c>
      <c r="R948">
        <f ca="1">((Tabla2[[#This Row],[Fantasma Comunicación]]+1)/(Tabla2[[#This Row],[Fantasma Comunicación]]+RANDBETWEEN(0,5)+2))-0.5</f>
        <v>-0.2142857142857143</v>
      </c>
      <c r="S948" s="51">
        <f ca="1">1+MAX(0,Tabla2[[#This Row],[Deuda actual]]/Tabla2[[#This Row],[Liquidez]]+Tabla2[[#This Row],[Liquidez]]/(Tabla2[[#This Row],[Activos]]+Tabla2[[#This Row],[Liquidez]])+Tabla2[[#This Row],[Comunicación]])</f>
        <v>1.6059600807356214</v>
      </c>
      <c r="T948">
        <f ca="1">Tabla2[[#This Row],[Deuda actual]]*EXP(Tabla2[[#This Row],[Ki]]*Tabla2[[#This Row],[diferencia de días]])*(1+Tabla2[[#This Row],[Hg]])</f>
        <v>1219.8487527851935</v>
      </c>
    </row>
    <row r="949" spans="1:20" ht="14.5" x14ac:dyDescent="0.35">
      <c r="A949">
        <f t="shared" si="166"/>
        <v>67</v>
      </c>
      <c r="B949" s="21">
        <f t="shared" ca="1" si="155"/>
        <v>46115</v>
      </c>
      <c r="C949" s="21">
        <f t="shared" ca="1" si="156"/>
        <v>46157</v>
      </c>
      <c r="D949">
        <f t="shared" ca="1" si="157"/>
        <v>4</v>
      </c>
      <c r="E949">
        <f t="shared" ca="1" si="158"/>
        <v>0.16451118789721197</v>
      </c>
      <c r="F949" s="47">
        <f t="shared" ca="1" si="159"/>
        <v>3846.01</v>
      </c>
      <c r="G949" s="32" t="str">
        <f t="shared" ca="1" si="160"/>
        <v>personal</v>
      </c>
      <c r="H94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49" t="str">
        <f t="shared" ca="1" si="161"/>
        <v>No</v>
      </c>
      <c r="J94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12000.157501040318</v>
      </c>
      <c r="K949" s="32" t="str">
        <f ca="1">IF(Tabla2[[#This Row],[¿cliente deuda abierta?]]="Sí", Tabla2[[#This Row],[Deuda actual]]*Tabla2[[#This Row],[diferencia de días]], "0")</f>
        <v>0</v>
      </c>
      <c r="L94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4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94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949">
        <f t="shared" ca="1" si="162"/>
        <v>2053.34</v>
      </c>
      <c r="P949">
        <f t="shared" ca="1" si="163"/>
        <v>108731.11</v>
      </c>
      <c r="Q949">
        <f t="shared" ca="1" si="164"/>
        <v>5</v>
      </c>
      <c r="R949">
        <f ca="1">((Tabla2[[#This Row],[Fantasma Comunicación]]+1)/(Tabla2[[#This Row],[Fantasma Comunicación]]+RANDBETWEEN(0,5)+2))-0.5</f>
        <v>4.5454545454545414E-2</v>
      </c>
      <c r="S949" s="51">
        <f ca="1">1+MAX(0,Tabla2[[#This Row],[Deuda actual]]/Tabla2[[#This Row],[Liquidez]]+Tabla2[[#This Row],[Liquidez]]/(Tabla2[[#This Row],[Activos]]+Tabla2[[#This Row],[Liquidez]])+Tabla2[[#This Row],[Comunicación]])</f>
        <v>2.9370398329549925</v>
      </c>
      <c r="T949">
        <f ca="1">Tabla2[[#This Row],[Deuda actual]]*EXP(Tabla2[[#This Row],[Ki]]*Tabla2[[#This Row],[diferencia de días]])*(1+Tabla2[[#This Row],[Hg]])</f>
        <v>3464.1792351463127</v>
      </c>
    </row>
    <row r="950" spans="1:20" ht="14.5" x14ac:dyDescent="0.35">
      <c r="A950">
        <f t="shared" si="166"/>
        <v>68</v>
      </c>
      <c r="B950" s="21">
        <f t="shared" ca="1" si="155"/>
        <v>46124</v>
      </c>
      <c r="C950" s="21">
        <f t="shared" ca="1" si="156"/>
        <v>46157</v>
      </c>
      <c r="D950">
        <f t="shared" ca="1" si="157"/>
        <v>28</v>
      </c>
      <c r="E950">
        <f t="shared" ca="1" si="158"/>
        <v>0.51339427353845335</v>
      </c>
      <c r="F950" s="47">
        <f t="shared" ca="1" si="159"/>
        <v>664.1</v>
      </c>
      <c r="G950" s="32" t="str">
        <f t="shared" ca="1" si="160"/>
        <v>hipotecario</v>
      </c>
      <c r="H95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950" t="str">
        <f t="shared" ca="1" si="161"/>
        <v>Sí</v>
      </c>
      <c r="J95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50" s="32">
        <f ca="1">IF(Tabla2[[#This Row],[¿cliente deuda abierta?]]="Sí", Tabla2[[#This Row],[Deuda actual]]*Tabla2[[#This Row],[diferencia de días]], "0")</f>
        <v>18594.8</v>
      </c>
      <c r="L95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5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5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50">
        <f t="shared" ca="1" si="162"/>
        <v>1338.98</v>
      </c>
      <c r="P950">
        <f t="shared" ca="1" si="163"/>
        <v>37248.6</v>
      </c>
      <c r="Q950">
        <f t="shared" ca="1" si="164"/>
        <v>4</v>
      </c>
      <c r="R950">
        <f ca="1">((Tabla2[[#This Row],[Fantasma Comunicación]]+1)/(Tabla2[[#This Row],[Fantasma Comunicación]]+RANDBETWEEN(0,5)+2))-0.5</f>
        <v>0.33333333333333337</v>
      </c>
      <c r="S950" s="51">
        <f ca="1">1+MAX(0,Tabla2[[#This Row],[Deuda actual]]/Tabla2[[#This Row],[Liquidez]]+Tabla2[[#This Row],[Liquidez]]/(Tabla2[[#This Row],[Activos]]+Tabla2[[#This Row],[Liquidez]])+Tabla2[[#This Row],[Comunicación]])</f>
        <v>1.8640076472139824</v>
      </c>
      <c r="T950">
        <f ca="1">Tabla2[[#This Row],[Deuda actual]]*EXP(Tabla2[[#This Row],[Ki]]*Tabla2[[#This Row],[diferencia de días]])*(1+Tabla2[[#This Row],[Hg]])</f>
        <v>705.15871470502213</v>
      </c>
    </row>
    <row r="951" spans="1:20" ht="14.5" x14ac:dyDescent="0.35">
      <c r="A951">
        <f t="shared" si="166"/>
        <v>69</v>
      </c>
      <c r="B951" s="21">
        <f t="shared" ca="1" si="155"/>
        <v>46126</v>
      </c>
      <c r="C951" s="21">
        <f t="shared" ca="1" si="156"/>
        <v>46157</v>
      </c>
      <c r="D951">
        <f t="shared" ca="1" si="157"/>
        <v>1</v>
      </c>
      <c r="E951">
        <f t="shared" ca="1" si="158"/>
        <v>0.81805350401545196</v>
      </c>
      <c r="F951" s="47">
        <f t="shared" ca="1" si="159"/>
        <v>1543.28</v>
      </c>
      <c r="G951" s="32" t="str">
        <f t="shared" ca="1" si="160"/>
        <v>personal</v>
      </c>
      <c r="H95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51" t="str">
        <f t="shared" ca="1" si="161"/>
        <v>No</v>
      </c>
      <c r="J95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11999.826228288071</v>
      </c>
      <c r="K951" s="32" t="str">
        <f ca="1">IF(Tabla2[[#This Row],[¿cliente deuda abierta?]]="Sí", Tabla2[[#This Row],[Deuda actual]]*Tabla2[[#This Row],[diferencia de días]], "0")</f>
        <v>0</v>
      </c>
      <c r="L95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5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95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951">
        <f t="shared" ca="1" si="162"/>
        <v>1951.1</v>
      </c>
      <c r="P951">
        <f t="shared" ca="1" si="163"/>
        <v>110377.25</v>
      </c>
      <c r="Q951">
        <f t="shared" ca="1" si="164"/>
        <v>3</v>
      </c>
      <c r="R951">
        <f ca="1">((Tabla2[[#This Row],[Fantasma Comunicación]]+1)/(Tabla2[[#This Row],[Fantasma Comunicación]]+RANDBETWEEN(0,5)+2))-0.5</f>
        <v>0</v>
      </c>
      <c r="S951" s="51">
        <f ca="1">1+MAX(0,Tabla2[[#This Row],[Deuda actual]]/Tabla2[[#This Row],[Liquidez]]+Tabla2[[#This Row],[Liquidez]]/(Tabla2[[#This Row],[Activos]]+Tabla2[[#This Row],[Liquidez]])+Tabla2[[#This Row],[Comunicación]])</f>
        <v>1.8083490607722228</v>
      </c>
      <c r="T951">
        <f ca="1">Tabla2[[#This Row],[Deuda actual]]*EXP(Tabla2[[#This Row],[Ki]]*Tabla2[[#This Row],[diferencia de días]])*(1+Tabla2[[#This Row],[Hg]])</f>
        <v>1389.2298181808919</v>
      </c>
    </row>
    <row r="952" spans="1:20" ht="14.5" x14ac:dyDescent="0.35">
      <c r="A952">
        <f t="shared" si="166"/>
        <v>70</v>
      </c>
      <c r="B952" s="21">
        <f t="shared" ca="1" si="155"/>
        <v>46111</v>
      </c>
      <c r="C952" s="21">
        <f t="shared" ca="1" si="156"/>
        <v>46157</v>
      </c>
      <c r="D952">
        <f t="shared" ca="1" si="157"/>
        <v>13</v>
      </c>
      <c r="E952">
        <f t="shared" ca="1" si="158"/>
        <v>0.34029425390613577</v>
      </c>
      <c r="F952" s="47">
        <f t="shared" ca="1" si="159"/>
        <v>262.11</v>
      </c>
      <c r="G952" s="32" t="str">
        <f t="shared" ca="1" si="160"/>
        <v>hipotecario</v>
      </c>
      <c r="H95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52" t="str">
        <f t="shared" ca="1" si="161"/>
        <v>Sí</v>
      </c>
      <c r="J95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52" s="32">
        <f ca="1">IF(Tabla2[[#This Row],[¿cliente deuda abierta?]]="Sí", Tabla2[[#This Row],[Deuda actual]]*Tabla2[[#This Row],[diferencia de días]], "0")</f>
        <v>3407.4300000000003</v>
      </c>
      <c r="L95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5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5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52">
        <f t="shared" ca="1" si="162"/>
        <v>1966.89</v>
      </c>
      <c r="P952">
        <f t="shared" ca="1" si="163"/>
        <v>82905.63</v>
      </c>
      <c r="Q952">
        <f t="shared" ca="1" si="164"/>
        <v>1</v>
      </c>
      <c r="R952">
        <f ca="1">((Tabla2[[#This Row],[Fantasma Comunicación]]+1)/(Tabla2[[#This Row],[Fantasma Comunicación]]+RANDBETWEEN(0,5)+2))-0.5</f>
        <v>0</v>
      </c>
      <c r="S952" s="51">
        <f ca="1">1+MAX(0,Tabla2[[#This Row],[Deuda actual]]/Tabla2[[#This Row],[Liquidez]]+Tabla2[[#This Row],[Liquidez]]/(Tabla2[[#This Row],[Activos]]+Tabla2[[#This Row],[Liquidez]])+Tabla2[[#This Row],[Comunicación]])</f>
        <v>1.1564357770003124</v>
      </c>
      <c r="T952">
        <f ca="1">Tabla2[[#This Row],[Deuda actual]]*EXP(Tabla2[[#This Row],[Ki]]*Tabla2[[#This Row],[diferencia de días]])*(1+Tabla2[[#This Row],[Hg]])</f>
        <v>275.93199133511229</v>
      </c>
    </row>
    <row r="953" spans="1:20" ht="14.5" x14ac:dyDescent="0.35">
      <c r="A953">
        <f t="shared" si="166"/>
        <v>71</v>
      </c>
      <c r="B953" s="21">
        <f t="shared" ca="1" si="155"/>
        <v>46114</v>
      </c>
      <c r="C953" s="21">
        <f t="shared" ca="1" si="156"/>
        <v>46157</v>
      </c>
      <c r="D953">
        <f t="shared" ca="1" si="157"/>
        <v>2</v>
      </c>
      <c r="E953">
        <f t="shared" ca="1" si="158"/>
        <v>0.68570347725672498</v>
      </c>
      <c r="F953" s="47">
        <f t="shared" ca="1" si="159"/>
        <v>801.29</v>
      </c>
      <c r="G953" s="32" t="str">
        <f t="shared" ca="1" si="160"/>
        <v>personal</v>
      </c>
      <c r="H95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53" t="str">
        <f t="shared" ca="1" si="161"/>
        <v>Sí</v>
      </c>
      <c r="J95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53" s="32">
        <f ca="1">IF(Tabla2[[#This Row],[¿cliente deuda abierta?]]="Sí", Tabla2[[#This Row],[Deuda actual]]*Tabla2[[#This Row],[diferencia de días]], "0")</f>
        <v>1602.58</v>
      </c>
      <c r="L95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5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5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53">
        <f t="shared" ca="1" si="162"/>
        <v>2093.73</v>
      </c>
      <c r="P953">
        <f t="shared" ca="1" si="163"/>
        <v>289952.51</v>
      </c>
      <c r="Q953">
        <f t="shared" ca="1" si="164"/>
        <v>0</v>
      </c>
      <c r="R953">
        <f ca="1">((Tabla2[[#This Row],[Fantasma Comunicación]]+1)/(Tabla2[[#This Row],[Fantasma Comunicación]]+RANDBETWEEN(0,5)+2))-0.5</f>
        <v>-0.35714285714285715</v>
      </c>
      <c r="S953" s="51">
        <f ca="1">1+MAX(0,Tabla2[[#This Row],[Deuda actual]]/Tabla2[[#This Row],[Liquidez]]+Tabla2[[#This Row],[Liquidez]]/(Tabla2[[#This Row],[Activos]]+Tabla2[[#This Row],[Liquidez]])+Tabla2[[#This Row],[Comunicación]])</f>
        <v>1.0327356431662724</v>
      </c>
      <c r="T953">
        <f ca="1">Tabla2[[#This Row],[Deuda actual]]*EXP(Tabla2[[#This Row],[Ki]]*Tabla2[[#This Row],[diferencia de días]])*(1+Tabla2[[#This Row],[Hg]])</f>
        <v>841.69110911733537</v>
      </c>
    </row>
    <row r="954" spans="1:20" ht="14.5" x14ac:dyDescent="0.35">
      <c r="A954">
        <f t="shared" si="166"/>
        <v>72</v>
      </c>
      <c r="B954" s="21">
        <f t="shared" ca="1" si="155"/>
        <v>46135</v>
      </c>
      <c r="C954" s="21">
        <f t="shared" ca="1" si="156"/>
        <v>46157</v>
      </c>
      <c r="D954">
        <f t="shared" ca="1" si="157"/>
        <v>45</v>
      </c>
      <c r="E954">
        <f t="shared" ca="1" si="158"/>
        <v>0.94007246539812783</v>
      </c>
      <c r="F954" s="47">
        <f t="shared" ca="1" si="159"/>
        <v>129.25</v>
      </c>
      <c r="G954" s="32" t="str">
        <f t="shared" ca="1" si="160"/>
        <v>hipotecario</v>
      </c>
      <c r="H95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954" t="str">
        <f t="shared" ca="1" si="161"/>
        <v>Sí</v>
      </c>
      <c r="J95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54" s="32">
        <f ca="1">IF(Tabla2[[#This Row],[¿cliente deuda abierta?]]="Sí", Tabla2[[#This Row],[Deuda actual]]*Tabla2[[#This Row],[diferencia de días]], "0")</f>
        <v>5816.25</v>
      </c>
      <c r="L95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5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54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54">
        <f t="shared" ca="1" si="162"/>
        <v>1668.92</v>
      </c>
      <c r="P954">
        <f t="shared" ca="1" si="163"/>
        <v>148013.91</v>
      </c>
      <c r="Q954">
        <f t="shared" ca="1" si="164"/>
        <v>5</v>
      </c>
      <c r="R954">
        <f ca="1">((Tabla2[[#This Row],[Fantasma Comunicación]]+1)/(Tabla2[[#This Row],[Fantasma Comunicación]]+RANDBETWEEN(0,5)+2))-0.5</f>
        <v>4.5454545454545414E-2</v>
      </c>
      <c r="S954" s="51">
        <f ca="1">1+MAX(0,Tabla2[[#This Row],[Deuda actual]]/Tabla2[[#This Row],[Liquidez]]+Tabla2[[#This Row],[Liquidez]]/(Tabla2[[#This Row],[Activos]]+Tabla2[[#This Row],[Liquidez]])+Tabla2[[#This Row],[Comunicación]])</f>
        <v>1.1340495484385102</v>
      </c>
      <c r="T954">
        <f ca="1">Tabla2[[#This Row],[Deuda actual]]*EXP(Tabla2[[#This Row],[Ki]]*Tabla2[[#This Row],[diferencia de días]])*(1+Tabla2[[#This Row],[Hg]])</f>
        <v>141.95905593786176</v>
      </c>
    </row>
    <row r="955" spans="1:20" ht="14.5" x14ac:dyDescent="0.35">
      <c r="A955">
        <f t="shared" si="166"/>
        <v>73</v>
      </c>
      <c r="B955" s="21">
        <f t="shared" ca="1" si="155"/>
        <v>46120</v>
      </c>
      <c r="C955" s="21">
        <f t="shared" ca="1" si="156"/>
        <v>46157</v>
      </c>
      <c r="D955">
        <f t="shared" ca="1" si="157"/>
        <v>15</v>
      </c>
      <c r="E955">
        <f t="shared" ca="1" si="158"/>
        <v>4.2485531190919024E-2</v>
      </c>
      <c r="F955" s="47">
        <f t="shared" ca="1" si="159"/>
        <v>654.66999999999996</v>
      </c>
      <c r="G955" s="32" t="str">
        <f t="shared" ca="1" si="160"/>
        <v>personal</v>
      </c>
      <c r="H95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955" t="str">
        <f t="shared" ca="1" si="161"/>
        <v>Sí</v>
      </c>
      <c r="J95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55" s="32">
        <f ca="1">IF(Tabla2[[#This Row],[¿cliente deuda abierta?]]="Sí", Tabla2[[#This Row],[Deuda actual]]*Tabla2[[#This Row],[diferencia de días]], "0")</f>
        <v>9820.0499999999993</v>
      </c>
      <c r="L95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5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5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55">
        <f t="shared" ca="1" si="162"/>
        <v>1528.92</v>
      </c>
      <c r="P955">
        <f t="shared" ca="1" si="163"/>
        <v>72184.850000000006</v>
      </c>
      <c r="Q955">
        <f t="shared" ca="1" si="164"/>
        <v>3</v>
      </c>
      <c r="R955">
        <f ca="1">((Tabla2[[#This Row],[Fantasma Comunicación]]+1)/(Tabla2[[#This Row],[Fantasma Comunicación]]+RANDBETWEEN(0,5)+2))-0.5</f>
        <v>-5.555555555555558E-2</v>
      </c>
      <c r="S955" s="51">
        <f ca="1">1+MAX(0,Tabla2[[#This Row],[Deuda actual]]/Tabla2[[#This Row],[Liquidez]]+Tabla2[[#This Row],[Liquidez]]/(Tabla2[[#This Row],[Activos]]+Tabla2[[#This Row],[Liquidez]])+Tabla2[[#This Row],[Comunicación]])</f>
        <v>1.3933768938032354</v>
      </c>
      <c r="T955">
        <f ca="1">Tabla2[[#This Row],[Deuda actual]]*EXP(Tabla2[[#This Row],[Ki]]*Tabla2[[#This Row],[diferencia de días]])*(1+Tabla2[[#This Row],[Hg]])</f>
        <v>691.54031904669046</v>
      </c>
    </row>
    <row r="956" spans="1:20" ht="14.5" x14ac:dyDescent="0.35">
      <c r="A956">
        <f t="shared" si="166"/>
        <v>74</v>
      </c>
      <c r="B956" s="21">
        <f t="shared" ca="1" si="155"/>
        <v>46109</v>
      </c>
      <c r="C956" s="21">
        <f t="shared" ca="1" si="156"/>
        <v>46157</v>
      </c>
      <c r="D956">
        <f t="shared" ca="1" si="157"/>
        <v>6</v>
      </c>
      <c r="E956">
        <f t="shared" ca="1" si="158"/>
        <v>0.30733218534007911</v>
      </c>
      <c r="F956" s="47">
        <f t="shared" ca="1" si="159"/>
        <v>250.6</v>
      </c>
      <c r="G956" s="32" t="str">
        <f t="shared" ca="1" si="160"/>
        <v>personal</v>
      </c>
      <c r="H95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56" t="str">
        <f t="shared" ca="1" si="161"/>
        <v>Sí</v>
      </c>
      <c r="J95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56" s="32">
        <f ca="1">IF(Tabla2[[#This Row],[¿cliente deuda abierta?]]="Sí", Tabla2[[#This Row],[Deuda actual]]*Tabla2[[#This Row],[diferencia de días]], "0")</f>
        <v>1503.6</v>
      </c>
      <c r="L95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5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5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56">
        <f t="shared" ca="1" si="162"/>
        <v>1502.98</v>
      </c>
      <c r="P956">
        <f t="shared" ca="1" si="163"/>
        <v>118633.39</v>
      </c>
      <c r="Q956">
        <f t="shared" ca="1" si="164"/>
        <v>0</v>
      </c>
      <c r="R956">
        <f ca="1">((Tabla2[[#This Row],[Fantasma Comunicación]]+1)/(Tabla2[[#This Row],[Fantasma Comunicación]]+RANDBETWEEN(0,5)+2))-0.5</f>
        <v>-0.33333333333333337</v>
      </c>
      <c r="S956" s="51">
        <f ca="1">1+MAX(0,Tabla2[[#This Row],[Deuda actual]]/Tabla2[[#This Row],[Liquidez]]+Tabla2[[#This Row],[Liquidez]]/(Tabla2[[#This Row],[Activos]]+Tabla2[[#This Row],[Liquidez]])+Tabla2[[#This Row],[Comunicación]])</f>
        <v>1</v>
      </c>
      <c r="T956">
        <f ca="1">Tabla2[[#This Row],[Deuda actual]]*EXP(Tabla2[[#This Row],[Ki]]*Tabla2[[#This Row],[diferencia de días]])*(1+Tabla2[[#This Row],[Hg]])</f>
        <v>263.44594552940418</v>
      </c>
    </row>
    <row r="957" spans="1:20" ht="14.5" x14ac:dyDescent="0.35">
      <c r="A957">
        <f t="shared" si="166"/>
        <v>75</v>
      </c>
      <c r="B957" s="21">
        <f t="shared" ca="1" si="155"/>
        <v>46129</v>
      </c>
      <c r="C957" s="21">
        <f t="shared" ca="1" si="156"/>
        <v>46157</v>
      </c>
      <c r="D957">
        <f t="shared" ca="1" si="157"/>
        <v>3</v>
      </c>
      <c r="E957">
        <f t="shared" ca="1" si="158"/>
        <v>0.21857564526354489</v>
      </c>
      <c r="F957" s="47">
        <f t="shared" ca="1" si="159"/>
        <v>858.4</v>
      </c>
      <c r="G957" s="32" t="str">
        <f t="shared" ca="1" si="160"/>
        <v>hipotecario</v>
      </c>
      <c r="H95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57" t="str">
        <f t="shared" ca="1" si="161"/>
        <v>Sí</v>
      </c>
      <c r="J95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57" s="32">
        <f ca="1">IF(Tabla2[[#This Row],[¿cliente deuda abierta?]]="Sí", Tabla2[[#This Row],[Deuda actual]]*Tabla2[[#This Row],[diferencia de días]], "0")</f>
        <v>2575.1999999999998</v>
      </c>
      <c r="L95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5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5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57">
        <f t="shared" ca="1" si="162"/>
        <v>1781.97</v>
      </c>
      <c r="P957">
        <f t="shared" ca="1" si="163"/>
        <v>106451.99</v>
      </c>
      <c r="Q957">
        <f t="shared" ca="1" si="164"/>
        <v>5</v>
      </c>
      <c r="R957">
        <f ca="1">((Tabla2[[#This Row],[Fantasma Comunicación]]+1)/(Tabla2[[#This Row],[Fantasma Comunicación]]+RANDBETWEEN(0,5)+2))-0.5</f>
        <v>0</v>
      </c>
      <c r="S957" s="51">
        <f ca="1">1+MAX(0,Tabla2[[#This Row],[Deuda actual]]/Tabla2[[#This Row],[Liquidez]]+Tabla2[[#This Row],[Liquidez]]/(Tabla2[[#This Row],[Activos]]+Tabla2[[#This Row],[Liquidez]])+Tabla2[[#This Row],[Comunicación]])</f>
        <v>1.4981781142351496</v>
      </c>
      <c r="T957">
        <f ca="1">Tabla2[[#This Row],[Deuda actual]]*EXP(Tabla2[[#This Row],[Ki]]*Tabla2[[#This Row],[diferencia de días]])*(1+Tabla2[[#This Row],[Hg]])</f>
        <v>901.86095427005239</v>
      </c>
    </row>
    <row r="958" spans="1:20" ht="14.5" x14ac:dyDescent="0.35">
      <c r="A958">
        <f t="shared" si="166"/>
        <v>76</v>
      </c>
      <c r="B958" s="21">
        <f t="shared" ca="1" si="155"/>
        <v>46099</v>
      </c>
      <c r="C958" s="21">
        <f t="shared" ca="1" si="156"/>
        <v>46157</v>
      </c>
      <c r="D958">
        <f t="shared" ca="1" si="157"/>
        <v>11</v>
      </c>
      <c r="E958">
        <f t="shared" ca="1" si="158"/>
        <v>0.82787289027181421</v>
      </c>
      <c r="F958" s="47">
        <f t="shared" ca="1" si="159"/>
        <v>1607.9</v>
      </c>
      <c r="G958" s="32" t="str">
        <f t="shared" ca="1" si="160"/>
        <v>personal</v>
      </c>
      <c r="H95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58" t="str">
        <f t="shared" ca="1" si="161"/>
        <v>Sí</v>
      </c>
      <c r="J95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58" s="32">
        <f ca="1">IF(Tabla2[[#This Row],[¿cliente deuda abierta?]]="Sí", Tabla2[[#This Row],[Deuda actual]]*Tabla2[[#This Row],[diferencia de días]], "0")</f>
        <v>17686.900000000001</v>
      </c>
      <c r="L95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5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5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58">
        <f t="shared" ca="1" si="162"/>
        <v>1877.82</v>
      </c>
      <c r="P958">
        <f t="shared" ca="1" si="163"/>
        <v>113362.5</v>
      </c>
      <c r="Q958">
        <f t="shared" ca="1" si="164"/>
        <v>2</v>
      </c>
      <c r="R958">
        <f ca="1">((Tabla2[[#This Row],[Fantasma Comunicación]]+1)/(Tabla2[[#This Row],[Fantasma Comunicación]]+RANDBETWEEN(0,5)+2))-0.5</f>
        <v>-7.1428571428571452E-2</v>
      </c>
      <c r="S958" s="51">
        <f ca="1">1+MAX(0,Tabla2[[#This Row],[Deuda actual]]/Tabla2[[#This Row],[Liquidez]]+Tabla2[[#This Row],[Liquidez]]/(Tabla2[[#This Row],[Activos]]+Tabla2[[#This Row],[Liquidez]])+Tabla2[[#This Row],[Comunicación]])</f>
        <v>1.8011250995698118</v>
      </c>
      <c r="T958">
        <f ca="1">Tabla2[[#This Row],[Deuda actual]]*EXP(Tabla2[[#This Row],[Ki]]*Tabla2[[#This Row],[diferencia de días]])*(1+Tabla2[[#This Row],[Hg]])</f>
        <v>1692.0133376717097</v>
      </c>
    </row>
    <row r="959" spans="1:20" ht="14.5" x14ac:dyDescent="0.35">
      <c r="A959">
        <f t="shared" si="166"/>
        <v>77</v>
      </c>
      <c r="B959" s="21">
        <f t="shared" ca="1" si="155"/>
        <v>46115</v>
      </c>
      <c r="C959" s="21">
        <f t="shared" ca="1" si="156"/>
        <v>46157</v>
      </c>
      <c r="D959">
        <f t="shared" ca="1" si="157"/>
        <v>16</v>
      </c>
      <c r="E959">
        <f t="shared" ca="1" si="158"/>
        <v>0.92777424880250614</v>
      </c>
      <c r="F959" s="47">
        <f t="shared" ca="1" si="159"/>
        <v>167.69</v>
      </c>
      <c r="G959" s="32" t="str">
        <f t="shared" ca="1" si="160"/>
        <v>personal</v>
      </c>
      <c r="H95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959" t="str">
        <f t="shared" ca="1" si="161"/>
        <v>No</v>
      </c>
      <c r="J959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11999.645847566208</v>
      </c>
      <c r="K959" s="32" t="str">
        <f ca="1">IF(Tabla2[[#This Row],[¿cliente deuda abierta?]]="Sí", Tabla2[[#This Row],[Deuda actual]]*Tabla2[[#This Row],[diferencia de días]], "0")</f>
        <v>0</v>
      </c>
      <c r="L959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59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959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959">
        <f t="shared" ca="1" si="162"/>
        <v>1884.07</v>
      </c>
      <c r="P959">
        <f t="shared" ca="1" si="163"/>
        <v>201551.49</v>
      </c>
      <c r="Q959">
        <f t="shared" ca="1" si="164"/>
        <v>2</v>
      </c>
      <c r="R959">
        <f ca="1">((Tabla2[[#This Row],[Fantasma Comunicación]]+1)/(Tabla2[[#This Row],[Fantasma Comunicación]]+RANDBETWEEN(0,5)+2))-0.5</f>
        <v>0.25</v>
      </c>
      <c r="S959" s="51">
        <f ca="1">1+MAX(0,Tabla2[[#This Row],[Deuda actual]]/Tabla2[[#This Row],[Liquidez]]+Tabla2[[#This Row],[Liquidez]]/(Tabla2[[#This Row],[Activos]]+Tabla2[[#This Row],[Liquidez]])+Tabla2[[#This Row],[Comunicación]])</f>
        <v>1.3482653859460056</v>
      </c>
      <c r="T959">
        <f ca="1">Tabla2[[#This Row],[Deuda actual]]*EXP(Tabla2[[#This Row],[Ki]]*Tabla2[[#This Row],[diferencia de días]])*(1+Tabla2[[#This Row],[Hg]])</f>
        <v>151.88999186648277</v>
      </c>
    </row>
    <row r="960" spans="1:20" ht="14.5" x14ac:dyDescent="0.35">
      <c r="A960">
        <f t="shared" si="166"/>
        <v>78</v>
      </c>
      <c r="B960" s="21">
        <f t="shared" ca="1" si="155"/>
        <v>46133</v>
      </c>
      <c r="C960" s="21">
        <f t="shared" ca="1" si="156"/>
        <v>46157</v>
      </c>
      <c r="D960">
        <f t="shared" ca="1" si="157"/>
        <v>20</v>
      </c>
      <c r="E960">
        <f t="shared" ca="1" si="158"/>
        <v>0.40222866532454582</v>
      </c>
      <c r="F960" s="47">
        <f t="shared" ca="1" si="159"/>
        <v>1601.24</v>
      </c>
      <c r="G960" s="32" t="str">
        <f t="shared" ca="1" si="160"/>
        <v>personal</v>
      </c>
      <c r="H96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960" t="str">
        <f t="shared" ca="1" si="161"/>
        <v>Sí</v>
      </c>
      <c r="J96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60" s="32">
        <f ca="1">IF(Tabla2[[#This Row],[¿cliente deuda abierta?]]="Sí", Tabla2[[#This Row],[Deuda actual]]*Tabla2[[#This Row],[diferencia de días]], "0")</f>
        <v>32024.799999999999</v>
      </c>
      <c r="L96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96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60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960">
        <f t="shared" ca="1" si="162"/>
        <v>1993.35</v>
      </c>
      <c r="P960">
        <f t="shared" ca="1" si="163"/>
        <v>282147.21999999997</v>
      </c>
      <c r="Q960">
        <f t="shared" ca="1" si="164"/>
        <v>3</v>
      </c>
      <c r="R960">
        <f ca="1">((Tabla2[[#This Row],[Fantasma Comunicación]]+1)/(Tabla2[[#This Row],[Fantasma Comunicación]]+RANDBETWEEN(0,5)+2))-0.5</f>
        <v>0.16666666666666663</v>
      </c>
      <c r="S960" s="51">
        <f ca="1">1+MAX(0,Tabla2[[#This Row],[Deuda actual]]/Tabla2[[#This Row],[Liquidez]]+Tabla2[[#This Row],[Liquidez]]/(Tabla2[[#This Row],[Activos]]+Tabla2[[#This Row],[Liquidez]])+Tabla2[[#This Row],[Comunicación]])</f>
        <v>1.9769729747192741</v>
      </c>
      <c r="T960">
        <f ca="1">Tabla2[[#This Row],[Deuda actual]]*EXP(Tabla2[[#This Row],[Ki]]*Tabla2[[#This Row],[diferencia de días]])*(1+Tabla2[[#This Row],[Hg]])</f>
        <v>1775.5114262521492</v>
      </c>
    </row>
    <row r="961" spans="1:20" ht="14.5" x14ac:dyDescent="0.35">
      <c r="A961">
        <f t="shared" si="166"/>
        <v>79</v>
      </c>
      <c r="B961" s="21">
        <f t="shared" ca="1" si="155"/>
        <v>46082</v>
      </c>
      <c r="C961" s="21">
        <f t="shared" ca="1" si="156"/>
        <v>46157</v>
      </c>
      <c r="D961">
        <f t="shared" ca="1" si="157"/>
        <v>1</v>
      </c>
      <c r="E961">
        <f t="shared" ca="1" si="158"/>
        <v>7.1791823104914498E-2</v>
      </c>
      <c r="F961" s="47">
        <f t="shared" ca="1" si="159"/>
        <v>265.38</v>
      </c>
      <c r="G961" s="32" t="str">
        <f t="shared" ca="1" si="160"/>
        <v>personal</v>
      </c>
      <c r="H96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61" t="str">
        <f t="shared" ca="1" si="161"/>
        <v>Sí</v>
      </c>
      <c r="J96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61" s="32">
        <f ca="1">IF(Tabla2[[#This Row],[¿cliente deuda abierta?]]="Sí", Tabla2[[#This Row],[Deuda actual]]*Tabla2[[#This Row],[diferencia de días]], "0")</f>
        <v>265.38</v>
      </c>
      <c r="L96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6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6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61">
        <f t="shared" ca="1" si="162"/>
        <v>1305.3599999999999</v>
      </c>
      <c r="P961">
        <f t="shared" ca="1" si="163"/>
        <v>40301.06</v>
      </c>
      <c r="Q961">
        <f t="shared" ca="1" si="164"/>
        <v>1</v>
      </c>
      <c r="R961">
        <f ca="1">((Tabla2[[#This Row],[Fantasma Comunicación]]+1)/(Tabla2[[#This Row],[Fantasma Comunicación]]+RANDBETWEEN(0,5)+2))-0.5</f>
        <v>0</v>
      </c>
      <c r="S961" s="51">
        <f ca="1">1+MAX(0,Tabla2[[#This Row],[Deuda actual]]/Tabla2[[#This Row],[Liquidez]]+Tabla2[[#This Row],[Liquidez]]/(Tabla2[[#This Row],[Activos]]+Tabla2[[#This Row],[Liquidez]])+Tabla2[[#This Row],[Comunicación]])</f>
        <v>1.2346742433148226</v>
      </c>
      <c r="T961">
        <f ca="1">Tabla2[[#This Row],[Deuda actual]]*EXP(Tabla2[[#This Row],[Ki]]*Tabla2[[#This Row],[diferencia de días]])*(1+Tabla2[[#This Row],[Hg]])</f>
        <v>278.70473537335153</v>
      </c>
    </row>
    <row r="962" spans="1:20" ht="14.5" x14ac:dyDescent="0.35">
      <c r="A962">
        <f t="shared" si="166"/>
        <v>80</v>
      </c>
      <c r="B962" s="21">
        <f t="shared" ref="B962:B1000" ca="1" si="167">RANDBETWEEN(DATE(2026,3,1), DATE(2026,5,1))</f>
        <v>46088</v>
      </c>
      <c r="C962" s="21">
        <f t="shared" ref="C962:C1000" ca="1" si="168">TODAY()</f>
        <v>46157</v>
      </c>
      <c r="D962">
        <f t="shared" ref="D962:D1000" ca="1" si="169">ROUND((-(15) * LN(RAND())),0)</f>
        <v>53</v>
      </c>
      <c r="E962">
        <f t="shared" ref="E962:E1000" ca="1" si="170">RAND()</f>
        <v>0.8091158798399285</v>
      </c>
      <c r="F962" s="47">
        <f t="shared" ref="F962:F1000" ca="1" si="171">ROUND(MIN(10000, _xlfn.LOGNORM.INV(RAND(), 69/10, 13/10)),2)</f>
        <v>2001.14</v>
      </c>
      <c r="G962" s="32" t="str">
        <f t="shared" ref="G962:G1000" ca="1" si="172">IF(RAND()&lt;=0.5,"personal","hipotecario")</f>
        <v>personal</v>
      </c>
      <c r="H96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1.5E-3</v>
      </c>
      <c r="I962" t="str">
        <f t="shared" ref="I962:I1000" ca="1" si="173">IF(RAND()&lt;=0.65, "Sí", "No")</f>
        <v>Sí</v>
      </c>
      <c r="J96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62" s="32">
        <f ca="1">IF(Tabla2[[#This Row],[¿cliente deuda abierta?]]="Sí", Tabla2[[#This Row],[Deuda actual]]*Tabla2[[#This Row],[diferencia de días]], "0")</f>
        <v>106060.42</v>
      </c>
      <c r="L96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96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62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962">
        <f t="shared" ref="O962:O1000" ca="1" si="174">ROUND(1000*(_xlfn.LOGNORM.INV(RAND(), 0.5, 0.2)),2)</f>
        <v>1489.94</v>
      </c>
      <c r="P962">
        <f t="shared" ref="P962:P1000" ca="1" si="175">ROUND(50000*(_xlfn.LOGNORM.INV(RAND(), 1, 0.75)),2)</f>
        <v>52692.14</v>
      </c>
      <c r="Q962">
        <f t="shared" ref="Q962:Q1000" ca="1" si="176">RANDBETWEEN(0,5)</f>
        <v>2</v>
      </c>
      <c r="R962">
        <f ca="1">((Tabla2[[#This Row],[Fantasma Comunicación]]+1)/(Tabla2[[#This Row],[Fantasma Comunicación]]+RANDBETWEEN(0,5)+2))-0.5</f>
        <v>0.25</v>
      </c>
      <c r="S962" s="51">
        <f ca="1">1+MAX(0,Tabla2[[#This Row],[Deuda actual]]/Tabla2[[#This Row],[Liquidez]]+Tabla2[[#This Row],[Liquidez]]/(Tabla2[[#This Row],[Activos]]+Tabla2[[#This Row],[Liquidez]])+Tabla2[[#This Row],[Comunicación]])</f>
        <v>2.6205998242099318</v>
      </c>
      <c r="T962">
        <f ca="1">Tabla2[[#This Row],[Deuda actual]]*EXP(Tabla2[[#This Row],[Ki]]*Tabla2[[#This Row],[diferencia de días]])*(1+Tabla2[[#This Row],[Hg]])</f>
        <v>2491.7342663462523</v>
      </c>
    </row>
    <row r="963" spans="1:20" ht="14.5" x14ac:dyDescent="0.35">
      <c r="A963">
        <f t="shared" si="166"/>
        <v>81</v>
      </c>
      <c r="B963" s="21">
        <f t="shared" ca="1" si="167"/>
        <v>46105</v>
      </c>
      <c r="C963" s="21">
        <f t="shared" ca="1" si="168"/>
        <v>46157</v>
      </c>
      <c r="D963">
        <f t="shared" ca="1" si="169"/>
        <v>6</v>
      </c>
      <c r="E963">
        <f t="shared" ca="1" si="170"/>
        <v>0.10754650750387718</v>
      </c>
      <c r="F963" s="47">
        <f t="shared" ca="1" si="171"/>
        <v>7157.58</v>
      </c>
      <c r="G963" s="32" t="str">
        <f t="shared" ca="1" si="172"/>
        <v>personal</v>
      </c>
      <c r="H96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63" t="str">
        <f t="shared" ca="1" si="173"/>
        <v>Sí</v>
      </c>
      <c r="J96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63" s="32">
        <f ca="1">IF(Tabla2[[#This Row],[¿cliente deuda abierta?]]="Sí", Tabla2[[#This Row],[Deuda actual]]*Tabla2[[#This Row],[diferencia de días]], "0")</f>
        <v>42945.479999999996</v>
      </c>
      <c r="L96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96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63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963">
        <f t="shared" ca="1" si="174"/>
        <v>1747.97</v>
      </c>
      <c r="P963">
        <f t="shared" ca="1" si="175"/>
        <v>585863.18000000005</v>
      </c>
      <c r="Q963">
        <f t="shared" ca="1" si="176"/>
        <v>3</v>
      </c>
      <c r="R963">
        <f ca="1">((Tabla2[[#This Row],[Fantasma Comunicación]]+1)/(Tabla2[[#This Row],[Fantasma Comunicación]]+RANDBETWEEN(0,5)+2))-0.5</f>
        <v>-5.555555555555558E-2</v>
      </c>
      <c r="S963" s="51">
        <f ca="1">1+MAX(0,Tabla2[[#This Row],[Deuda actual]]/Tabla2[[#This Row],[Liquidez]]+Tabla2[[#This Row],[Liquidez]]/(Tabla2[[#This Row],[Activos]]+Tabla2[[#This Row],[Liquidez]])+Tabla2[[#This Row],[Comunicación]])</f>
        <v>5.042214827011974</v>
      </c>
      <c r="T963">
        <f ca="1">Tabla2[[#This Row],[Deuda actual]]*EXP(Tabla2[[#This Row],[Ki]]*Tabla2[[#This Row],[diferencia de días]])*(1+Tabla2[[#This Row],[Hg]])</f>
        <v>7882.7916766715616</v>
      </c>
    </row>
    <row r="964" spans="1:20" ht="14.5" x14ac:dyDescent="0.35">
      <c r="A964">
        <f t="shared" si="166"/>
        <v>82</v>
      </c>
      <c r="B964" s="21">
        <f t="shared" ca="1" si="167"/>
        <v>46119</v>
      </c>
      <c r="C964" s="21">
        <f t="shared" ca="1" si="168"/>
        <v>46157</v>
      </c>
      <c r="D964">
        <f t="shared" ca="1" si="169"/>
        <v>32</v>
      </c>
      <c r="E964">
        <f t="shared" ca="1" si="170"/>
        <v>0.90366602496588699</v>
      </c>
      <c r="F964" s="47">
        <f t="shared" ca="1" si="171"/>
        <v>3525.93</v>
      </c>
      <c r="G964" s="32" t="str">
        <f t="shared" ca="1" si="172"/>
        <v>hipotecario</v>
      </c>
      <c r="H96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964" t="str">
        <f t="shared" ca="1" si="173"/>
        <v>Sí</v>
      </c>
      <c r="J96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64" s="32">
        <f ca="1">IF(Tabla2[[#This Row],[¿cliente deuda abierta?]]="Sí", Tabla2[[#This Row],[Deuda actual]]*Tabla2[[#This Row],[diferencia de días]], "0")</f>
        <v>112829.75999999999</v>
      </c>
      <c r="L96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96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64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964">
        <f t="shared" ca="1" si="174"/>
        <v>1676.88</v>
      </c>
      <c r="P964">
        <f t="shared" ca="1" si="175"/>
        <v>106046.53</v>
      </c>
      <c r="Q964">
        <f t="shared" ca="1" si="176"/>
        <v>5</v>
      </c>
      <c r="R964">
        <f ca="1">((Tabla2[[#This Row],[Fantasma Comunicación]]+1)/(Tabla2[[#This Row],[Fantasma Comunicación]]+RANDBETWEEN(0,5)+2))-0.5</f>
        <v>0.3571428571428571</v>
      </c>
      <c r="S964" s="51">
        <f ca="1">1+MAX(0,Tabla2[[#This Row],[Deuda actual]]/Tabla2[[#This Row],[Liquidez]]+Tabla2[[#This Row],[Liquidez]]/(Tabla2[[#This Row],[Activos]]+Tabla2[[#This Row],[Liquidez]])+Tabla2[[#This Row],[Comunicación]])</f>
        <v>3.4753822109416088</v>
      </c>
      <c r="T964">
        <f ca="1">Tabla2[[#This Row],[Deuda actual]]*EXP(Tabla2[[#This Row],[Ki]]*Tabla2[[#This Row],[diferencia de días]])*(1+Tabla2[[#This Row],[Hg]])</f>
        <v>4186.6721146025466</v>
      </c>
    </row>
    <row r="965" spans="1:20" ht="14.5" x14ac:dyDescent="0.35">
      <c r="A965">
        <f t="shared" si="166"/>
        <v>83</v>
      </c>
      <c r="B965" s="21">
        <f t="shared" ca="1" si="167"/>
        <v>46134</v>
      </c>
      <c r="C965" s="21">
        <f t="shared" ca="1" si="168"/>
        <v>46157</v>
      </c>
      <c r="D965">
        <f t="shared" ca="1" si="169"/>
        <v>14</v>
      </c>
      <c r="E965">
        <f t="shared" ca="1" si="170"/>
        <v>0.23342179610428981</v>
      </c>
      <c r="F965" s="47">
        <f t="shared" ca="1" si="171"/>
        <v>1283.32</v>
      </c>
      <c r="G965" s="32" t="str">
        <f t="shared" ca="1" si="172"/>
        <v>hipotecario</v>
      </c>
      <c r="H96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65" t="str">
        <f t="shared" ca="1" si="173"/>
        <v>Sí</v>
      </c>
      <c r="J965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65" s="32">
        <f ca="1">IF(Tabla2[[#This Row],[¿cliente deuda abierta?]]="Sí", Tabla2[[#This Row],[Deuda actual]]*Tabla2[[#This Row],[diferencia de días]], "0")</f>
        <v>17966.48</v>
      </c>
      <c r="L965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65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65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65">
        <f t="shared" ca="1" si="174"/>
        <v>1914.93</v>
      </c>
      <c r="P965">
        <f t="shared" ca="1" si="175"/>
        <v>294912.65999999997</v>
      </c>
      <c r="Q965">
        <f t="shared" ca="1" si="176"/>
        <v>5</v>
      </c>
      <c r="R965">
        <f ca="1">((Tabla2[[#This Row],[Fantasma Comunicación]]+1)/(Tabla2[[#This Row],[Fantasma Comunicación]]+RANDBETWEEN(0,5)+2))-0.5</f>
        <v>0.16666666666666663</v>
      </c>
      <c r="S965" s="51">
        <f ca="1">1+MAX(0,Tabla2[[#This Row],[Deuda actual]]/Tabla2[[#This Row],[Liquidez]]+Tabla2[[#This Row],[Liquidez]]/(Tabla2[[#This Row],[Activos]]+Tabla2[[#This Row],[Liquidez]])+Tabla2[[#This Row],[Comunicación]])</f>
        <v>1.8432834765264685</v>
      </c>
      <c r="T965">
        <f ca="1">Tabla2[[#This Row],[Deuda actual]]*EXP(Tabla2[[#This Row],[Ki]]*Tabla2[[#This Row],[diferencia de días]])*(1+Tabla2[[#This Row],[Hg]])</f>
        <v>1351.2642478785751</v>
      </c>
    </row>
    <row r="966" spans="1:20" ht="14.5" x14ac:dyDescent="0.35">
      <c r="A966">
        <f t="shared" si="166"/>
        <v>84</v>
      </c>
      <c r="B966" s="21">
        <f t="shared" ca="1" si="167"/>
        <v>46128</v>
      </c>
      <c r="C966" s="21">
        <f t="shared" ca="1" si="168"/>
        <v>46157</v>
      </c>
      <c r="D966">
        <f t="shared" ca="1" si="169"/>
        <v>22</v>
      </c>
      <c r="E966">
        <f t="shared" ca="1" si="170"/>
        <v>0.35007486365420126</v>
      </c>
      <c r="F966" s="47">
        <f t="shared" ca="1" si="171"/>
        <v>1531.25</v>
      </c>
      <c r="G966" s="32" t="str">
        <f t="shared" ca="1" si="172"/>
        <v>hipotecario</v>
      </c>
      <c r="H96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966" t="str">
        <f t="shared" ca="1" si="173"/>
        <v>No</v>
      </c>
      <c r="J96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165000.34155795901</v>
      </c>
      <c r="K966" s="32" t="str">
        <f ca="1">IF(Tabla2[[#This Row],[¿cliente deuda abierta?]]="Sí", Tabla2[[#This Row],[Deuda actual]]*Tabla2[[#This Row],[diferencia de días]], "0")</f>
        <v>0</v>
      </c>
      <c r="L96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6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96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966">
        <f t="shared" ca="1" si="174"/>
        <v>2202.0500000000002</v>
      </c>
      <c r="P966">
        <f t="shared" ca="1" si="175"/>
        <v>236158.24</v>
      </c>
      <c r="Q966">
        <f t="shared" ca="1" si="176"/>
        <v>0</v>
      </c>
      <c r="R966">
        <f ca="1">((Tabla2[[#This Row],[Fantasma Comunicación]]+1)/(Tabla2[[#This Row],[Fantasma Comunicación]]+RANDBETWEEN(0,5)+2))-0.5</f>
        <v>-0.33333333333333337</v>
      </c>
      <c r="S966" s="51">
        <f ca="1">1+MAX(0,Tabla2[[#This Row],[Deuda actual]]/Tabla2[[#This Row],[Liquidez]]+Tabla2[[#This Row],[Liquidez]]/(Tabla2[[#This Row],[Activos]]+Tabla2[[#This Row],[Liquidez]])+Tabla2[[#This Row],[Comunicación]])</f>
        <v>1.371279756820234</v>
      </c>
      <c r="T966">
        <f ca="1">Tabla2[[#This Row],[Deuda actual]]*EXP(Tabla2[[#This Row],[Ki]]*Tabla2[[#This Row],[diferencia de días]])*(1+Tabla2[[#This Row],[Hg]])</f>
        <v>1235.8275714405008</v>
      </c>
    </row>
    <row r="967" spans="1:20" ht="14.5" x14ac:dyDescent="0.35">
      <c r="A967">
        <f t="shared" si="166"/>
        <v>85</v>
      </c>
      <c r="B967" s="21">
        <f t="shared" ca="1" si="167"/>
        <v>46094</v>
      </c>
      <c r="C967" s="21">
        <f t="shared" ca="1" si="168"/>
        <v>46157</v>
      </c>
      <c r="D967">
        <f t="shared" ca="1" si="169"/>
        <v>1</v>
      </c>
      <c r="E967">
        <f t="shared" ca="1" si="170"/>
        <v>0.71795805560235371</v>
      </c>
      <c r="F967" s="47">
        <f t="shared" ca="1" si="171"/>
        <v>111.03</v>
      </c>
      <c r="G967" s="32" t="str">
        <f t="shared" ca="1" si="172"/>
        <v>personal</v>
      </c>
      <c r="H96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67" t="str">
        <f t="shared" ca="1" si="173"/>
        <v>Sí</v>
      </c>
      <c r="J96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67" s="32">
        <f ca="1">IF(Tabla2[[#This Row],[¿cliente deuda abierta?]]="Sí", Tabla2[[#This Row],[Deuda actual]]*Tabla2[[#This Row],[diferencia de días]], "0")</f>
        <v>111.03</v>
      </c>
      <c r="L96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6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6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67">
        <f t="shared" ca="1" si="174"/>
        <v>1862.71</v>
      </c>
      <c r="P967">
        <f t="shared" ca="1" si="175"/>
        <v>242139.43</v>
      </c>
      <c r="Q967">
        <f t="shared" ca="1" si="176"/>
        <v>4</v>
      </c>
      <c r="R967">
        <f ca="1">((Tabla2[[#This Row],[Fantasma Comunicación]]+1)/(Tabla2[[#This Row],[Fantasma Comunicación]]+RANDBETWEEN(0,5)+2))-0.5</f>
        <v>-4.545454545454547E-2</v>
      </c>
      <c r="S967" s="51">
        <f ca="1">1+MAX(0,Tabla2[[#This Row],[Deuda actual]]/Tabla2[[#This Row],[Liquidez]]+Tabla2[[#This Row],[Liquidez]]/(Tabla2[[#This Row],[Activos]]+Tabla2[[#This Row],[Liquidez]])+Tabla2[[#This Row],[Comunicación]])</f>
        <v>1.0217861470317764</v>
      </c>
      <c r="T967">
        <f ca="1">Tabla2[[#This Row],[Deuda actual]]*EXP(Tabla2[[#This Row],[Ki]]*Tabla2[[#This Row],[diferencia de días]])*(1+Tabla2[[#This Row],[Hg]])</f>
        <v>116.60481863178546</v>
      </c>
    </row>
    <row r="968" spans="1:20" ht="14.5" x14ac:dyDescent="0.35">
      <c r="A968">
        <f t="shared" si="166"/>
        <v>86</v>
      </c>
      <c r="B968" s="21">
        <f t="shared" ca="1" si="167"/>
        <v>46118</v>
      </c>
      <c r="C968" s="21">
        <f t="shared" ca="1" si="168"/>
        <v>46157</v>
      </c>
      <c r="D968">
        <f t="shared" ca="1" si="169"/>
        <v>22</v>
      </c>
      <c r="E968">
        <f t="shared" ca="1" si="170"/>
        <v>0.97151490929492379</v>
      </c>
      <c r="F968" s="47">
        <f t="shared" ca="1" si="171"/>
        <v>5735.08</v>
      </c>
      <c r="G968" s="32" t="str">
        <f t="shared" ca="1" si="172"/>
        <v>personal</v>
      </c>
      <c r="H96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968" t="str">
        <f t="shared" ca="1" si="173"/>
        <v>Sí</v>
      </c>
      <c r="J96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68" s="32">
        <f ca="1">IF(Tabla2[[#This Row],[¿cliente deuda abierta?]]="Sí", Tabla2[[#This Row],[Deuda actual]]*Tabla2[[#This Row],[diferencia de días]], "0")</f>
        <v>126171.76</v>
      </c>
      <c r="L96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0.15</v>
      </c>
      <c r="M96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68" s="32">
        <f ca="1">MAX(Tabla2[[#This Row],[VALORES DE Hg para actuales deudores]:[Valores de HG para deudores cerrados]])*IF(Tabla2[[#This Row],[VALORES DE Hg para actuales deudores]]&gt;Tabla2[[#This Row],[Valores de HG para deudores cerrados]],-1,1)</f>
        <v>0.15</v>
      </c>
      <c r="O968">
        <f t="shared" ca="1" si="174"/>
        <v>1548.5</v>
      </c>
      <c r="P968">
        <f t="shared" ca="1" si="175"/>
        <v>414955.1</v>
      </c>
      <c r="Q968">
        <f t="shared" ca="1" si="176"/>
        <v>3</v>
      </c>
      <c r="R968">
        <f ca="1">((Tabla2[[#This Row],[Fantasma Comunicación]]+1)/(Tabla2[[#This Row],[Fantasma Comunicación]]+RANDBETWEEN(0,5)+2))-0.5</f>
        <v>0.16666666666666663</v>
      </c>
      <c r="S968" s="51">
        <f ca="1">1+MAX(0,Tabla2[[#This Row],[Deuda actual]]/Tabla2[[#This Row],[Liquidez]]+Tabla2[[#This Row],[Liquidez]]/(Tabla2[[#This Row],[Activos]]+Tabla2[[#This Row],[Liquidez]])+Tabla2[[#This Row],[Comunicación]])</f>
        <v>4.8740202982443659</v>
      </c>
      <c r="T968">
        <f ca="1">Tabla2[[#This Row],[Deuda actual]]*EXP(Tabla2[[#This Row],[Ki]]*Tabla2[[#This Row],[diferencia de días]])*(1+Tabla2[[#This Row],[Hg]])</f>
        <v>6653.6371319832933</v>
      </c>
    </row>
    <row r="969" spans="1:20" ht="14.5" x14ac:dyDescent="0.35">
      <c r="A969">
        <f t="shared" si="166"/>
        <v>87</v>
      </c>
      <c r="B969" s="21">
        <f t="shared" ca="1" si="167"/>
        <v>46090</v>
      </c>
      <c r="C969" s="21">
        <f t="shared" ca="1" si="168"/>
        <v>46157</v>
      </c>
      <c r="D969">
        <f t="shared" ca="1" si="169"/>
        <v>42</v>
      </c>
      <c r="E969">
        <f t="shared" ca="1" si="170"/>
        <v>0.29333881536377193</v>
      </c>
      <c r="F969" s="47">
        <f t="shared" ca="1" si="171"/>
        <v>593.20000000000005</v>
      </c>
      <c r="G969" s="32" t="str">
        <f t="shared" ca="1" si="172"/>
        <v>personal</v>
      </c>
      <c r="H96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969" t="str">
        <f t="shared" ca="1" si="173"/>
        <v>Sí</v>
      </c>
      <c r="J96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69" s="32">
        <f ca="1">IF(Tabla2[[#This Row],[¿cliente deuda abierta?]]="Sí", Tabla2[[#This Row],[Deuda actual]]*Tabla2[[#This Row],[diferencia de días]], "0")</f>
        <v>24914.400000000001</v>
      </c>
      <c r="L96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6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6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69">
        <f t="shared" ca="1" si="174"/>
        <v>1487.22</v>
      </c>
      <c r="P969">
        <f t="shared" ca="1" si="175"/>
        <v>264470.03000000003</v>
      </c>
      <c r="Q969">
        <f t="shared" ca="1" si="176"/>
        <v>4</v>
      </c>
      <c r="R969">
        <f ca="1">((Tabla2[[#This Row],[Fantasma Comunicación]]+1)/(Tabla2[[#This Row],[Fantasma Comunicación]]+RANDBETWEEN(0,5)+2))-0.5</f>
        <v>5.555555555555558E-2</v>
      </c>
      <c r="S969" s="51">
        <f ca="1">1+MAX(0,Tabla2[[#This Row],[Deuda actual]]/Tabla2[[#This Row],[Liquidez]]+Tabla2[[#This Row],[Liquidez]]/(Tabla2[[#This Row],[Activos]]+Tabla2[[#This Row],[Liquidez]])+Tabla2[[#This Row],[Comunicación]])</f>
        <v>1.4600125033299036</v>
      </c>
      <c r="T969">
        <f ca="1">Tabla2[[#This Row],[Deuda actual]]*EXP(Tabla2[[#This Row],[Ki]]*Tabla2[[#This Row],[diferencia de días]])*(1+Tabla2[[#This Row],[Hg]])</f>
        <v>649.57725503470044</v>
      </c>
    </row>
    <row r="970" spans="1:20" ht="14.5" x14ac:dyDescent="0.35">
      <c r="A970">
        <f t="shared" si="166"/>
        <v>88</v>
      </c>
      <c r="B970" s="21">
        <f t="shared" ca="1" si="167"/>
        <v>46102</v>
      </c>
      <c r="C970" s="21">
        <f t="shared" ca="1" si="168"/>
        <v>46157</v>
      </c>
      <c r="D970">
        <f t="shared" ca="1" si="169"/>
        <v>33</v>
      </c>
      <c r="E970">
        <f t="shared" ca="1" si="170"/>
        <v>0.21333123331253256</v>
      </c>
      <c r="F970" s="47">
        <f t="shared" ca="1" si="171"/>
        <v>1290.8399999999999</v>
      </c>
      <c r="G970" s="32" t="str">
        <f t="shared" ca="1" si="172"/>
        <v>hipotecario</v>
      </c>
      <c r="H97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970" t="str">
        <f t="shared" ca="1" si="173"/>
        <v>Sí</v>
      </c>
      <c r="J97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70" s="32">
        <f ca="1">IF(Tabla2[[#This Row],[¿cliente deuda abierta?]]="Sí", Tabla2[[#This Row],[Deuda actual]]*Tabla2[[#This Row],[diferencia de días]], "0")</f>
        <v>42597.719999999994</v>
      </c>
      <c r="L97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97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70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970">
        <f t="shared" ca="1" si="174"/>
        <v>1441.24</v>
      </c>
      <c r="P970">
        <f t="shared" ca="1" si="175"/>
        <v>85495.8</v>
      </c>
      <c r="Q970">
        <f t="shared" ca="1" si="176"/>
        <v>2</v>
      </c>
      <c r="R970">
        <f ca="1">((Tabla2[[#This Row],[Fantasma Comunicación]]+1)/(Tabla2[[#This Row],[Fantasma Comunicación]]+RANDBETWEEN(0,5)+2))-0.5</f>
        <v>0.25</v>
      </c>
      <c r="S970" s="51">
        <f ca="1">1+MAX(0,Tabla2[[#This Row],[Deuda actual]]/Tabla2[[#This Row],[Liquidez]]+Tabla2[[#This Row],[Liquidez]]/(Tabla2[[#This Row],[Activos]]+Tabla2[[#This Row],[Liquidez]])+Tabla2[[#This Row],[Comunicación]])</f>
        <v>2.1622233905762722</v>
      </c>
      <c r="T970">
        <f ca="1">Tabla2[[#This Row],[Deuda actual]]*EXP(Tabla2[[#This Row],[Ki]]*Tabla2[[#This Row],[diferencia de días]])*(1+Tabla2[[#This Row],[Hg]])</f>
        <v>1467.5632158816716</v>
      </c>
    </row>
    <row r="971" spans="1:20" ht="14.5" x14ac:dyDescent="0.35">
      <c r="A971">
        <f t="shared" si="166"/>
        <v>89</v>
      </c>
      <c r="B971" s="21">
        <f t="shared" ca="1" si="167"/>
        <v>46129</v>
      </c>
      <c r="C971" s="21">
        <f t="shared" ca="1" si="168"/>
        <v>46157</v>
      </c>
      <c r="D971">
        <f t="shared" ca="1" si="169"/>
        <v>10</v>
      </c>
      <c r="E971">
        <f t="shared" ca="1" si="170"/>
        <v>0.40556864573088391</v>
      </c>
      <c r="F971" s="47">
        <f t="shared" ca="1" si="171"/>
        <v>355.47</v>
      </c>
      <c r="G971" s="32" t="str">
        <f t="shared" ca="1" si="172"/>
        <v>personal</v>
      </c>
      <c r="H97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71" t="str">
        <f t="shared" ca="1" si="173"/>
        <v>No</v>
      </c>
      <c r="J971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12000.316898511872</v>
      </c>
      <c r="K971" s="32" t="str">
        <f ca="1">IF(Tabla2[[#This Row],[¿cliente deuda abierta?]]="Sí", Tabla2[[#This Row],[Deuda actual]]*Tabla2[[#This Row],[diferencia de días]], "0")</f>
        <v>0</v>
      </c>
      <c r="L97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71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971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971">
        <f t="shared" ca="1" si="174"/>
        <v>1923.34</v>
      </c>
      <c r="P971">
        <f t="shared" ca="1" si="175"/>
        <v>232946.57</v>
      </c>
      <c r="Q971">
        <f t="shared" ca="1" si="176"/>
        <v>3</v>
      </c>
      <c r="R971">
        <f ca="1">((Tabla2[[#This Row],[Fantasma Comunicación]]+1)/(Tabla2[[#This Row],[Fantasma Comunicación]]+RANDBETWEEN(0,5)+2))-0.5</f>
        <v>-5.555555555555558E-2</v>
      </c>
      <c r="S971" s="51">
        <f ca="1">1+MAX(0,Tabla2[[#This Row],[Deuda actual]]/Tabla2[[#This Row],[Liquidez]]+Tabla2[[#This Row],[Liquidez]]/(Tabla2[[#This Row],[Activos]]+Tabla2[[#This Row],[Liquidez]])+Tabla2[[#This Row],[Comunicación]])</f>
        <v>1.1374525199196621</v>
      </c>
      <c r="T971">
        <f ca="1">Tabla2[[#This Row],[Deuda actual]]*EXP(Tabla2[[#This Row],[Ki]]*Tabla2[[#This Row],[diferencia de días]])*(1+Tabla2[[#This Row],[Hg]])</f>
        <v>320.56348627277742</v>
      </c>
    </row>
    <row r="972" spans="1:20" ht="14.5" x14ac:dyDescent="0.35">
      <c r="A972">
        <f t="shared" si="166"/>
        <v>90</v>
      </c>
      <c r="B972" s="21">
        <f t="shared" ca="1" si="167"/>
        <v>46135</v>
      </c>
      <c r="C972" s="21">
        <f t="shared" ca="1" si="168"/>
        <v>46157</v>
      </c>
      <c r="D972">
        <f t="shared" ca="1" si="169"/>
        <v>14</v>
      </c>
      <c r="E972">
        <f t="shared" ca="1" si="170"/>
        <v>0.34298785233890083</v>
      </c>
      <c r="F972" s="47">
        <f t="shared" ca="1" si="171"/>
        <v>1570.09</v>
      </c>
      <c r="G972" s="32" t="str">
        <f t="shared" ca="1" si="172"/>
        <v>hipotecario</v>
      </c>
      <c r="H97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72" t="str">
        <f t="shared" ca="1" si="173"/>
        <v>Sí</v>
      </c>
      <c r="J97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72" s="32">
        <f ca="1">IF(Tabla2[[#This Row],[¿cliente deuda abierta?]]="Sí", Tabla2[[#This Row],[Deuda actual]]*Tabla2[[#This Row],[diferencia de días]], "0")</f>
        <v>21981.26</v>
      </c>
      <c r="L97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7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7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72">
        <f t="shared" ca="1" si="174"/>
        <v>2284.27</v>
      </c>
      <c r="P972">
        <f t="shared" ca="1" si="175"/>
        <v>254510.12</v>
      </c>
      <c r="Q972">
        <f t="shared" ca="1" si="176"/>
        <v>5</v>
      </c>
      <c r="R972">
        <f ca="1">((Tabla2[[#This Row],[Fantasma Comunicación]]+1)/(Tabla2[[#This Row],[Fantasma Comunicación]]+RANDBETWEEN(0,5)+2))-0.5</f>
        <v>0.3571428571428571</v>
      </c>
      <c r="S972" s="51">
        <f ca="1">1+MAX(0,Tabla2[[#This Row],[Deuda actual]]/Tabla2[[#This Row],[Liquidez]]+Tabla2[[#This Row],[Liquidez]]/(Tabla2[[#This Row],[Activos]]+Tabla2[[#This Row],[Liquidez]])+Tabla2[[#This Row],[Comunicación]])</f>
        <v>2.053386877322767</v>
      </c>
      <c r="T972">
        <f ca="1">Tabla2[[#This Row],[Deuda actual]]*EXP(Tabla2[[#This Row],[Ki]]*Tabla2[[#This Row],[diferencia de días]])*(1+Tabla2[[#This Row],[Hg]])</f>
        <v>1653.2170331263221</v>
      </c>
    </row>
    <row r="973" spans="1:20" ht="14.5" x14ac:dyDescent="0.35">
      <c r="A973">
        <f t="shared" si="166"/>
        <v>91</v>
      </c>
      <c r="B973" s="21">
        <f t="shared" ca="1" si="167"/>
        <v>46094</v>
      </c>
      <c r="C973" s="21">
        <f t="shared" ca="1" si="168"/>
        <v>46157</v>
      </c>
      <c r="D973">
        <f t="shared" ca="1" si="169"/>
        <v>9</v>
      </c>
      <c r="E973">
        <f t="shared" ca="1" si="170"/>
        <v>5.0167183925798331E-2</v>
      </c>
      <c r="F973" s="47">
        <f t="shared" ca="1" si="171"/>
        <v>155.33000000000001</v>
      </c>
      <c r="G973" s="32" t="str">
        <f t="shared" ca="1" si="172"/>
        <v>hipotecario</v>
      </c>
      <c r="H97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73" t="str">
        <f t="shared" ca="1" si="173"/>
        <v>Sí</v>
      </c>
      <c r="J973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73" s="32">
        <f ca="1">IF(Tabla2[[#This Row],[¿cliente deuda abierta?]]="Sí", Tabla2[[#This Row],[Deuda actual]]*Tabla2[[#This Row],[diferencia de días]], "0")</f>
        <v>1397.97</v>
      </c>
      <c r="L97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73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73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73">
        <f t="shared" ca="1" si="174"/>
        <v>2187.92</v>
      </c>
      <c r="P973">
        <f t="shared" ca="1" si="175"/>
        <v>117182.76</v>
      </c>
      <c r="Q973">
        <f t="shared" ca="1" si="176"/>
        <v>4</v>
      </c>
      <c r="R973">
        <f ca="1">((Tabla2[[#This Row],[Fantasma Comunicación]]+1)/(Tabla2[[#This Row],[Fantasma Comunicación]]+RANDBETWEEN(0,5)+2))-0.5</f>
        <v>5.555555555555558E-2</v>
      </c>
      <c r="S973" s="51">
        <f ca="1">1+MAX(0,Tabla2[[#This Row],[Deuda actual]]/Tabla2[[#This Row],[Liquidez]]+Tabla2[[#This Row],[Liquidez]]/(Tabla2[[#This Row],[Activos]]+Tabla2[[#This Row],[Liquidez]])+Tabla2[[#This Row],[Comunicación]])</f>
        <v>1.1448787135821852</v>
      </c>
      <c r="T973">
        <f ca="1">Tabla2[[#This Row],[Deuda actual]]*EXP(Tabla2[[#This Row],[Ki]]*Tabla2[[#This Row],[diferencia de días]])*(1+Tabla2[[#This Row],[Hg]])</f>
        <v>163.39033807493121</v>
      </c>
    </row>
    <row r="974" spans="1:20" ht="14.5" x14ac:dyDescent="0.35">
      <c r="A974">
        <f t="shared" si="166"/>
        <v>92</v>
      </c>
      <c r="B974" s="21">
        <f t="shared" ca="1" si="167"/>
        <v>46130</v>
      </c>
      <c r="C974" s="21">
        <f t="shared" ca="1" si="168"/>
        <v>46157</v>
      </c>
      <c r="D974">
        <f t="shared" ca="1" si="169"/>
        <v>11</v>
      </c>
      <c r="E974">
        <f t="shared" ca="1" si="170"/>
        <v>6.3082028892104791E-2</v>
      </c>
      <c r="F974" s="47">
        <f t="shared" ca="1" si="171"/>
        <v>400.7</v>
      </c>
      <c r="G974" s="32" t="str">
        <f t="shared" ca="1" si="172"/>
        <v>hipotecario</v>
      </c>
      <c r="H97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74" t="str">
        <f t="shared" ca="1" si="173"/>
        <v>No</v>
      </c>
      <c r="J97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165000.0681858013</v>
      </c>
      <c r="K974" s="32" t="str">
        <f ca="1">IF(Tabla2[[#This Row],[¿cliente deuda abierta?]]="Sí", Tabla2[[#This Row],[Deuda actual]]*Tabla2[[#This Row],[diferencia de días]], "0")</f>
        <v>0</v>
      </c>
      <c r="L97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7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97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974">
        <f t="shared" ca="1" si="174"/>
        <v>1663.71</v>
      </c>
      <c r="P974">
        <f t="shared" ca="1" si="175"/>
        <v>197151.43</v>
      </c>
      <c r="Q974">
        <f t="shared" ca="1" si="176"/>
        <v>5</v>
      </c>
      <c r="R974">
        <f ca="1">((Tabla2[[#This Row],[Fantasma Comunicación]]+1)/(Tabla2[[#This Row],[Fantasma Comunicación]]+RANDBETWEEN(0,5)+2))-0.5</f>
        <v>0.16666666666666663</v>
      </c>
      <c r="S974" s="51">
        <f ca="1">1+MAX(0,Tabla2[[#This Row],[Deuda actual]]/Tabla2[[#This Row],[Liquidez]]+Tabla2[[#This Row],[Liquidez]]/(Tabla2[[#This Row],[Activos]]+Tabla2[[#This Row],[Liquidez]])+Tabla2[[#This Row],[Comunicación]])</f>
        <v>1.4158820549959314</v>
      </c>
      <c r="T974">
        <f ca="1">Tabla2[[#This Row],[Deuda actual]]*EXP(Tabla2[[#This Row],[Ki]]*Tabla2[[#This Row],[diferencia de días]])*(1+Tabla2[[#This Row],[Hg]])</f>
        <v>321.26600832440016</v>
      </c>
    </row>
    <row r="975" spans="1:20" ht="14.5" x14ac:dyDescent="0.35">
      <c r="A975">
        <f t="shared" si="166"/>
        <v>93</v>
      </c>
      <c r="B975" s="21">
        <f t="shared" ca="1" si="167"/>
        <v>46104</v>
      </c>
      <c r="C975" s="21">
        <f t="shared" ca="1" si="168"/>
        <v>46157</v>
      </c>
      <c r="D975">
        <f t="shared" ca="1" si="169"/>
        <v>2</v>
      </c>
      <c r="E975">
        <f t="shared" ca="1" si="170"/>
        <v>0.27695437708751414</v>
      </c>
      <c r="F975" s="47">
        <f t="shared" ca="1" si="171"/>
        <v>1462.91</v>
      </c>
      <c r="G975" s="32" t="str">
        <f t="shared" ca="1" si="172"/>
        <v>personal</v>
      </c>
      <c r="H97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75" t="str">
        <f t="shared" ca="1" si="173"/>
        <v>No</v>
      </c>
      <c r="J97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12000.03320595434</v>
      </c>
      <c r="K975" s="32" t="str">
        <f ca="1">IF(Tabla2[[#This Row],[¿cliente deuda abierta?]]="Sí", Tabla2[[#This Row],[Deuda actual]]*Tabla2[[#This Row],[diferencia de días]], "0")</f>
        <v>0</v>
      </c>
      <c r="L97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7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97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975">
        <f t="shared" ca="1" si="174"/>
        <v>1451.9</v>
      </c>
      <c r="P975">
        <f t="shared" ca="1" si="175"/>
        <v>111687.03999999999</v>
      </c>
      <c r="Q975">
        <f t="shared" ca="1" si="176"/>
        <v>2</v>
      </c>
      <c r="R975">
        <f ca="1">((Tabla2[[#This Row],[Fantasma Comunicación]]+1)/(Tabla2[[#This Row],[Fantasma Comunicación]]+RANDBETWEEN(0,5)+2))-0.5</f>
        <v>0.25</v>
      </c>
      <c r="S975" s="51">
        <f ca="1">1+MAX(0,Tabla2[[#This Row],[Deuda actual]]/Tabla2[[#This Row],[Liquidez]]+Tabla2[[#This Row],[Liquidez]]/(Tabla2[[#This Row],[Activos]]+Tabla2[[#This Row],[Liquidez]])+Tabla2[[#This Row],[Comunicación]])</f>
        <v>2.2704160606700592</v>
      </c>
      <c r="T975">
        <f ca="1">Tabla2[[#This Row],[Deuda actual]]*EXP(Tabla2[[#This Row],[Ki]]*Tabla2[[#This Row],[diferencia de días]])*(1+Tabla2[[#This Row],[Hg]])</f>
        <v>1317.1457529435656</v>
      </c>
    </row>
    <row r="976" spans="1:20" ht="14.5" x14ac:dyDescent="0.35">
      <c r="A976">
        <f t="shared" si="166"/>
        <v>94</v>
      </c>
      <c r="B976" s="21">
        <f t="shared" ca="1" si="167"/>
        <v>46097</v>
      </c>
      <c r="C976" s="21">
        <f t="shared" ca="1" si="168"/>
        <v>46157</v>
      </c>
      <c r="D976">
        <f t="shared" ca="1" si="169"/>
        <v>6</v>
      </c>
      <c r="E976">
        <f t="shared" ca="1" si="170"/>
        <v>0.65713143057570467</v>
      </c>
      <c r="F976" s="47">
        <f t="shared" ca="1" si="171"/>
        <v>8952.69</v>
      </c>
      <c r="G976" s="32" t="str">
        <f t="shared" ca="1" si="172"/>
        <v>personal</v>
      </c>
      <c r="H97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76" t="str">
        <f t="shared" ca="1" si="173"/>
        <v>Sí</v>
      </c>
      <c r="J97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76" s="32">
        <f ca="1">IF(Tabla2[[#This Row],[¿cliente deuda abierta?]]="Sí", Tabla2[[#This Row],[Deuda actual]]*Tabla2[[#This Row],[diferencia de días]], "0")</f>
        <v>53716.14</v>
      </c>
      <c r="L97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97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76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976">
        <f t="shared" ca="1" si="174"/>
        <v>1333.17</v>
      </c>
      <c r="P976">
        <f t="shared" ca="1" si="175"/>
        <v>94248.46</v>
      </c>
      <c r="Q976">
        <f t="shared" ca="1" si="176"/>
        <v>0</v>
      </c>
      <c r="R976">
        <f ca="1">((Tabla2[[#This Row],[Fantasma Comunicación]]+1)/(Tabla2[[#This Row],[Fantasma Comunicación]]+RANDBETWEEN(0,5)+2))-0.5</f>
        <v>-0.35714285714285715</v>
      </c>
      <c r="S976" s="51">
        <f ca="1">1+MAX(0,Tabla2[[#This Row],[Deuda actual]]/Tabla2[[#This Row],[Liquidez]]+Tabla2[[#This Row],[Liquidez]]/(Tabla2[[#This Row],[Activos]]+Tabla2[[#This Row],[Liquidez]])+Tabla2[[#This Row],[Comunicación]])</f>
        <v>7.3721452450801328</v>
      </c>
      <c r="T976">
        <f ca="1">Tabla2[[#This Row],[Deuda actual]]*EXP(Tabla2[[#This Row],[Ki]]*Tabla2[[#This Row],[diferencia de días]])*(1+Tabla2[[#This Row],[Hg]])</f>
        <v>9859.7836441675445</v>
      </c>
    </row>
    <row r="977" spans="1:20" ht="14.5" x14ac:dyDescent="0.35">
      <c r="A977">
        <f t="shared" si="166"/>
        <v>95</v>
      </c>
      <c r="B977" s="21">
        <f t="shared" ca="1" si="167"/>
        <v>46110</v>
      </c>
      <c r="C977" s="21">
        <f t="shared" ca="1" si="168"/>
        <v>46157</v>
      </c>
      <c r="D977">
        <f t="shared" ca="1" si="169"/>
        <v>8</v>
      </c>
      <c r="E977">
        <f t="shared" ca="1" si="170"/>
        <v>0.89107837553147096</v>
      </c>
      <c r="F977" s="47">
        <f t="shared" ca="1" si="171"/>
        <v>245.25</v>
      </c>
      <c r="G977" s="32" t="str">
        <f t="shared" ca="1" si="172"/>
        <v>hipotecario</v>
      </c>
      <c r="H97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77" t="str">
        <f t="shared" ca="1" si="173"/>
        <v>Sí</v>
      </c>
      <c r="J97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77" s="32">
        <f ca="1">IF(Tabla2[[#This Row],[¿cliente deuda abierta?]]="Sí", Tabla2[[#This Row],[Deuda actual]]*Tabla2[[#This Row],[diferencia de días]], "0")</f>
        <v>1962</v>
      </c>
      <c r="L97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7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7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77">
        <f t="shared" ca="1" si="174"/>
        <v>2110.5500000000002</v>
      </c>
      <c r="P977">
        <f t="shared" ca="1" si="175"/>
        <v>151745.73000000001</v>
      </c>
      <c r="Q977">
        <f t="shared" ca="1" si="176"/>
        <v>3</v>
      </c>
      <c r="R977">
        <f ca="1">((Tabla2[[#This Row],[Fantasma Comunicación]]+1)/(Tabla2[[#This Row],[Fantasma Comunicación]]+RANDBETWEEN(0,5)+2))-0.5</f>
        <v>0.30000000000000004</v>
      </c>
      <c r="S977" s="51">
        <f ca="1">1+MAX(0,Tabla2[[#This Row],[Deuda actual]]/Tabla2[[#This Row],[Liquidez]]+Tabla2[[#This Row],[Liquidez]]/(Tabla2[[#This Row],[Activos]]+Tabla2[[#This Row],[Liquidez]])+Tabla2[[#This Row],[Comunicación]])</f>
        <v>1.4299196099863123</v>
      </c>
      <c r="T977">
        <f ca="1">Tabla2[[#This Row],[Deuda actual]]*EXP(Tabla2[[#This Row],[Ki]]*Tabla2[[#This Row],[diferencia de días]])*(1+Tabla2[[#This Row],[Hg]])</f>
        <v>257.92484979186554</v>
      </c>
    </row>
    <row r="978" spans="1:20" ht="14.5" x14ac:dyDescent="0.35">
      <c r="A978">
        <f t="shared" si="166"/>
        <v>96</v>
      </c>
      <c r="B978" s="21">
        <f t="shared" ca="1" si="167"/>
        <v>46082</v>
      </c>
      <c r="C978" s="21">
        <f t="shared" ca="1" si="168"/>
        <v>46157</v>
      </c>
      <c r="D978">
        <f t="shared" ca="1" si="169"/>
        <v>35</v>
      </c>
      <c r="E978">
        <f t="shared" ca="1" si="170"/>
        <v>0.29426775188869692</v>
      </c>
      <c r="F978" s="47">
        <f t="shared" ca="1" si="171"/>
        <v>2820.09</v>
      </c>
      <c r="G978" s="32" t="str">
        <f t="shared" ca="1" si="172"/>
        <v>personal</v>
      </c>
      <c r="H97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978" t="str">
        <f t="shared" ca="1" si="173"/>
        <v>No</v>
      </c>
      <c r="J978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11999.597303153707</v>
      </c>
      <c r="K978" s="32" t="str">
        <f ca="1">IF(Tabla2[[#This Row],[¿cliente deuda abierta?]]="Sí", Tabla2[[#This Row],[Deuda actual]]*Tabla2[[#This Row],[diferencia de días]], "0")</f>
        <v>0</v>
      </c>
      <c r="L978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78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978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978">
        <f t="shared" ca="1" si="174"/>
        <v>1191.83</v>
      </c>
      <c r="P978">
        <f t="shared" ca="1" si="175"/>
        <v>246142.12</v>
      </c>
      <c r="Q978">
        <f t="shared" ca="1" si="176"/>
        <v>1</v>
      </c>
      <c r="R978">
        <f ca="1">((Tabla2[[#This Row],[Fantasma Comunicación]]+1)/(Tabla2[[#This Row],[Fantasma Comunicación]]+RANDBETWEEN(0,5)+2))-0.5</f>
        <v>-0.25</v>
      </c>
      <c r="S978" s="51">
        <f ca="1">1+MAX(0,Tabla2[[#This Row],[Deuda actual]]/Tabla2[[#This Row],[Liquidez]]+Tabla2[[#This Row],[Liquidez]]/(Tabla2[[#This Row],[Activos]]+Tabla2[[#This Row],[Liquidez]])+Tabla2[[#This Row],[Comunicación]])</f>
        <v>3.1210034823364925</v>
      </c>
      <c r="T978">
        <f ca="1">Tabla2[[#This Row],[Deuda actual]]*EXP(Tabla2[[#This Row],[Ki]]*Tabla2[[#This Row],[diferencia de días]])*(1+Tabla2[[#This Row],[Hg]])</f>
        <v>2628.4867061298569</v>
      </c>
    </row>
    <row r="979" spans="1:20" ht="14.5" x14ac:dyDescent="0.35">
      <c r="A979">
        <f t="shared" si="166"/>
        <v>97</v>
      </c>
      <c r="B979" s="21">
        <f t="shared" ca="1" si="167"/>
        <v>46111</v>
      </c>
      <c r="C979" s="21">
        <f t="shared" ca="1" si="168"/>
        <v>46157</v>
      </c>
      <c r="D979">
        <f t="shared" ca="1" si="169"/>
        <v>8</v>
      </c>
      <c r="E979">
        <f t="shared" ca="1" si="170"/>
        <v>0.89208460909167897</v>
      </c>
      <c r="F979" s="47">
        <f t="shared" ca="1" si="171"/>
        <v>3111.85</v>
      </c>
      <c r="G979" s="32" t="str">
        <f t="shared" ca="1" si="172"/>
        <v>hipotecario</v>
      </c>
      <c r="H97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79" t="str">
        <f t="shared" ca="1" si="173"/>
        <v>Sí</v>
      </c>
      <c r="J97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79" s="32">
        <f ca="1">IF(Tabla2[[#This Row],[¿cliente deuda abierta?]]="Sí", Tabla2[[#This Row],[Deuda actual]]*Tabla2[[#This Row],[diferencia de días]], "0")</f>
        <v>24894.799999999999</v>
      </c>
      <c r="L97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7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7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79">
        <f t="shared" ca="1" si="174"/>
        <v>1573.62</v>
      </c>
      <c r="P979">
        <f t="shared" ca="1" si="175"/>
        <v>256914.3</v>
      </c>
      <c r="Q979">
        <f t="shared" ca="1" si="176"/>
        <v>4</v>
      </c>
      <c r="R979">
        <f ca="1">((Tabla2[[#This Row],[Fantasma Comunicación]]+1)/(Tabla2[[#This Row],[Fantasma Comunicación]]+RANDBETWEEN(0,5)+2))-0.5</f>
        <v>0.125</v>
      </c>
      <c r="S979" s="51">
        <f ca="1">1+MAX(0,Tabla2[[#This Row],[Deuda actual]]/Tabla2[[#This Row],[Liquidez]]+Tabla2[[#This Row],[Liquidez]]/(Tabla2[[#This Row],[Activos]]+Tabla2[[#This Row],[Liquidez]])+Tabla2[[#This Row],[Comunicación]])</f>
        <v>3.1085982429287249</v>
      </c>
      <c r="T979">
        <f ca="1">Tabla2[[#This Row],[Deuda actual]]*EXP(Tabla2[[#This Row],[Ki]]*Tabla2[[#This Row],[diferencia de días]])*(1+Tabla2[[#This Row],[Hg]])</f>
        <v>3272.6745925578662</v>
      </c>
    </row>
    <row r="980" spans="1:20" ht="14.5" x14ac:dyDescent="0.35">
      <c r="A980">
        <f t="shared" ref="A980:A1000" si="177">A979+1</f>
        <v>98</v>
      </c>
      <c r="B980" s="21">
        <f t="shared" ca="1" si="167"/>
        <v>46124</v>
      </c>
      <c r="C980" s="21">
        <f t="shared" ca="1" si="168"/>
        <v>46157</v>
      </c>
      <c r="D980">
        <f t="shared" ca="1" si="169"/>
        <v>1</v>
      </c>
      <c r="E980">
        <f t="shared" ca="1" si="170"/>
        <v>5.5537910315010652E-2</v>
      </c>
      <c r="F980" s="47">
        <f t="shared" ca="1" si="171"/>
        <v>535.77</v>
      </c>
      <c r="G980" s="32" t="str">
        <f t="shared" ca="1" si="172"/>
        <v>personal</v>
      </c>
      <c r="H98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80" t="str">
        <f t="shared" ca="1" si="173"/>
        <v>Sí</v>
      </c>
      <c r="J98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80" s="32">
        <f ca="1">IF(Tabla2[[#This Row],[¿cliente deuda abierta?]]="Sí", Tabla2[[#This Row],[Deuda actual]]*Tabla2[[#This Row],[diferencia de días]], "0")</f>
        <v>535.77</v>
      </c>
      <c r="L98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8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8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80">
        <f t="shared" ca="1" si="174"/>
        <v>1609.56</v>
      </c>
      <c r="P980">
        <f t="shared" ca="1" si="175"/>
        <v>148072.91</v>
      </c>
      <c r="Q980">
        <f t="shared" ca="1" si="176"/>
        <v>3</v>
      </c>
      <c r="R980">
        <f ca="1">((Tabla2[[#This Row],[Fantasma Comunicación]]+1)/(Tabla2[[#This Row],[Fantasma Comunicación]]+RANDBETWEEN(0,5)+2))-0.5</f>
        <v>0.30000000000000004</v>
      </c>
      <c r="S980" s="51">
        <f ca="1">1+MAX(0,Tabla2[[#This Row],[Deuda actual]]/Tabla2[[#This Row],[Liquidez]]+Tabla2[[#This Row],[Liquidez]]/(Tabla2[[#This Row],[Activos]]+Tabla2[[#This Row],[Liquidez]])+Tabla2[[#This Row],[Comunicación]])</f>
        <v>1.6436205304916531</v>
      </c>
      <c r="T980">
        <f ca="1">Tabla2[[#This Row],[Deuda actual]]*EXP(Tabla2[[#This Row],[Ki]]*Tabla2[[#This Row],[diferencia de días]])*(1+Tabla2[[#This Row],[Hg]])</f>
        <v>562.67102295192012</v>
      </c>
    </row>
    <row r="981" spans="1:20" ht="14.5" x14ac:dyDescent="0.35">
      <c r="A981">
        <f t="shared" si="177"/>
        <v>99</v>
      </c>
      <c r="B981" s="21">
        <f t="shared" ca="1" si="167"/>
        <v>46091</v>
      </c>
      <c r="C981" s="21">
        <f t="shared" ca="1" si="168"/>
        <v>46157</v>
      </c>
      <c r="D981">
        <f t="shared" ca="1" si="169"/>
        <v>0</v>
      </c>
      <c r="E981">
        <f t="shared" ca="1" si="170"/>
        <v>0.87307777483834959</v>
      </c>
      <c r="F981" s="47">
        <f t="shared" ca="1" si="171"/>
        <v>10000</v>
      </c>
      <c r="G981" s="32" t="str">
        <f t="shared" ca="1" si="172"/>
        <v>hipotecario</v>
      </c>
      <c r="H98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81" t="str">
        <f t="shared" ca="1" si="173"/>
        <v>Sí</v>
      </c>
      <c r="J98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81" s="32">
        <f ca="1">IF(Tabla2[[#This Row],[¿cliente deuda abierta?]]="Sí", Tabla2[[#This Row],[Deuda actual]]*Tabla2[[#This Row],[diferencia de días]], "0")</f>
        <v>0</v>
      </c>
      <c r="L981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8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81" s="32">
        <f ca="1">MAX(Tabla2[[#This Row],[VALORES DE Hg para actuales deudores]:[Valores de HG para deudores cerrados]])*IF(Tabla2[[#This Row],[VALORES DE Hg para actuales deudores]]&gt;Tabla2[[#This Row],[Valores de HG para deudores cerrados]],-1,1)</f>
        <v>0</v>
      </c>
      <c r="O981">
        <f t="shared" ca="1" si="174"/>
        <v>1667.16</v>
      </c>
      <c r="P981">
        <f t="shared" ca="1" si="175"/>
        <v>88802.79</v>
      </c>
      <c r="Q981">
        <f t="shared" ca="1" si="176"/>
        <v>2</v>
      </c>
      <c r="R981">
        <f ca="1">((Tabla2[[#This Row],[Fantasma Comunicación]]+1)/(Tabla2[[#This Row],[Fantasma Comunicación]]+RANDBETWEEN(0,5)+2))-0.5</f>
        <v>-0.125</v>
      </c>
      <c r="S981" s="51">
        <f ca="1">1+MAX(0,Tabla2[[#This Row],[Deuda actual]]/Tabla2[[#This Row],[Liquidez]]+Tabla2[[#This Row],[Liquidez]]/(Tabla2[[#This Row],[Activos]]+Tabla2[[#This Row],[Liquidez]])+Tabla2[[#This Row],[Comunicación]])</f>
        <v>6.8916523018352205</v>
      </c>
      <c r="T981">
        <f ca="1">Tabla2[[#This Row],[Deuda actual]]*EXP(Tabla2[[#This Row],[Ki]]*Tabla2[[#This Row],[diferencia de días]])*(1+Tabla2[[#This Row],[Hg]])</f>
        <v>10000</v>
      </c>
    </row>
    <row r="982" spans="1:20" ht="14.5" x14ac:dyDescent="0.35">
      <c r="A982">
        <f t="shared" si="177"/>
        <v>100</v>
      </c>
      <c r="B982" s="21">
        <f t="shared" ca="1" si="167"/>
        <v>46096</v>
      </c>
      <c r="C982" s="21">
        <f t="shared" ca="1" si="168"/>
        <v>46157</v>
      </c>
      <c r="D982">
        <f t="shared" ca="1" si="169"/>
        <v>33</v>
      </c>
      <c r="E982">
        <f t="shared" ca="1" si="170"/>
        <v>0.27790837391584144</v>
      </c>
      <c r="F982" s="47">
        <f t="shared" ca="1" si="171"/>
        <v>454.69</v>
      </c>
      <c r="G982" s="32" t="str">
        <f t="shared" ca="1" si="172"/>
        <v>personal</v>
      </c>
      <c r="H98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982" t="str">
        <f t="shared" ca="1" si="173"/>
        <v>Sí</v>
      </c>
      <c r="J98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82" s="32">
        <f ca="1">IF(Tabla2[[#This Row],[¿cliente deuda abierta?]]="Sí", Tabla2[[#This Row],[Deuda actual]]*Tabla2[[#This Row],[diferencia de días]], "0")</f>
        <v>15004.77</v>
      </c>
      <c r="L98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8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82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82">
        <f t="shared" ca="1" si="174"/>
        <v>1455.91</v>
      </c>
      <c r="P982">
        <f t="shared" ca="1" si="175"/>
        <v>143801.97</v>
      </c>
      <c r="Q982">
        <f t="shared" ca="1" si="176"/>
        <v>1</v>
      </c>
      <c r="R982">
        <f ca="1">((Tabla2[[#This Row],[Fantasma Comunicación]]+1)/(Tabla2[[#This Row],[Fantasma Comunicación]]+RANDBETWEEN(0,5)+2))-0.5</f>
        <v>-9.9999999999999978E-2</v>
      </c>
      <c r="S982" s="51">
        <f ca="1">1+MAX(0,Tabla2[[#This Row],[Deuda actual]]/Tabla2[[#This Row],[Liquidez]]+Tabla2[[#This Row],[Liquidez]]/(Tabla2[[#This Row],[Activos]]+Tabla2[[#This Row],[Liquidez]])+Tabla2[[#This Row],[Comunicación]])</f>
        <v>1.2223293255726202</v>
      </c>
      <c r="T982">
        <f ca="1">Tabla2[[#This Row],[Deuda actual]]*EXP(Tabla2[[#This Row],[Ki]]*Tabla2[[#This Row],[diferencia de días]])*(1+Tabla2[[#This Row],[Hg]])</f>
        <v>493.44234942201075</v>
      </c>
    </row>
    <row r="983" spans="1:20" ht="14.5" x14ac:dyDescent="0.35">
      <c r="A983">
        <f t="shared" si="177"/>
        <v>101</v>
      </c>
      <c r="B983" s="21">
        <f t="shared" ca="1" si="167"/>
        <v>46122</v>
      </c>
      <c r="C983" s="21">
        <f t="shared" ca="1" si="168"/>
        <v>46157</v>
      </c>
      <c r="D983">
        <f t="shared" ca="1" si="169"/>
        <v>111</v>
      </c>
      <c r="E983">
        <f t="shared" ca="1" si="170"/>
        <v>0.73250678431167671</v>
      </c>
      <c r="F983" s="47">
        <f t="shared" ca="1" si="171"/>
        <v>504.93</v>
      </c>
      <c r="G983" s="32" t="str">
        <f t="shared" ca="1" si="172"/>
        <v>personal</v>
      </c>
      <c r="H98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0</v>
      </c>
      <c r="I983" t="str">
        <f t="shared" ca="1" si="173"/>
        <v>No</v>
      </c>
      <c r="J98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11999.556512626694</v>
      </c>
      <c r="K983" s="32" t="str">
        <f ca="1">IF(Tabla2[[#This Row],[¿cliente deuda abierta?]]="Sí", Tabla2[[#This Row],[Deuda actual]]*Tabla2[[#This Row],[diferencia de días]], "0")</f>
        <v>0</v>
      </c>
      <c r="L983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0.5</v>
      </c>
      <c r="M98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98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-0.5</v>
      </c>
      <c r="O983">
        <f t="shared" ca="1" si="174"/>
        <v>1667.09</v>
      </c>
      <c r="P983">
        <f t="shared" ca="1" si="175"/>
        <v>140257.25</v>
      </c>
      <c r="Q983">
        <f t="shared" ca="1" si="176"/>
        <v>1</v>
      </c>
      <c r="R983">
        <f ca="1">((Tabla2[[#This Row],[Fantasma Comunicación]]+1)/(Tabla2[[#This Row],[Fantasma Comunicación]]+RANDBETWEEN(0,5)+2))-0.5</f>
        <v>0.16666666666666663</v>
      </c>
      <c r="S983" s="51">
        <f ca="1">1+MAX(0,Tabla2[[#This Row],[Deuda actual]]/Tabla2[[#This Row],[Liquidez]]+Tabla2[[#This Row],[Liquidez]]/(Tabla2[[#This Row],[Activos]]+Tabla2[[#This Row],[Liquidez]])+Tabla2[[#This Row],[Comunicación]])</f>
        <v>1.4812940639405323</v>
      </c>
      <c r="T983">
        <f ca="1">Tabla2[[#This Row],[Deuda actual]]*EXP(Tabla2[[#This Row],[Ki]]*Tabla2[[#This Row],[diferencia de días]])*(1+Tabla2[[#This Row],[Hg]])</f>
        <v>252.465</v>
      </c>
    </row>
    <row r="984" spans="1:20" ht="14.5" x14ac:dyDescent="0.35">
      <c r="A984">
        <f t="shared" si="177"/>
        <v>102</v>
      </c>
      <c r="B984" s="21">
        <f t="shared" ca="1" si="167"/>
        <v>46088</v>
      </c>
      <c r="C984" s="21">
        <f t="shared" ca="1" si="168"/>
        <v>46157</v>
      </c>
      <c r="D984">
        <f t="shared" ca="1" si="169"/>
        <v>3</v>
      </c>
      <c r="E984">
        <f t="shared" ca="1" si="170"/>
        <v>0.22412669521230077</v>
      </c>
      <c r="F984" s="47">
        <f t="shared" ca="1" si="171"/>
        <v>279.54000000000002</v>
      </c>
      <c r="G984" s="32" t="str">
        <f t="shared" ca="1" si="172"/>
        <v>hipotecario</v>
      </c>
      <c r="H98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84" t="str">
        <f t="shared" ca="1" si="173"/>
        <v>No</v>
      </c>
      <c r="J984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165000.8401920085</v>
      </c>
      <c r="K984" s="32" t="str">
        <f ca="1">IF(Tabla2[[#This Row],[¿cliente deuda abierta?]]="Sí", Tabla2[[#This Row],[Deuda actual]]*Tabla2[[#This Row],[diferencia de días]], "0")</f>
        <v>0</v>
      </c>
      <c r="L984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84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984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984">
        <f t="shared" ca="1" si="174"/>
        <v>1585.62</v>
      </c>
      <c r="P984">
        <f t="shared" ca="1" si="175"/>
        <v>163554.1</v>
      </c>
      <c r="Q984">
        <f t="shared" ca="1" si="176"/>
        <v>1</v>
      </c>
      <c r="R984">
        <f ca="1">((Tabla2[[#This Row],[Fantasma Comunicación]]+1)/(Tabla2[[#This Row],[Fantasma Comunicación]]+RANDBETWEEN(0,5)+2))-0.5</f>
        <v>-9.9999999999999978E-2</v>
      </c>
      <c r="S984" s="51">
        <f ca="1">1+MAX(0,Tabla2[[#This Row],[Deuda actual]]/Tabla2[[#This Row],[Liquidez]]+Tabla2[[#This Row],[Liquidez]]/(Tabla2[[#This Row],[Activos]]+Tabla2[[#This Row],[Liquidez]])+Tabla2[[#This Row],[Comunicación]])</f>
        <v>1.0858986565981199</v>
      </c>
      <c r="T984">
        <f ca="1">Tabla2[[#This Row],[Deuda actual]]*EXP(Tabla2[[#This Row],[Ki]]*Tabla2[[#This Row],[diferencia de días]])*(1+Tabla2[[#This Row],[Hg]])</f>
        <v>223.766219461812</v>
      </c>
    </row>
    <row r="985" spans="1:20" ht="14.5" x14ac:dyDescent="0.35">
      <c r="A985">
        <f t="shared" si="177"/>
        <v>103</v>
      </c>
      <c r="B985" s="21">
        <f t="shared" ca="1" si="167"/>
        <v>46126</v>
      </c>
      <c r="C985" s="21">
        <f t="shared" ca="1" si="168"/>
        <v>46157</v>
      </c>
      <c r="D985">
        <f t="shared" ca="1" si="169"/>
        <v>68</v>
      </c>
      <c r="E985">
        <f t="shared" ca="1" si="170"/>
        <v>0.45660802566358538</v>
      </c>
      <c r="F985" s="47">
        <f t="shared" ca="1" si="171"/>
        <v>209.07</v>
      </c>
      <c r="G985" s="32" t="str">
        <f t="shared" ca="1" si="172"/>
        <v>hipotecario</v>
      </c>
      <c r="H98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985" t="str">
        <f t="shared" ca="1" si="173"/>
        <v>No</v>
      </c>
      <c r="J98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165001.147074949</v>
      </c>
      <c r="K985" s="32" t="str">
        <f ca="1">IF(Tabla2[[#This Row],[¿cliente deuda abierta?]]="Sí", Tabla2[[#This Row],[Deuda actual]]*Tabla2[[#This Row],[diferencia de días]], "0")</f>
        <v>0</v>
      </c>
      <c r="L98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8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98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985">
        <f t="shared" ca="1" si="174"/>
        <v>1601.71</v>
      </c>
      <c r="P985">
        <f t="shared" ca="1" si="175"/>
        <v>464285.81</v>
      </c>
      <c r="Q985">
        <f t="shared" ca="1" si="176"/>
        <v>3</v>
      </c>
      <c r="R985">
        <f ca="1">((Tabla2[[#This Row],[Fantasma Comunicación]]+1)/(Tabla2[[#This Row],[Fantasma Comunicación]]+RANDBETWEEN(0,5)+2))-0.5</f>
        <v>-9.9999999999999978E-2</v>
      </c>
      <c r="S985" s="51">
        <f ca="1">1+MAX(0,Tabla2[[#This Row],[Deuda actual]]/Tabla2[[#This Row],[Liquidez]]+Tabla2[[#This Row],[Liquidez]]/(Tabla2[[#This Row],[Activos]]+Tabla2[[#This Row],[Liquidez]])+Tabla2[[#This Row],[Comunicación]])</f>
        <v>1.0339672226260228</v>
      </c>
      <c r="T985">
        <f ca="1">Tabla2[[#This Row],[Deuda actual]]*EXP(Tabla2[[#This Row],[Ki]]*Tabla2[[#This Row],[diferencia de días]])*(1+Tabla2[[#This Row],[Hg]])</f>
        <v>179.02502003492589</v>
      </c>
    </row>
    <row r="986" spans="1:20" ht="14.5" x14ac:dyDescent="0.35">
      <c r="A986">
        <f t="shared" si="177"/>
        <v>104</v>
      </c>
      <c r="B986" s="21">
        <f t="shared" ca="1" si="167"/>
        <v>46096</v>
      </c>
      <c r="C986" s="21">
        <f t="shared" ca="1" si="168"/>
        <v>46157</v>
      </c>
      <c r="D986">
        <f t="shared" ca="1" si="169"/>
        <v>72</v>
      </c>
      <c r="E986">
        <f t="shared" ca="1" si="170"/>
        <v>9.186462454123645E-2</v>
      </c>
      <c r="F986" s="47">
        <f t="shared" ca="1" si="171"/>
        <v>396.75</v>
      </c>
      <c r="G986" s="32" t="str">
        <f t="shared" ca="1" si="172"/>
        <v>personal</v>
      </c>
      <c r="H98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1E-3</v>
      </c>
      <c r="I986" t="str">
        <f t="shared" ca="1" si="173"/>
        <v>Sí</v>
      </c>
      <c r="J986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86" s="32">
        <f ca="1">IF(Tabla2[[#This Row],[¿cliente deuda abierta?]]="Sí", Tabla2[[#This Row],[Deuda actual]]*Tabla2[[#This Row],[diferencia de días]], "0")</f>
        <v>28566</v>
      </c>
      <c r="L986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86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86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86">
        <f t="shared" ca="1" si="174"/>
        <v>1762.83</v>
      </c>
      <c r="P986">
        <f t="shared" ca="1" si="175"/>
        <v>638870.17000000004</v>
      </c>
      <c r="Q986">
        <f t="shared" ca="1" si="176"/>
        <v>5</v>
      </c>
      <c r="R986">
        <f ca="1">((Tabla2[[#This Row],[Fantasma Comunicación]]+1)/(Tabla2[[#This Row],[Fantasma Comunicación]]+RANDBETWEEN(0,5)+2))-0.5</f>
        <v>0.3571428571428571</v>
      </c>
      <c r="S986" s="51">
        <f ca="1">1+MAX(0,Tabla2[[#This Row],[Deuda actual]]/Tabla2[[#This Row],[Liquidez]]+Tabla2[[#This Row],[Liquidez]]/(Tabla2[[#This Row],[Activos]]+Tabla2[[#This Row],[Liquidez]])+Tabla2[[#This Row],[Comunicación]])</f>
        <v>1.5849588007049253</v>
      </c>
      <c r="T986">
        <f ca="1">Tabla2[[#This Row],[Deuda actual]]*EXP(Tabla2[[#This Row],[Ki]]*Tabla2[[#This Row],[diferencia de días]])*(1+Tabla2[[#This Row],[Hg]])</f>
        <v>447.68798314518398</v>
      </c>
    </row>
    <row r="987" spans="1:20" ht="14.5" x14ac:dyDescent="0.35">
      <c r="A987">
        <f t="shared" si="177"/>
        <v>105</v>
      </c>
      <c r="B987" s="21">
        <f t="shared" ca="1" si="167"/>
        <v>46088</v>
      </c>
      <c r="C987" s="21">
        <f t="shared" ca="1" si="168"/>
        <v>46157</v>
      </c>
      <c r="D987">
        <f t="shared" ca="1" si="169"/>
        <v>8</v>
      </c>
      <c r="E987">
        <f t="shared" ca="1" si="170"/>
        <v>0.69578995229367657</v>
      </c>
      <c r="F987" s="47">
        <f t="shared" ca="1" si="171"/>
        <v>332.22</v>
      </c>
      <c r="G987" s="32" t="str">
        <f t="shared" ca="1" si="172"/>
        <v>hipotecario</v>
      </c>
      <c r="H98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87" t="str">
        <f t="shared" ca="1" si="173"/>
        <v>Sí</v>
      </c>
      <c r="J98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87" s="32">
        <f ca="1">IF(Tabla2[[#This Row],[¿cliente deuda abierta?]]="Sí", Tabla2[[#This Row],[Deuda actual]]*Tabla2[[#This Row],[diferencia de días]], "0")</f>
        <v>2657.76</v>
      </c>
      <c r="L98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8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8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87">
        <f t="shared" ca="1" si="174"/>
        <v>1863.98</v>
      </c>
      <c r="P987">
        <f t="shared" ca="1" si="175"/>
        <v>261220.12</v>
      </c>
      <c r="Q987">
        <f t="shared" ca="1" si="176"/>
        <v>4</v>
      </c>
      <c r="R987">
        <f ca="1">((Tabla2[[#This Row],[Fantasma Comunicación]]+1)/(Tabla2[[#This Row],[Fantasma Comunicación]]+RANDBETWEEN(0,5)+2))-0.5</f>
        <v>-4.545454545454547E-2</v>
      </c>
      <c r="S987" s="51">
        <f ca="1">1+MAX(0,Tabla2[[#This Row],[Deuda actual]]/Tabla2[[#This Row],[Liquidez]]+Tabla2[[#This Row],[Liquidez]]/(Tabla2[[#This Row],[Activos]]+Tabla2[[#This Row],[Liquidez]])+Tabla2[[#This Row],[Comunicación]])</f>
        <v>1.1398620914415627</v>
      </c>
      <c r="T987">
        <f ca="1">Tabla2[[#This Row],[Deuda actual]]*EXP(Tabla2[[#This Row],[Ki]]*Tabla2[[#This Row],[diferencia de días]])*(1+Tabla2[[#This Row],[Hg]])</f>
        <v>349.38957634191058</v>
      </c>
    </row>
    <row r="988" spans="1:20" ht="14.5" x14ac:dyDescent="0.35">
      <c r="A988">
        <f t="shared" si="177"/>
        <v>106</v>
      </c>
      <c r="B988" s="21">
        <f t="shared" ca="1" si="167"/>
        <v>46142</v>
      </c>
      <c r="C988" s="21">
        <f t="shared" ca="1" si="168"/>
        <v>46157</v>
      </c>
      <c r="D988">
        <f t="shared" ca="1" si="169"/>
        <v>8</v>
      </c>
      <c r="E988">
        <f t="shared" ca="1" si="170"/>
        <v>0.3887019405303006</v>
      </c>
      <c r="F988" s="47">
        <f t="shared" ca="1" si="171"/>
        <v>872.46</v>
      </c>
      <c r="G988" s="32" t="str">
        <f t="shared" ca="1" si="172"/>
        <v>hipotecario</v>
      </c>
      <c r="H98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88" t="str">
        <f t="shared" ca="1" si="173"/>
        <v>Sí</v>
      </c>
      <c r="J98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88" s="32">
        <f ca="1">IF(Tabla2[[#This Row],[¿cliente deuda abierta?]]="Sí", Tabla2[[#This Row],[Deuda actual]]*Tabla2[[#This Row],[diferencia de días]], "0")</f>
        <v>6979.68</v>
      </c>
      <c r="L98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8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8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88">
        <f t="shared" ca="1" si="174"/>
        <v>1771.22</v>
      </c>
      <c r="P988">
        <f t="shared" ca="1" si="175"/>
        <v>63123.44</v>
      </c>
      <c r="Q988">
        <f t="shared" ca="1" si="176"/>
        <v>3</v>
      </c>
      <c r="R988">
        <f ca="1">((Tabla2[[#This Row],[Fantasma Comunicación]]+1)/(Tabla2[[#This Row],[Fantasma Comunicación]]+RANDBETWEEN(0,5)+2))-0.5</f>
        <v>0.16666666666666663</v>
      </c>
      <c r="S988" s="51">
        <f ca="1">1+MAX(0,Tabla2[[#This Row],[Deuda actual]]/Tabla2[[#This Row],[Liquidez]]+Tabla2[[#This Row],[Liquidez]]/(Tabla2[[#This Row],[Activos]]+Tabla2[[#This Row],[Liquidez]])+Tabla2[[#This Row],[Comunicación]])</f>
        <v>1.68653617659</v>
      </c>
      <c r="T988">
        <f ca="1">Tabla2[[#This Row],[Deuda actual]]*EXP(Tabla2[[#This Row],[Ki]]*Tabla2[[#This Row],[diferencia de días]])*(1+Tabla2[[#This Row],[Hg]])</f>
        <v>917.54990601186955</v>
      </c>
    </row>
    <row r="989" spans="1:20" ht="14.5" x14ac:dyDescent="0.35">
      <c r="A989">
        <f t="shared" si="177"/>
        <v>107</v>
      </c>
      <c r="B989" s="21">
        <f t="shared" ca="1" si="167"/>
        <v>46118</v>
      </c>
      <c r="C989" s="21">
        <f t="shared" ca="1" si="168"/>
        <v>46157</v>
      </c>
      <c r="D989">
        <f t="shared" ca="1" si="169"/>
        <v>7</v>
      </c>
      <c r="E989">
        <f t="shared" ca="1" si="170"/>
        <v>0.11460514485528628</v>
      </c>
      <c r="F989" s="47">
        <f t="shared" ca="1" si="171"/>
        <v>367.24</v>
      </c>
      <c r="G989" s="32" t="str">
        <f t="shared" ca="1" si="172"/>
        <v>hipotecario</v>
      </c>
      <c r="H98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89" t="str">
        <f t="shared" ca="1" si="173"/>
        <v>Sí</v>
      </c>
      <c r="J98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89" s="32">
        <f ca="1">IF(Tabla2[[#This Row],[¿cliente deuda abierta?]]="Sí", Tabla2[[#This Row],[Deuda actual]]*Tabla2[[#This Row],[diferencia de días]], "0")</f>
        <v>2570.6800000000003</v>
      </c>
      <c r="L98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8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8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89">
        <f t="shared" ca="1" si="174"/>
        <v>2507.09</v>
      </c>
      <c r="P989">
        <f t="shared" ca="1" si="175"/>
        <v>226706.81</v>
      </c>
      <c r="Q989">
        <f t="shared" ca="1" si="176"/>
        <v>0</v>
      </c>
      <c r="R989">
        <f ca="1">((Tabla2[[#This Row],[Fantasma Comunicación]]+1)/(Tabla2[[#This Row],[Fantasma Comunicación]]+RANDBETWEEN(0,5)+2))-0.5</f>
        <v>-0.35714285714285715</v>
      </c>
      <c r="S989" s="51">
        <f ca="1">1+MAX(0,Tabla2[[#This Row],[Deuda actual]]/Tabla2[[#This Row],[Liquidez]]+Tabla2[[#This Row],[Liquidez]]/(Tabla2[[#This Row],[Activos]]+Tabla2[[#This Row],[Liquidez]])+Tabla2[[#This Row],[Comunicación]])</f>
        <v>1</v>
      </c>
      <c r="T989">
        <f ca="1">Tabla2[[#This Row],[Deuda actual]]*EXP(Tabla2[[#This Row],[Ki]]*Tabla2[[#This Row],[diferencia de días]])*(1+Tabla2[[#This Row],[Hg]])</f>
        <v>386.14222086637039</v>
      </c>
    </row>
    <row r="990" spans="1:20" ht="14.5" x14ac:dyDescent="0.35">
      <c r="A990">
        <f t="shared" si="177"/>
        <v>108</v>
      </c>
      <c r="B990" s="21">
        <f t="shared" ca="1" si="167"/>
        <v>46132</v>
      </c>
      <c r="C990" s="21">
        <f t="shared" ca="1" si="168"/>
        <v>46157</v>
      </c>
      <c r="D990">
        <f t="shared" ca="1" si="169"/>
        <v>2</v>
      </c>
      <c r="E990">
        <f t="shared" ca="1" si="170"/>
        <v>0.94354818758234982</v>
      </c>
      <c r="F990" s="47">
        <f t="shared" ca="1" si="171"/>
        <v>2172.37</v>
      </c>
      <c r="G990" s="32" t="str">
        <f t="shared" ca="1" si="172"/>
        <v>personal</v>
      </c>
      <c r="H99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90" t="str">
        <f t="shared" ca="1" si="173"/>
        <v>No</v>
      </c>
      <c r="J990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11998.594404223175</v>
      </c>
      <c r="K990" s="32" t="str">
        <f ca="1">IF(Tabla2[[#This Row],[¿cliente deuda abierta?]]="Sí", Tabla2[[#This Row],[Deuda actual]]*Tabla2[[#This Row],[diferencia de días]], "0")</f>
        <v>0</v>
      </c>
      <c r="L990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90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990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990">
        <f t="shared" ca="1" si="174"/>
        <v>1534.29</v>
      </c>
      <c r="P990">
        <f t="shared" ca="1" si="175"/>
        <v>46093.64</v>
      </c>
      <c r="Q990">
        <f t="shared" ca="1" si="176"/>
        <v>3</v>
      </c>
      <c r="R990">
        <f ca="1">((Tabla2[[#This Row],[Fantasma Comunicación]]+1)/(Tabla2[[#This Row],[Fantasma Comunicación]]+RANDBETWEEN(0,5)+2))-0.5</f>
        <v>7.1428571428571397E-2</v>
      </c>
      <c r="S990" s="51">
        <f ca="1">1+MAX(0,Tabla2[[#This Row],[Deuda actual]]/Tabla2[[#This Row],[Liquidez]]+Tabla2[[#This Row],[Liquidez]]/(Tabla2[[#This Row],[Activos]]+Tabla2[[#This Row],[Liquidez]])+Tabla2[[#This Row],[Comunicación]])</f>
        <v>2.5195223102278534</v>
      </c>
      <c r="T990">
        <f ca="1">Tabla2[[#This Row],[Deuda actual]]*EXP(Tabla2[[#This Row],[Ki]]*Tabla2[[#This Row],[diferencia de días]])*(1+Tabla2[[#This Row],[Hg]])</f>
        <v>1955.9152096314972</v>
      </c>
    </row>
    <row r="991" spans="1:20" ht="14.5" x14ac:dyDescent="0.35">
      <c r="A991">
        <f t="shared" si="177"/>
        <v>109</v>
      </c>
      <c r="B991" s="21">
        <f t="shared" ca="1" si="167"/>
        <v>46129</v>
      </c>
      <c r="C991" s="21">
        <f t="shared" ca="1" si="168"/>
        <v>46157</v>
      </c>
      <c r="D991">
        <f t="shared" ca="1" si="169"/>
        <v>1</v>
      </c>
      <c r="E991">
        <f t="shared" ca="1" si="170"/>
        <v>0.62172771516100356</v>
      </c>
      <c r="F991" s="47">
        <f t="shared" ca="1" si="171"/>
        <v>662.56</v>
      </c>
      <c r="G991" s="32" t="str">
        <f t="shared" ca="1" si="172"/>
        <v>personal</v>
      </c>
      <c r="H991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91" t="str">
        <f t="shared" ca="1" si="173"/>
        <v>Sí</v>
      </c>
      <c r="J991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91" s="32">
        <f ca="1">IF(Tabla2[[#This Row],[¿cliente deuda abierta?]]="Sí", Tabla2[[#This Row],[Deuda actual]]*Tabla2[[#This Row],[diferencia de días]], "0")</f>
        <v>662.56</v>
      </c>
      <c r="L991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91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91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91">
        <f t="shared" ca="1" si="174"/>
        <v>1437.43</v>
      </c>
      <c r="P991">
        <f t="shared" ca="1" si="175"/>
        <v>262205.81</v>
      </c>
      <c r="Q991">
        <f t="shared" ca="1" si="176"/>
        <v>1</v>
      </c>
      <c r="R991">
        <f ca="1">((Tabla2[[#This Row],[Fantasma Comunicación]]+1)/(Tabla2[[#This Row],[Fantasma Comunicación]]+RANDBETWEEN(0,5)+2))-0.5</f>
        <v>-0.25</v>
      </c>
      <c r="S991" s="51">
        <f ca="1">1+MAX(0,Tabla2[[#This Row],[Deuda actual]]/Tabla2[[#This Row],[Liquidez]]+Tabla2[[#This Row],[Liquidez]]/(Tabla2[[#This Row],[Activos]]+Tabla2[[#This Row],[Liquidez]])+Tabla2[[#This Row],[Comunicación]])</f>
        <v>1.2163859282991822</v>
      </c>
      <c r="T991">
        <f ca="1">Tabla2[[#This Row],[Deuda actual]]*EXP(Tabla2[[#This Row],[Ki]]*Tabla2[[#This Row],[diferencia de días]])*(1+Tabla2[[#This Row],[Hg]])</f>
        <v>695.82715151468767</v>
      </c>
    </row>
    <row r="992" spans="1:20" ht="14.5" x14ac:dyDescent="0.35">
      <c r="A992">
        <f t="shared" si="177"/>
        <v>110</v>
      </c>
      <c r="B992" s="21">
        <f t="shared" ca="1" si="167"/>
        <v>46126</v>
      </c>
      <c r="C992" s="21">
        <f t="shared" ca="1" si="168"/>
        <v>46157</v>
      </c>
      <c r="D992">
        <f t="shared" ca="1" si="169"/>
        <v>19</v>
      </c>
      <c r="E992">
        <f t="shared" ca="1" si="170"/>
        <v>9.8613758219301406E-3</v>
      </c>
      <c r="F992" s="47">
        <f t="shared" ca="1" si="171"/>
        <v>1985.21</v>
      </c>
      <c r="G992" s="32" t="str">
        <f t="shared" ca="1" si="172"/>
        <v>personal</v>
      </c>
      <c r="H992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4.0000000000000002E-4</v>
      </c>
      <c r="I992" t="str">
        <f t="shared" ca="1" si="173"/>
        <v>Sí</v>
      </c>
      <c r="J992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92" s="32">
        <f ca="1">IF(Tabla2[[#This Row],[¿cliente deuda abierta?]]="Sí", Tabla2[[#This Row],[Deuda actual]]*Tabla2[[#This Row],[diferencia de días]], "0")</f>
        <v>37718.99</v>
      </c>
      <c r="L992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992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92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992">
        <f t="shared" ca="1" si="174"/>
        <v>1843.68</v>
      </c>
      <c r="P992">
        <f t="shared" ca="1" si="175"/>
        <v>54217.91</v>
      </c>
      <c r="Q992">
        <f t="shared" ca="1" si="176"/>
        <v>5</v>
      </c>
      <c r="R992">
        <f ca="1">((Tabla2[[#This Row],[Fantasma Comunicación]]+1)/(Tabla2[[#This Row],[Fantasma Comunicación]]+RANDBETWEEN(0,5)+2))-0.5</f>
        <v>0</v>
      </c>
      <c r="S992" s="51">
        <f ca="1">1+MAX(0,Tabla2[[#This Row],[Deuda actual]]/Tabla2[[#This Row],[Liquidez]]+Tabla2[[#This Row],[Liquidez]]/(Tabla2[[#This Row],[Activos]]+Tabla2[[#This Row],[Liquidez]])+Tabla2[[#This Row],[Comunicación]])</f>
        <v>2.1096516360231963</v>
      </c>
      <c r="T992">
        <f ca="1">Tabla2[[#This Row],[Deuda actual]]*EXP(Tabla2[[#This Row],[Ki]]*Tabla2[[#This Row],[diferencia de días]])*(1+Tabla2[[#This Row],[Hg]])</f>
        <v>2200.3905818228841</v>
      </c>
    </row>
    <row r="993" spans="1:20" ht="14.5" x14ac:dyDescent="0.35">
      <c r="A993">
        <f t="shared" si="177"/>
        <v>111</v>
      </c>
      <c r="B993" s="21">
        <f t="shared" ca="1" si="167"/>
        <v>46087</v>
      </c>
      <c r="C993" s="21">
        <f t="shared" ca="1" si="168"/>
        <v>46157</v>
      </c>
      <c r="D993">
        <f t="shared" ca="1" si="169"/>
        <v>12</v>
      </c>
      <c r="E993">
        <f t="shared" ca="1" si="170"/>
        <v>0.41098599144183523</v>
      </c>
      <c r="F993" s="47">
        <f t="shared" ca="1" si="171"/>
        <v>2923.82</v>
      </c>
      <c r="G993" s="32" t="str">
        <f t="shared" ca="1" si="172"/>
        <v>personal</v>
      </c>
      <c r="H993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93" t="str">
        <f t="shared" ca="1" si="173"/>
        <v>No</v>
      </c>
      <c r="J993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12000.368514876558</v>
      </c>
      <c r="K993" s="32" t="str">
        <f ca="1">IF(Tabla2[[#This Row],[¿cliente deuda abierta?]]="Sí", Tabla2[[#This Row],[Deuda actual]]*Tabla2[[#This Row],[diferencia de días]], "0")</f>
        <v>0</v>
      </c>
      <c r="L993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93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0.1</v>
      </c>
      <c r="N993" s="32">
        <f ca="1">MAX(Tabla2[[#This Row],[VALORES DE Hg para actuales deudores]:[Valores de HG para deudores cerrados]])*IF(Tabla2[[#This Row],[VALORES DE Hg para actuales deudores]]&gt;Tabla2[[#This Row],[Valores de HG para deudores cerrados]],-1,1)</f>
        <v>-0.1</v>
      </c>
      <c r="O993">
        <f t="shared" ca="1" si="174"/>
        <v>2484.8200000000002</v>
      </c>
      <c r="P993">
        <f t="shared" ca="1" si="175"/>
        <v>29803.93</v>
      </c>
      <c r="Q993">
        <f t="shared" ca="1" si="176"/>
        <v>2</v>
      </c>
      <c r="R993">
        <f ca="1">((Tabla2[[#This Row],[Fantasma Comunicación]]+1)/(Tabla2[[#This Row],[Fantasma Comunicación]]+RANDBETWEEN(0,5)+2))-0.5</f>
        <v>0.25</v>
      </c>
      <c r="S993" s="51">
        <f ca="1">1+MAX(0,Tabla2[[#This Row],[Deuda actual]]/Tabla2[[#This Row],[Liquidez]]+Tabla2[[#This Row],[Liquidez]]/(Tabla2[[#This Row],[Activos]]+Tabla2[[#This Row],[Liquidez]])+Tabla2[[#This Row],[Comunicación]])</f>
        <v>2.5036289723804854</v>
      </c>
      <c r="T993">
        <f ca="1">Tabla2[[#This Row],[Deuda actual]]*EXP(Tabla2[[#This Row],[Ki]]*Tabla2[[#This Row],[diferencia de días]])*(1+Tabla2[[#This Row],[Hg]])</f>
        <v>2637.7610358079123</v>
      </c>
    </row>
    <row r="994" spans="1:20" ht="14.5" x14ac:dyDescent="0.35">
      <c r="A994">
        <f t="shared" si="177"/>
        <v>112</v>
      </c>
      <c r="B994" s="21">
        <f t="shared" ca="1" si="167"/>
        <v>46093</v>
      </c>
      <c r="C994" s="21">
        <f t="shared" ca="1" si="168"/>
        <v>46157</v>
      </c>
      <c r="D994">
        <f t="shared" ca="1" si="169"/>
        <v>7</v>
      </c>
      <c r="E994">
        <f t="shared" ca="1" si="170"/>
        <v>4.4466556438052751E-2</v>
      </c>
      <c r="F994" s="47">
        <f t="shared" ca="1" si="171"/>
        <v>7841.02</v>
      </c>
      <c r="G994" s="32" t="str">
        <f t="shared" ca="1" si="172"/>
        <v>personal</v>
      </c>
      <c r="H994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94" t="str">
        <f t="shared" ca="1" si="173"/>
        <v>Sí</v>
      </c>
      <c r="J994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94" s="32">
        <f ca="1">IF(Tabla2[[#This Row],[¿cliente deuda abierta?]]="Sí", Tabla2[[#This Row],[Deuda actual]]*Tabla2[[#This Row],[diferencia de días]], "0")</f>
        <v>54887.14</v>
      </c>
      <c r="L994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0.1</v>
      </c>
      <c r="M994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94" s="32">
        <f ca="1">MAX(Tabla2[[#This Row],[VALORES DE Hg para actuales deudores]:[Valores de HG para deudores cerrados]])*IF(Tabla2[[#This Row],[VALORES DE Hg para actuales deudores]]&gt;Tabla2[[#This Row],[Valores de HG para deudores cerrados]],-1,1)</f>
        <v>0.1</v>
      </c>
      <c r="O994">
        <f t="shared" ca="1" si="174"/>
        <v>1458.03</v>
      </c>
      <c r="P994">
        <f t="shared" ca="1" si="175"/>
        <v>59210.86</v>
      </c>
      <c r="Q994">
        <f t="shared" ca="1" si="176"/>
        <v>5</v>
      </c>
      <c r="R994">
        <f ca="1">((Tabla2[[#This Row],[Fantasma Comunicación]]+1)/(Tabla2[[#This Row],[Fantasma Comunicación]]+RANDBETWEEN(0,5)+2))-0.5</f>
        <v>0.16666666666666663</v>
      </c>
      <c r="S994" s="51">
        <f ca="1">1+MAX(0,Tabla2[[#This Row],[Deuda actual]]/Tabla2[[#This Row],[Liquidez]]+Tabla2[[#This Row],[Liquidez]]/(Tabla2[[#This Row],[Activos]]+Tabla2[[#This Row],[Liquidez]])+Tabla2[[#This Row],[Comunicación]])</f>
        <v>6.5685172621691477</v>
      </c>
      <c r="T994">
        <f ca="1">Tabla2[[#This Row],[Deuda actual]]*EXP(Tabla2[[#This Row],[Ki]]*Tabla2[[#This Row],[diferencia de días]])*(1+Tabla2[[#This Row],[Hg]])</f>
        <v>8637.205627365498</v>
      </c>
    </row>
    <row r="995" spans="1:20" ht="14.5" x14ac:dyDescent="0.35">
      <c r="A995">
        <f t="shared" si="177"/>
        <v>113</v>
      </c>
      <c r="B995" s="21">
        <f t="shared" ca="1" si="167"/>
        <v>46112</v>
      </c>
      <c r="C995" s="21">
        <f t="shared" ca="1" si="168"/>
        <v>46157</v>
      </c>
      <c r="D995">
        <f t="shared" ca="1" si="169"/>
        <v>4</v>
      </c>
      <c r="E995">
        <f t="shared" ca="1" si="170"/>
        <v>4.3479095746271734E-2</v>
      </c>
      <c r="F995" s="47">
        <f t="shared" ca="1" si="171"/>
        <v>1593.8</v>
      </c>
      <c r="G995" s="32" t="str">
        <f t="shared" ca="1" si="172"/>
        <v>hipotecario</v>
      </c>
      <c r="H995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95" t="str">
        <f t="shared" ca="1" si="173"/>
        <v>No</v>
      </c>
      <c r="J995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164999.78033987555</v>
      </c>
      <c r="K995" s="32" t="str">
        <f ca="1">IF(Tabla2[[#This Row],[¿cliente deuda abierta?]]="Sí", Tabla2[[#This Row],[Deuda actual]]*Tabla2[[#This Row],[diferencia de días]], "0")</f>
        <v>0</v>
      </c>
      <c r="L995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95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995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995">
        <f t="shared" ca="1" si="174"/>
        <v>2027.37</v>
      </c>
      <c r="P995">
        <f t="shared" ca="1" si="175"/>
        <v>227069.89</v>
      </c>
      <c r="Q995">
        <f t="shared" ca="1" si="176"/>
        <v>0</v>
      </c>
      <c r="R995">
        <f ca="1">((Tabla2[[#This Row],[Fantasma Comunicación]]+1)/(Tabla2[[#This Row],[Fantasma Comunicación]]+RANDBETWEEN(0,5)+2))-0.5</f>
        <v>-0.25</v>
      </c>
      <c r="S995" s="51">
        <f ca="1">1+MAX(0,Tabla2[[#This Row],[Deuda actual]]/Tabla2[[#This Row],[Liquidez]]+Tabla2[[#This Row],[Liquidez]]/(Tabla2[[#This Row],[Activos]]+Tabla2[[#This Row],[Liquidez]])+Tabla2[[#This Row],[Comunicación]])</f>
        <v>1.544991037126979</v>
      </c>
      <c r="T995">
        <f ca="1">Tabla2[[#This Row],[Deuda actual]]*EXP(Tabla2[[#This Row],[Ki]]*Tabla2[[#This Row],[diferencia de días]])*(1+Tabla2[[#This Row],[Hg]])</f>
        <v>1276.0604401216251</v>
      </c>
    </row>
    <row r="996" spans="1:20" ht="14.5" x14ac:dyDescent="0.35">
      <c r="A996">
        <f t="shared" si="177"/>
        <v>114</v>
      </c>
      <c r="B996" s="21">
        <f t="shared" ca="1" si="167"/>
        <v>46093</v>
      </c>
      <c r="C996" s="21">
        <f t="shared" ca="1" si="168"/>
        <v>46157</v>
      </c>
      <c r="D996">
        <f t="shared" ca="1" si="169"/>
        <v>9</v>
      </c>
      <c r="E996">
        <f t="shared" ca="1" si="170"/>
        <v>0.68744788875808116</v>
      </c>
      <c r="F996" s="47">
        <f t="shared" ca="1" si="171"/>
        <v>386.65</v>
      </c>
      <c r="G996" s="32" t="str">
        <f t="shared" ca="1" si="172"/>
        <v>hipotecario</v>
      </c>
      <c r="H996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96" t="str">
        <f t="shared" ca="1" si="173"/>
        <v>No</v>
      </c>
      <c r="J996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>164999.60835763722</v>
      </c>
      <c r="K996" s="32" t="str">
        <f ca="1">IF(Tabla2[[#This Row],[¿cliente deuda abierta?]]="Sí", Tabla2[[#This Row],[Deuda actual]]*Tabla2[[#This Row],[diferencia de días]], "0")</f>
        <v>0</v>
      </c>
      <c r="L996" s="32" t="str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/>
      </c>
      <c r="M996" s="32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>0.2</v>
      </c>
      <c r="N996" s="32">
        <f ca="1">MAX(Tabla2[[#This Row],[VALORES DE Hg para actuales deudores]:[Valores de HG para deudores cerrados]])*IF(Tabla2[[#This Row],[VALORES DE Hg para actuales deudores]]&gt;Tabla2[[#This Row],[Valores de HG para deudores cerrados]],-1,1)</f>
        <v>-0.2</v>
      </c>
      <c r="O996">
        <f t="shared" ca="1" si="174"/>
        <v>1320.77</v>
      </c>
      <c r="P996">
        <f t="shared" ca="1" si="175"/>
        <v>65701.679999999993</v>
      </c>
      <c r="Q996">
        <f t="shared" ca="1" si="176"/>
        <v>5</v>
      </c>
      <c r="R996">
        <f ca="1">((Tabla2[[#This Row],[Fantasma Comunicación]]+1)/(Tabla2[[#This Row],[Fantasma Comunicación]]+RANDBETWEEN(0,5)+2))-0.5</f>
        <v>0.25</v>
      </c>
      <c r="S996" s="51">
        <f ca="1">1+MAX(0,Tabla2[[#This Row],[Deuda actual]]/Tabla2[[#This Row],[Liquidez]]+Tabla2[[#This Row],[Liquidez]]/(Tabla2[[#This Row],[Activos]]+Tabla2[[#This Row],[Liquidez]])+Tabla2[[#This Row],[Comunicación]])</f>
        <v>1.5624522801920775</v>
      </c>
      <c r="T996">
        <f ca="1">Tabla2[[#This Row],[Deuda actual]]*EXP(Tabla2[[#This Row],[Ki]]*Tabla2[[#This Row],[diferencia de días]])*(1+Tabla2[[#This Row],[Hg]])</f>
        <v>309.87727739919438</v>
      </c>
    </row>
    <row r="997" spans="1:20" ht="14.5" x14ac:dyDescent="0.35">
      <c r="A997">
        <f t="shared" si="177"/>
        <v>115</v>
      </c>
      <c r="B997" s="21">
        <f t="shared" ca="1" si="167"/>
        <v>46131</v>
      </c>
      <c r="C997" s="21">
        <f t="shared" ca="1" si="168"/>
        <v>46157</v>
      </c>
      <c r="D997">
        <f t="shared" ca="1" si="169"/>
        <v>8</v>
      </c>
      <c r="E997">
        <f t="shared" ca="1" si="170"/>
        <v>0.76869421736094401</v>
      </c>
      <c r="F997" s="47">
        <f t="shared" ca="1" si="171"/>
        <v>291.10000000000002</v>
      </c>
      <c r="G997" s="32" t="str">
        <f t="shared" ca="1" si="172"/>
        <v>hipotecario</v>
      </c>
      <c r="H997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97" t="str">
        <f t="shared" ca="1" si="173"/>
        <v>Sí</v>
      </c>
      <c r="J997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97" s="32">
        <f ca="1">IF(Tabla2[[#This Row],[¿cliente deuda abierta?]]="Sí", Tabla2[[#This Row],[Deuda actual]]*Tabla2[[#This Row],[diferencia de días]], "0")</f>
        <v>2328.8000000000002</v>
      </c>
      <c r="L997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97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97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97">
        <f t="shared" ca="1" si="174"/>
        <v>1647.07</v>
      </c>
      <c r="P997">
        <f t="shared" ca="1" si="175"/>
        <v>264089.45</v>
      </c>
      <c r="Q997">
        <f t="shared" ca="1" si="176"/>
        <v>1</v>
      </c>
      <c r="R997">
        <f ca="1">((Tabla2[[#This Row],[Fantasma Comunicación]]+1)/(Tabla2[[#This Row],[Fantasma Comunicación]]+RANDBETWEEN(0,5)+2))-0.5</f>
        <v>0.16666666666666663</v>
      </c>
      <c r="S997" s="51">
        <f ca="1">1+MAX(0,Tabla2[[#This Row],[Deuda actual]]/Tabla2[[#This Row],[Liquidez]]+Tabla2[[#This Row],[Liquidez]]/(Tabla2[[#This Row],[Activos]]+Tabla2[[#This Row],[Liquidez]])+Tabla2[[#This Row],[Comunicación]])</f>
        <v>1.3496028849807473</v>
      </c>
      <c r="T997">
        <f ca="1">Tabla2[[#This Row],[Deuda actual]]*EXP(Tabla2[[#This Row],[Ki]]*Tabla2[[#This Row],[diferencia de días]])*(1+Tabla2[[#This Row],[Hg]])</f>
        <v>306.14443944714401</v>
      </c>
    </row>
    <row r="998" spans="1:20" ht="14.5" x14ac:dyDescent="0.35">
      <c r="A998">
        <f t="shared" si="177"/>
        <v>116</v>
      </c>
      <c r="B998" s="21">
        <f t="shared" ca="1" si="167"/>
        <v>46127</v>
      </c>
      <c r="C998" s="21">
        <f t="shared" ca="1" si="168"/>
        <v>46157</v>
      </c>
      <c r="D998">
        <f t="shared" ca="1" si="169"/>
        <v>13</v>
      </c>
      <c r="E998">
        <f t="shared" ca="1" si="170"/>
        <v>0.72181709868222077</v>
      </c>
      <c r="F998" s="47">
        <f t="shared" ca="1" si="171"/>
        <v>1903.85</v>
      </c>
      <c r="G998" s="32" t="str">
        <f t="shared" ca="1" si="172"/>
        <v>hipotecario</v>
      </c>
      <c r="H998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98" t="str">
        <f t="shared" ca="1" si="173"/>
        <v>Sí</v>
      </c>
      <c r="J998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98" s="32">
        <f ca="1">IF(Tabla2[[#This Row],[¿cliente deuda abierta?]]="Sí", Tabla2[[#This Row],[Deuda actual]]*Tabla2[[#This Row],[diferencia de días]], "0")</f>
        <v>24750.05</v>
      </c>
      <c r="L998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98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98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98">
        <f t="shared" ca="1" si="174"/>
        <v>1855.34</v>
      </c>
      <c r="P998">
        <f t="shared" ca="1" si="175"/>
        <v>117195.88</v>
      </c>
      <c r="Q998">
        <f t="shared" ca="1" si="176"/>
        <v>0</v>
      </c>
      <c r="R998">
        <f ca="1">((Tabla2[[#This Row],[Fantasma Comunicación]]+1)/(Tabla2[[#This Row],[Fantasma Comunicación]]+RANDBETWEEN(0,5)+2))-0.5</f>
        <v>0</v>
      </c>
      <c r="S998" s="51">
        <f ca="1">1+MAX(0,Tabla2[[#This Row],[Deuda actual]]/Tabla2[[#This Row],[Liquidez]]+Tabla2[[#This Row],[Liquidez]]/(Tabla2[[#This Row],[Activos]]+Tabla2[[#This Row],[Liquidez]])+Tabla2[[#This Row],[Comunicación]])</f>
        <v>2.0417305357133042</v>
      </c>
      <c r="T998">
        <f ca="1">Tabla2[[#This Row],[Deuda actual]]*EXP(Tabla2[[#This Row],[Ki]]*Tabla2[[#This Row],[diferencia de días]])*(1+Tabla2[[#This Row],[Hg]])</f>
        <v>2004.2467731233201</v>
      </c>
    </row>
    <row r="999" spans="1:20" ht="14.5" x14ac:dyDescent="0.35">
      <c r="A999">
        <f t="shared" si="177"/>
        <v>117</v>
      </c>
      <c r="B999" s="21">
        <f t="shared" ca="1" si="167"/>
        <v>46143</v>
      </c>
      <c r="C999" s="21">
        <f t="shared" ca="1" si="168"/>
        <v>46157</v>
      </c>
      <c r="D999">
        <f t="shared" ca="1" si="169"/>
        <v>4</v>
      </c>
      <c r="E999">
        <f t="shared" ca="1" si="170"/>
        <v>4.5104106196139804E-2</v>
      </c>
      <c r="F999" s="47">
        <f t="shared" ca="1" si="171"/>
        <v>1435.66</v>
      </c>
      <c r="G999" s="32" t="str">
        <f t="shared" ca="1" si="172"/>
        <v>personal</v>
      </c>
      <c r="H999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999" t="str">
        <f t="shared" ca="1" si="173"/>
        <v>Sí</v>
      </c>
      <c r="J999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999" s="32">
        <f ca="1">IF(Tabla2[[#This Row],[¿cliente deuda abierta?]]="Sí", Tabla2[[#This Row],[Deuda actual]]*Tabla2[[#This Row],[diferencia de días]], "0")</f>
        <v>5742.64</v>
      </c>
      <c r="L999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999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999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999">
        <f t="shared" ca="1" si="174"/>
        <v>1580.91</v>
      </c>
      <c r="P999">
        <f t="shared" ca="1" si="175"/>
        <v>121744.61</v>
      </c>
      <c r="Q999">
        <f t="shared" ca="1" si="176"/>
        <v>0</v>
      </c>
      <c r="R999">
        <f ca="1">((Tabla2[[#This Row],[Fantasma Comunicación]]+1)/(Tabla2[[#This Row],[Fantasma Comunicación]]+RANDBETWEEN(0,5)+2))-0.5</f>
        <v>-0.3</v>
      </c>
      <c r="S999" s="51">
        <f ca="1">1+MAX(0,Tabla2[[#This Row],[Deuda actual]]/Tabla2[[#This Row],[Liquidez]]+Tabla2[[#This Row],[Liquidez]]/(Tabla2[[#This Row],[Activos]]+Tabla2[[#This Row],[Liquidez]])+Tabla2[[#This Row],[Comunicación]])</f>
        <v>1.6209415383100616</v>
      </c>
      <c r="T999">
        <f ca="1">Tabla2[[#This Row],[Deuda actual]]*EXP(Tabla2[[#This Row],[Ki]]*Tabla2[[#This Row],[diferencia de días]])*(1+Tabla2[[#This Row],[Hg]])</f>
        <v>1508.6494369104209</v>
      </c>
    </row>
    <row r="1000" spans="1:20" thickBot="1" x14ac:dyDescent="0.4">
      <c r="A1000">
        <f t="shared" si="177"/>
        <v>118</v>
      </c>
      <c r="B1000" s="21">
        <f t="shared" ca="1" si="167"/>
        <v>46129</v>
      </c>
      <c r="C1000" s="21">
        <f t="shared" ca="1" si="168"/>
        <v>46157</v>
      </c>
      <c r="D1000">
        <f t="shared" ca="1" si="169"/>
        <v>12</v>
      </c>
      <c r="E1000">
        <f t="shared" ca="1" si="170"/>
        <v>0.73400994005980147</v>
      </c>
      <c r="F1000" s="47">
        <f t="shared" ca="1" si="171"/>
        <v>994.44</v>
      </c>
      <c r="G1000" s="32" t="str">
        <f t="shared" ca="1" si="172"/>
        <v>hipotecario</v>
      </c>
      <c r="H1000">
        <f ca="1">IF(Tabla2[[#This Row],[diferencia de días]]&lt;0, 0, IF(Tabla2[[#This Row],[diferencia de días]]&lt;15, 0.0002, IF(Tabla2[[#This Row],[diferencia de días]]&lt;30, 0.0004, IF(Tabla2[[#This Row],[diferencia de días]]&lt;50, 0.001, IF(Tabla2[[#This Row],[diferencia de días]]&lt;60, 0.0015, IF(Tabla2[[#This Row],[diferencia de días]]&lt;90, 0.001, 0))))))</f>
        <v>2.0000000000000001E-4</v>
      </c>
      <c r="I1000" t="str">
        <f t="shared" ca="1" si="173"/>
        <v>Sí</v>
      </c>
      <c r="J1000" t="str">
        <f ca="1">IF(AND(Tabla2[[#This Row],[¿cliente deuda abierta?]]="no", Tabla2[[#This Row],[Tipo de préstamo ]]="personal"), NORMINV(RAND(), 12000, 0.8), IF(AND(Tabla2[[#This Row],[¿cliente deuda abierta?]]="no",Tabla2[[#This Row],[Tipo de préstamo ]]="hipotecario"), NORMINV(RAND(), 165000, 0.7),""))</f>
        <v/>
      </c>
      <c r="K1000" s="32">
        <f ca="1">IF(Tabla2[[#This Row],[¿cliente deuda abierta?]]="Sí", Tabla2[[#This Row],[Deuda actual]]*Tabla2[[#This Row],[diferencia de días]], "0")</f>
        <v>11933.28</v>
      </c>
      <c r="L1000" s="32">
        <f ca="1">IF(OR(Tabla2[[#This Row],[D si Tiene deuda actual]]=0,Tabla2[[#This Row],[D si Tiene deuda actual]]= 0), "",
 IF(Tabla2[[#This Row],[diferencia de días]]&gt;=90, 0.5,
 IF(Tabla2[[#This Row],[D si Tiene deuda actual]]&lt;30000, 0.05,
 IF(Tabla2[[#This Row],[D si Tiene deuda actual]]&lt;60000, 0.1,
 IF(Tabla2[[#This Row],[D si Tiene deuda actual]]&lt;200000, 0.15,
 IF(Tabla2[[#This Row],[D si Tiene deuda actual]]&lt;800000, 0.2,
 IF(Tabla2[[#This Row],[D si Tiene deuda actual]]&lt;1500000, 0.25, "")))))))</f>
        <v>0.05</v>
      </c>
      <c r="M1000" s="32" t="str">
        <f ca="1">IF(OR(Tabla2[[#This Row],[Deuda pasada cerrada]]=0, Tabla2[[#This Row],[Deuda pasada cerrada]]=""), "",
 IF(Tabla2[[#This Row],[Deuda pasada cerrada]]&lt;5000, 0.05,
 IF(Tabla2[[#This Row],[Deuda pasada cerrada]]&lt;20000, 0.1,
 IF(Tabla2[[#This Row],[Deuda pasada cerrada]]&lt;100000, 0.15, 0.2))))</f>
        <v/>
      </c>
      <c r="N1000" s="32">
        <f ca="1">MAX(Tabla2[[#This Row],[VALORES DE Hg para actuales deudores]:[Valores de HG para deudores cerrados]])*IF(Tabla2[[#This Row],[VALORES DE Hg para actuales deudores]]&gt;Tabla2[[#This Row],[Valores de HG para deudores cerrados]],-1,1)</f>
        <v>0.05</v>
      </c>
      <c r="O1000">
        <f t="shared" ca="1" si="174"/>
        <v>1668.03</v>
      </c>
      <c r="P1000">
        <f t="shared" ca="1" si="175"/>
        <v>135492.51999999999</v>
      </c>
      <c r="Q1000">
        <f t="shared" ca="1" si="176"/>
        <v>2</v>
      </c>
      <c r="R1000">
        <f ca="1">((Tabla2[[#This Row],[Fantasma Comunicación]]+1)/(Tabla2[[#This Row],[Fantasma Comunicación]]+RANDBETWEEN(0,5)+2))-0.5</f>
        <v>0</v>
      </c>
      <c r="S1000" s="52">
        <f ca="1">1+MAX(0,Tabla2[[#This Row],[Deuda actual]]/Tabla2[[#This Row],[Liquidez]]+Tabla2[[#This Row],[Liquidez]]/(Tabla2[[#This Row],[Activos]]+Tabla2[[#This Row],[Liquidez]])+Tabla2[[#This Row],[Comunicación]])</f>
        <v>1.6083374775988819</v>
      </c>
      <c r="T1000">
        <f ca="1">Tabla2[[#This Row],[Deuda actual]]*EXP(Tabla2[[#This Row],[Ki]]*Tabla2[[#This Row],[diferencia de días]])*(1+Tabla2[[#This Row],[Hg]])</f>
        <v>1046.6709983937535</v>
      </c>
    </row>
  </sheetData>
  <conditionalFormatting sqref="S1:S1048576">
    <cfRule type="colorScale" priority="1">
      <colorScale>
        <cfvo type="min"/>
        <cfvo type="max"/>
        <color rgb="FFFCFCFF"/>
        <color rgb="FFF8696B"/>
      </colorScale>
    </cfRule>
  </conditionalFormatting>
  <conditionalFormatting sqref="T1:T1048576">
    <cfRule type="colorScale" priority="2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781B5-9219-46F5-AD7D-1ED3EE502DEF}">
  <dimension ref="A1"/>
  <sheetViews>
    <sheetView workbookViewId="0">
      <selection activeCell="D16" sqref="D16"/>
    </sheetView>
  </sheetViews>
  <sheetFormatPr baseColWidth="10" defaultRowHeight="14.5" x14ac:dyDescent="0.35"/>
  <sheetData>
    <row r="1" spans="1:1" x14ac:dyDescent="0.35">
      <c r="A1" t="s">
        <v>107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91DED-60AA-4F8C-81DA-B8ECC6E1834C}">
  <dimension ref="A1:AA33"/>
  <sheetViews>
    <sheetView zoomScale="59" workbookViewId="0">
      <selection activeCell="S17" sqref="S17"/>
    </sheetView>
  </sheetViews>
  <sheetFormatPr baseColWidth="10" defaultColWidth="11.453125" defaultRowHeight="14.5" x14ac:dyDescent="0.35"/>
  <cols>
    <col min="21" max="21" width="14" bestFit="1" customWidth="1"/>
    <col min="23" max="23" width="19.36328125" bestFit="1" customWidth="1"/>
    <col min="27" max="27" width="14" bestFit="1" customWidth="1"/>
  </cols>
  <sheetData>
    <row r="1" spans="1:27" x14ac:dyDescent="0.35">
      <c r="U1" s="42" t="s">
        <v>57</v>
      </c>
      <c r="V1" s="38" t="s">
        <v>58</v>
      </c>
      <c r="W1" s="23" t="s">
        <v>59</v>
      </c>
      <c r="Y1" s="35" t="s">
        <v>60</v>
      </c>
      <c r="Z1" s="36"/>
      <c r="AA1" s="30" t="s">
        <v>57</v>
      </c>
    </row>
    <row r="2" spans="1:27" x14ac:dyDescent="0.35">
      <c r="U2" s="42" t="s">
        <v>8</v>
      </c>
      <c r="V2" s="39">
        <v>0.1</v>
      </c>
      <c r="W2" s="24">
        <f>V2</f>
        <v>0.1</v>
      </c>
      <c r="Y2" s="26">
        <v>0</v>
      </c>
      <c r="Z2" s="27">
        <f t="shared" ref="Z2:Z7" si="0">W2</f>
        <v>0.1</v>
      </c>
      <c r="AA2" s="31" t="str">
        <f t="shared" ref="AA2:AA7" si="1">U2</f>
        <v>&lt;500</v>
      </c>
    </row>
    <row r="3" spans="1:27" x14ac:dyDescent="0.35">
      <c r="C3" t="s">
        <v>71</v>
      </c>
      <c r="U3" s="42" t="s">
        <v>61</v>
      </c>
      <c r="V3" s="39">
        <v>0.15</v>
      </c>
      <c r="W3" s="24">
        <f>V3+W2</f>
        <v>0.25</v>
      </c>
      <c r="Y3" s="26">
        <f>Z2</f>
        <v>0.1</v>
      </c>
      <c r="Z3" s="27">
        <f t="shared" si="0"/>
        <v>0.25</v>
      </c>
      <c r="AA3" s="31" t="str">
        <f t="shared" si="1"/>
        <v>500≤d&lt;1000</v>
      </c>
    </row>
    <row r="4" spans="1:27" x14ac:dyDescent="0.35">
      <c r="C4" t="s">
        <v>72</v>
      </c>
      <c r="U4" s="42" t="s">
        <v>62</v>
      </c>
      <c r="V4" s="39">
        <v>0.25</v>
      </c>
      <c r="W4" s="24">
        <f>V4+W3</f>
        <v>0.5</v>
      </c>
      <c r="Y4" s="26">
        <f>Z3</f>
        <v>0.25</v>
      </c>
      <c r="Z4" s="27">
        <f t="shared" si="0"/>
        <v>0.5</v>
      </c>
      <c r="AA4" s="31" t="str">
        <f t="shared" si="1"/>
        <v>1000≤d&lt;3000</v>
      </c>
    </row>
    <row r="5" spans="1:27" x14ac:dyDescent="0.35">
      <c r="C5" t="s">
        <v>73</v>
      </c>
      <c r="E5" t="s">
        <v>74</v>
      </c>
      <c r="U5" s="42" t="s">
        <v>63</v>
      </c>
      <c r="V5" s="39">
        <v>0.15</v>
      </c>
      <c r="W5" s="24">
        <f>V5+W4</f>
        <v>0.65</v>
      </c>
      <c r="Y5" s="26">
        <f>Z4</f>
        <v>0.5</v>
      </c>
      <c r="Z5" s="27">
        <f t="shared" si="0"/>
        <v>0.65</v>
      </c>
      <c r="AA5" s="31" t="str">
        <f t="shared" si="1"/>
        <v>3000≤d&lt;5000</v>
      </c>
    </row>
    <row r="6" spans="1:27" x14ac:dyDescent="0.35">
      <c r="C6" t="s">
        <v>75</v>
      </c>
      <c r="G6" t="s">
        <v>76</v>
      </c>
      <c r="M6" t="s">
        <v>77</v>
      </c>
      <c r="U6" s="42" t="s">
        <v>64</v>
      </c>
      <c r="V6" s="39">
        <v>0.15</v>
      </c>
      <c r="W6" s="24">
        <f>V6+W5</f>
        <v>0.8</v>
      </c>
      <c r="Y6" s="26">
        <f>Z5</f>
        <v>0.65</v>
      </c>
      <c r="Z6" s="27">
        <f t="shared" si="0"/>
        <v>0.8</v>
      </c>
      <c r="AA6" s="31" t="str">
        <f t="shared" si="1"/>
        <v>5000≤d&lt;10000</v>
      </c>
    </row>
    <row r="7" spans="1:27" ht="15" thickBot="1" x14ac:dyDescent="0.4">
      <c r="U7" s="42" t="s">
        <v>65</v>
      </c>
      <c r="V7" s="39">
        <v>0.2</v>
      </c>
      <c r="W7" s="24">
        <f>V7+W6</f>
        <v>1</v>
      </c>
      <c r="Y7" s="28">
        <f>Z6</f>
        <v>0.8</v>
      </c>
      <c r="Z7" s="29">
        <f t="shared" si="0"/>
        <v>1</v>
      </c>
      <c r="AA7" s="31" t="str">
        <f t="shared" si="1"/>
        <v>10000≤d</v>
      </c>
    </row>
    <row r="8" spans="1:27" ht="15" thickBot="1" x14ac:dyDescent="0.4">
      <c r="C8" t="s">
        <v>78</v>
      </c>
      <c r="U8" s="42"/>
      <c r="V8" s="40">
        <f>SUM(V2:V7)</f>
        <v>1</v>
      </c>
      <c r="W8" s="25"/>
    </row>
    <row r="9" spans="1:27" x14ac:dyDescent="0.35">
      <c r="A9" t="s">
        <v>79</v>
      </c>
      <c r="C9" t="s">
        <v>80</v>
      </c>
      <c r="E9" t="s">
        <v>81</v>
      </c>
    </row>
    <row r="10" spans="1:27" x14ac:dyDescent="0.35">
      <c r="C10" t="s">
        <v>82</v>
      </c>
      <c r="E10" t="s">
        <v>83</v>
      </c>
      <c r="Y10" t="s">
        <v>66</v>
      </c>
      <c r="AA10" t="s">
        <v>67</v>
      </c>
    </row>
    <row r="11" spans="1:27" x14ac:dyDescent="0.35">
      <c r="C11" t="s">
        <v>84</v>
      </c>
      <c r="V11" t="s">
        <v>58</v>
      </c>
      <c r="W11" t="s">
        <v>68</v>
      </c>
      <c r="Y11">
        <v>0</v>
      </c>
      <c r="Z11">
        <v>0.6</v>
      </c>
      <c r="AA11" t="s">
        <v>69</v>
      </c>
    </row>
    <row r="12" spans="1:27" x14ac:dyDescent="0.35">
      <c r="V12">
        <v>0.6</v>
      </c>
      <c r="W12">
        <v>0.6</v>
      </c>
      <c r="Y12">
        <v>0.6</v>
      </c>
      <c r="Z12">
        <v>1</v>
      </c>
      <c r="AA12" t="s">
        <v>70</v>
      </c>
    </row>
    <row r="13" spans="1:27" x14ac:dyDescent="0.35">
      <c r="V13">
        <v>0.4</v>
      </c>
      <c r="W13">
        <v>1</v>
      </c>
    </row>
    <row r="15" spans="1:27" x14ac:dyDescent="0.35">
      <c r="C15" t="s">
        <v>85</v>
      </c>
    </row>
    <row r="19" spans="3:12" x14ac:dyDescent="0.35">
      <c r="C19" t="s">
        <v>86</v>
      </c>
    </row>
    <row r="20" spans="3:12" x14ac:dyDescent="0.35">
      <c r="C20" t="s">
        <v>87</v>
      </c>
      <c r="F20" t="s">
        <v>88</v>
      </c>
      <c r="G20" t="s">
        <v>89</v>
      </c>
      <c r="I20" s="34" t="s">
        <v>90</v>
      </c>
      <c r="J20" s="34" t="s">
        <v>91</v>
      </c>
      <c r="L20" t="s">
        <v>92</v>
      </c>
    </row>
    <row r="21" spans="3:12" x14ac:dyDescent="0.35">
      <c r="C21" t="s">
        <v>93</v>
      </c>
    </row>
    <row r="23" spans="3:12" x14ac:dyDescent="0.35">
      <c r="C23" t="s">
        <v>94</v>
      </c>
      <c r="E23" t="s">
        <v>95</v>
      </c>
    </row>
    <row r="26" spans="3:12" x14ac:dyDescent="0.35">
      <c r="C26" t="s">
        <v>96</v>
      </c>
    </row>
    <row r="28" spans="3:12" x14ac:dyDescent="0.35">
      <c r="C28" t="s">
        <v>97</v>
      </c>
      <c r="I28" t="s">
        <v>98</v>
      </c>
    </row>
    <row r="29" spans="3:12" x14ac:dyDescent="0.35">
      <c r="C29" t="s">
        <v>99</v>
      </c>
      <c r="I29" t="s">
        <v>100</v>
      </c>
    </row>
    <row r="32" spans="3:12" x14ac:dyDescent="0.35">
      <c r="C32" t="s">
        <v>101</v>
      </c>
    </row>
    <row r="33" spans="3:3" x14ac:dyDescent="0.35">
      <c r="C33" t="s">
        <v>102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da6bb9-159c-42ee-b01c-6168794a650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CB38BC2A247AA43846AD299C796DA02" ma:contentTypeVersion="6" ma:contentTypeDescription="Crear nuevo documento." ma:contentTypeScope="" ma:versionID="562e228814599977e367dab2681b07b4">
  <xsd:schema xmlns:xsd="http://www.w3.org/2001/XMLSchema" xmlns:xs="http://www.w3.org/2001/XMLSchema" xmlns:p="http://schemas.microsoft.com/office/2006/metadata/properties" xmlns:ns3="d7da6bb9-159c-42ee-b01c-6168794a6500" targetNamespace="http://schemas.microsoft.com/office/2006/metadata/properties" ma:root="true" ma:fieldsID="4c35d2a195a4875c6f298d1883af9dad" ns3:_="">
    <xsd:import namespace="d7da6bb9-159c-42ee-b01c-6168794a650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da6bb9-159c-42ee-b01c-6168794a65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46E0F0-E017-43E1-A200-BACD7AC81F59}">
  <ds:schemaRefs>
    <ds:schemaRef ds:uri="http://purl.org/dc/elements/1.1/"/>
    <ds:schemaRef ds:uri="http://schemas.microsoft.com/office/2006/metadata/properties"/>
    <ds:schemaRef ds:uri="d7da6bb9-159c-42ee-b01c-6168794a6500"/>
    <ds:schemaRef ds:uri="http://schemas.microsoft.com/office/2006/documentManagement/types"/>
    <ds:schemaRef ds:uri="http://www.w3.org/XML/1998/namespace"/>
    <ds:schemaRef ds:uri="http://purl.org/dc/terms/"/>
    <ds:schemaRef ds:uri="http://purl.org/dc/dcmitype/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CBC5A693-D2A2-460C-85FE-B6F9C1B264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da6bb9-159c-42ee-b01c-6168794a6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950DA19-CEFE-4F0A-A622-59692099CBF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Datos</vt:lpstr>
      <vt:lpstr>Modelo</vt:lpstr>
      <vt:lpstr>Hoja2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Estrella Heredia</dc:creator>
  <cp:keywords/>
  <dc:description/>
  <cp:lastModifiedBy>Sofia Fernandez Gonzalez</cp:lastModifiedBy>
  <cp:revision/>
  <dcterms:created xsi:type="dcterms:W3CDTF">2026-05-06T11:14:52Z</dcterms:created>
  <dcterms:modified xsi:type="dcterms:W3CDTF">2026-05-15T16:00:42Z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0x010100FCB38BC2A247AA43846AD299C796DA02</vt:lpwstr>
  </property>
</Properties>
</file>